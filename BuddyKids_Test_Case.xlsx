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41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ht="15" customHeight="1" s="23">
      <c r="A357" s="31" t="inlineStr">
        <is>
          <t>TC-269</t>
        </is>
      </c>
      <c r="B357" s="31" t="inlineStr">
        <is>
          <t>NEXTGEN - Promemoria e avvisi (anteprima)</t>
        </is>
      </c>
      <c r="C357" s="31" t="inlineStr">
        <is>
          <t>Il toggle 'Promemoria attivo' mostra il pallino a sinistra quando spento e a destra quando acceso</t>
        </is>
      </c>
      <c r="D357" s="31" t="inlineStr">
        <is>
          <t>Nessuna</t>
        </is>
      </c>
      <c r="E357" s="31" t="inlineStr">
        <is>
          <t>Profilo -&gt; Promemoria e avvisi, osservare il toggle, poi cliccarlo</t>
        </is>
      </c>
      <c r="F357" s="31" t="inlineStr">
        <is>
          <t>Il pallino bianco e' visibilmente a sinistra su sfondo grigio (spento) e si sposta a destra su sfondo verde (acceso); prima del fix restava sempre a destra indipendentemente dallo stato (mancava l'ancora 'left' esplicita nel CSS)</t>
        </is>
      </c>
      <c r="G357" s="31" t="inlineStr">
        <is>
          <t>DA TESTARE</t>
        </is>
      </c>
      <c r="H357" s="31">
        <f>IF(G357="BUG","BUG-"&amp;A357,IF(G357="FUNCTIONAL","FUNCTIONAL-"&amp;A357,""))</f>
        <v/>
      </c>
    </row>
    <row r="358" ht="15" customHeight="1" s="23">
      <c r="A358" s="31" t="inlineStr">
        <is>
          <t>TC-270</t>
        </is>
      </c>
      <c r="B358" s="31" t="inlineStr">
        <is>
          <t>NEXTGEN - Promemoria e avvisi (anteprima)</t>
        </is>
      </c>
      <c r="C358" s="31" t="inlineStr">
        <is>
          <t>'Partenza consigliata' permette di scegliere l'indirizzo di partenza tra quelli salvati in famiglia</t>
        </is>
      </c>
      <c r="D358" s="31" t="inlineStr">
        <is>
          <t>Almeno un indirizzo di famiglia compilato (Indirizzi di famiglia)</t>
        </is>
      </c>
      <c r="E358" s="31" t="inlineStr">
        <is>
          <t>Profilo -&gt; Promemoria e avvisi -&gt; espandi 'Partenza consigliata'</t>
        </is>
      </c>
      <c r="F358" s="31"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1" t="inlineStr">
        <is>
          <t>DA TESTARE</t>
        </is>
      </c>
      <c r="H358" s="31">
        <f>IF(G358="BUG","BUG-"&amp;A358,IF(G358="FUNCTIONAL","FUNCTIONAL-"&amp;A358,""))</f>
        <v/>
      </c>
    </row>
    <row r="359" ht="15" customHeight="1" s="23">
      <c r="A359" s="31" t="inlineStr">
        <is>
          <t>TC-271</t>
        </is>
      </c>
      <c r="B359" s="31" t="inlineStr">
        <is>
          <t>NEXTGEN - Planner Organizzazione, Sprint 2 (Timeline mensile)</t>
        </is>
      </c>
      <c r="C359" s="31" t="inlineStr">
        <is>
          <t>La Timeline della stagione e' raggruppata per mese, pieghevole</t>
        </is>
      </c>
      <c r="D359" s="31" t="inlineStr">
        <is>
          <t>Nessuna</t>
        </is>
      </c>
      <c r="E359" s="31" t="inlineStr">
        <is>
          <t>Apri /nextgen/planner, scorri fino a 'Timeline della stagione'</t>
        </is>
      </c>
      <c r="F359" s="31" t="inlineStr">
        <is>
          <t>Il titolo mostra 'Timeline della stagione — Estiva {anno}'; sotto compaiono intestazioni di mese (es. Giugno, Luglio) pieghevoli con contatore X/Y coperte; il mese con la settimana prioritaria o la prima scoperta e' aperto di default</t>
        </is>
      </c>
      <c r="G359" s="31" t="inlineStr">
        <is>
          <t>DA TESTARE</t>
        </is>
      </c>
      <c r="H359" s="31">
        <f>IF(G359="BUG","BUG-"&amp;A359,IF(G359="FUNCTIONAL","FUNCTIONAL-"&amp;A359,""))</f>
        <v/>
      </c>
    </row>
    <row r="360" ht="15" customHeight="1" s="23">
      <c r="A360" s="31" t="inlineStr">
        <is>
          <t>TC-272</t>
        </is>
      </c>
      <c r="B360" s="31" t="inlineStr">
        <is>
          <t>NEXTGEN - Planner Organizzazione, Sprint 2 (Timeline mensile)</t>
        </is>
      </c>
      <c r="C360" s="31" t="inlineStr">
        <is>
          <t>Cliccando una barra di 'Stato per settimana' si apre il mese giusto, si evidenzia la riga e si vedono le date</t>
        </is>
      </c>
      <c r="D360" s="31" t="inlineStr">
        <is>
          <t>Nessuna</t>
        </is>
      </c>
      <c r="E360" s="31" t="inlineStr">
        <is>
          <t>Apri /nextgen/planner, clicca una barra della striscia 'Stato per settimana'</t>
        </is>
      </c>
      <c r="F360" s="31"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1" t="inlineStr">
        <is>
          <t>DA TESTARE</t>
        </is>
      </c>
      <c r="H360" s="31">
        <f>IF(G360="BUG","BUG-"&amp;A360,IF(G360="FUNCTIONAL","FUNCTIONAL-"&amp;A360,""))</f>
        <v/>
      </c>
    </row>
    <row r="361" ht="15" customHeight="1" s="23">
      <c r="A361" s="31" t="inlineStr">
        <is>
          <t>TC-273</t>
        </is>
      </c>
      <c r="B361" s="31" t="inlineStr">
        <is>
          <t>NEXTGEN - Planner Organizzazione, Sprint 2 (Timeline mensile)</t>
        </is>
      </c>
      <c r="C361" s="31" t="inlineStr">
        <is>
          <t>Una riga Timeline con attivita' reale (slug) e' cliccabile e apre la scheda attivita'</t>
        </is>
      </c>
      <c r="D361" s="31" t="inlineStr">
        <is>
          <t>Almeno una settimana coperta da una prenotazione con attivita' reale (slug)</t>
        </is>
      </c>
      <c r="E361" s="31" t="inlineStr">
        <is>
          <t>Apri /nextgen/planner, espandi il mese con una settimana coperta, clicca sulla riga</t>
        </is>
      </c>
      <c r="F361" s="31" t="inlineStr">
        <is>
          <t>La riga ha feedback hover/active (stesso pattern di components/PlannerView.tsx LEGACY) e una freccina; il click apre /activity/{slug} senza errori. L'icona di stato (spunta verde o triangolo sovrapposizione) resta visibile accanto alla freccina, non sostituita</t>
        </is>
      </c>
      <c r="G361" s="31" t="inlineStr">
        <is>
          <t>DA TESTARE</t>
        </is>
      </c>
      <c r="H361" s="31">
        <f>IF(G361="BUG","BUG-"&amp;A361,IF(G361="FUNCTIONAL","FUNCTIONAL-"&amp;A361,""))</f>
        <v/>
      </c>
    </row>
    <row r="362" ht="15" customHeight="1" s="23">
      <c r="A362" s="31" t="inlineStr">
        <is>
          <t>TC-274</t>
        </is>
      </c>
      <c r="B362" s="31" t="inlineStr">
        <is>
          <t>NEXTGEN - Profilo, consolidamento hub card</t>
        </is>
      </c>
      <c r="C362" s="31" t="inlineStr">
        <is>
          <t>La sezione 'Famiglia' in Profilo mostra un solo ingresso 'Famiglia e logistica' invece di 4 righe</t>
        </is>
      </c>
      <c r="D362" s="31" t="inlineStr">
        <is>
          <t>Nessuna</t>
        </is>
      </c>
      <c r="E362" s="31" t="inlineStr">
        <is>
          <t>Apri /nextgen/profile, guarda la sezione 'Famiglia'</t>
        </is>
      </c>
      <c r="F362" s="31"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1" t="inlineStr">
        <is>
          <t>DA TESTARE</t>
        </is>
      </c>
      <c r="H362" s="31">
        <f>IF(G362="BUG","BUG-"&amp;A362,IF(G362="FUNCTIONAL","FUNCTIONAL-"&amp;A362,""))</f>
        <v/>
      </c>
    </row>
    <row r="363" ht="15" customHeight="1" s="23">
      <c r="A363" s="31" t="inlineStr">
        <is>
          <t>TC-275</t>
        </is>
      </c>
      <c r="B363" s="31" t="inlineStr">
        <is>
          <t>NEXTGEN - Profilo, consolidamento hub card</t>
        </is>
      </c>
      <c r="C363" s="31" t="inlineStr">
        <is>
          <t>La sezione 'Impostazioni' in Profilo mostra un solo ingresso 'Impostazioni' invece di 4 righe</t>
        </is>
      </c>
      <c r="D363" s="31" t="inlineStr">
        <is>
          <t>Nessuna</t>
        </is>
      </c>
      <c r="E363" s="31" t="inlineStr">
        <is>
          <t>Apri /nextgen/profile, guarda la sezione 'Impostazioni'</t>
        </is>
      </c>
      <c r="F363" s="31"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1" t="inlineStr">
        <is>
          <t>DA TESTARE</t>
        </is>
      </c>
      <c r="H363" s="31">
        <f>IF(G363="BUG","BUG-"&amp;A363,IF(G363="FUNCTIONAL","FUNCTIONAL-"&amp;A363,""))</f>
        <v/>
      </c>
    </row>
    <row r="364" ht="15" customHeight="1" s="23">
      <c r="A364" s="31" t="inlineStr">
        <is>
          <t>TC-276</t>
        </is>
      </c>
      <c r="B364" s="31" t="inlineStr">
        <is>
          <t>NEXTGEN - Profilo, consolidamento hub card</t>
        </is>
      </c>
      <c r="C364" s="31" t="inlineStr">
        <is>
          <t>Il tasto 'Indietro' dalle pagine dentro 'Famiglia e logistica' torna all'hub, non direttamente al Profilo</t>
        </is>
      </c>
      <c r="D364" s="31" t="inlineStr">
        <is>
          <t>Nessuna</t>
        </is>
      </c>
      <c r="E364" s="31" t="inlineStr">
        <is>
          <t>Profilo -&gt; Famiglia e logistica -&gt; Indirizzi di famiglia -&gt; Indietro</t>
        </is>
      </c>
      <c r="F364" s="31" t="inlineStr">
        <is>
          <t>Il tasto Indietro riporta a /nextgen/profile/famiglia (l'hub), non a /nextgen/profile direttamente; stesso comportamento per 'Famiglia' (invito) e 'Promemoria e avvisi'</t>
        </is>
      </c>
      <c r="G364" s="31" t="inlineStr">
        <is>
          <t>DA TESTARE</t>
        </is>
      </c>
      <c r="H364" s="31">
        <f>IF(G364="BUG","BUG-"&amp;A364,IF(G364="FUNCTIONAL","FUNCTIONAL-"&amp;A364,""))</f>
        <v/>
      </c>
    </row>
    <row r="365" ht="15" customHeight="1" s="23">
      <c r="A365" s="31" t="inlineStr">
        <is>
          <t>TC-277</t>
        </is>
      </c>
      <c r="B365" s="31" t="inlineStr">
        <is>
          <t>NEXTGEN - Profilo, consolidamento hub card</t>
        </is>
      </c>
      <c r="C365" s="31" t="inlineStr">
        <is>
          <t>Le sezioni 'Attività' e 'Supporto' in Profilo restano invariate (non consolidate)</t>
        </is>
      </c>
      <c r="D365" s="31" t="inlineStr">
        <is>
          <t>Nessuna</t>
        </is>
      </c>
      <c r="E365" s="31" t="inlineStr">
        <is>
          <t>Apri /nextgen/profile, guarda le sezioni 'Attività' e 'Supporto'</t>
        </is>
      </c>
      <c r="F365" s="31"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1" t="inlineStr">
        <is>
          <t>DA TESTARE</t>
        </is>
      </c>
      <c r="H365" s="31">
        <f>IF(G365="BUG","BUG-"&amp;A365,IF(G365="FUNCTIONAL","FUNCTIONAL-"&amp;A365,""))</f>
        <v/>
      </c>
    </row>
    <row r="366" ht="15" customHeight="1" s="23">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ht="15" customHeight="1" s="23">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ht="15" customHeight="1" s="23">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ht="15" customHeight="1" s="23">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ht="15" customHeight="1" s="23">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ht="15" customHeight="1" s="23">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ht="15" customHeight="1" s="23">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ht="15" customHeight="1" s="2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ht="15" customHeight="1" s="23">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ht="15" customHeight="1" s="23">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ht="15" customHeight="1" s="23">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ht="15" customHeight="1" s="23">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ht="15" customHeight="1" s="23">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ht="15" customHeight="1" s="23">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ht="15" customHeight="1" s="23">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ht="15" customHeight="1" s="23">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ht="15" customHeight="1" s="23">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ht="15" customHeight="1" s="2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ht="15" customHeight="1" s="23">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ht="15" customHeight="1" s="23">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ht="15" customHeight="1" s="23">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ht="15" customHeight="1" s="23">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ht="15" customHeight="1" s="23">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ht="15" customHeight="1" s="23">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ht="15" customHeight="1" s="23">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ht="15" customHeight="1" s="23">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ht="15" customHeight="1" s="23">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ht="15" customHeight="1" s="2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ht="15" customHeight="1" s="23">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ht="15" customHeight="1" s="23">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row r="396" ht="15" customHeight="1" s="23">
      <c r="A396" s="31" t="inlineStr">
        <is>
          <t>TC-N302</t>
        </is>
      </c>
      <c r="B396" s="31" t="inlineStr">
        <is>
          <t>TRAMA ONE - Route /one (Sprint 0)</t>
        </is>
      </c>
      <c r="C396" s="31" t="inlineStr">
        <is>
          <t>Parent: /one con flag disattivato (default) fa fallback a '/' senza loop</t>
        </is>
      </c>
      <c r="D396" s="31" t="inlineStr">
        <is>
          <t>Login genitore, TRAMA_ONE_ENABLED=false (default)</t>
        </is>
      </c>
      <c r="E396" s="31" t="inlineStr">
        <is>
          <t>Login genitore -&gt; apri /one</t>
        </is>
      </c>
      <c r="F396" s="31" t="inlineStr">
        <is>
          <t>Redirect a '/' (Home Parent Legacy), nessun loop, nessun 'Application error'</t>
        </is>
      </c>
      <c r="G396" s="31" t="inlineStr">
        <is>
          <t>OK</t>
        </is>
      </c>
      <c r="H396" s="31">
        <f>IF(G396="BUG","BUG-"&amp;A396,IF(G396="FUNCTIONAL","FUNCTIONAL-"&amp;A396,""))</f>
        <v/>
      </c>
      <c r="I396" s="31" t="inlineStr">
        <is>
          <t>Alta</t>
        </is>
      </c>
      <c r="K396" s="32" t="inlineStr">
        <is>
          <t>TO DEPLOY</t>
        </is>
      </c>
      <c r="L396" s="32" t="inlineStr">
        <is>
          <t>Verificato in produzione nello smoke reale (36/60 passed) — TEST_SCOPE=smoke bash deploy.sh</t>
        </is>
      </c>
    </row>
    <row r="397" ht="15" customHeight="1" s="23">
      <c r="A397" s="31" t="inlineStr">
        <is>
          <t>TC-N303</t>
        </is>
      </c>
      <c r="B397" s="31" t="inlineStr">
        <is>
          <t>TRAMA ONE - Route /one (Sprint 0)</t>
        </is>
      </c>
      <c r="C397" s="31" t="inlineStr">
        <is>
          <t>Partner: /center/one con flag disattivato (default) fa fallback a '/center' senza loop</t>
        </is>
      </c>
      <c r="D397" s="31" t="inlineStr">
        <is>
          <t>Login gestore, TRAMA_ONE_ENABLED=false (default)</t>
        </is>
      </c>
      <c r="E397" s="31" t="inlineStr">
        <is>
          <t>Login gestore -&gt; apri /center/one</t>
        </is>
      </c>
      <c r="F397" s="31" t="inlineStr">
        <is>
          <t>Redirect a '/center', nessun loop, nessun 'Application error'</t>
        </is>
      </c>
      <c r="G397" s="31" t="inlineStr">
        <is>
          <t>OK</t>
        </is>
      </c>
      <c r="H397" s="31">
        <f>IF(G397="BUG","BUG-"&amp;A397,IF(G397="FUNCTIONAL","FUNCTIONAL-"&amp;A397,""))</f>
        <v/>
      </c>
      <c r="I397" s="31" t="inlineStr">
        <is>
          <t>Alta</t>
        </is>
      </c>
      <c r="K397" s="32" t="inlineStr">
        <is>
          <t>RISOLTO</t>
        </is>
      </c>
      <c r="L397" s="32" t="inlineStr">
        <is>
          <t>Bug di navigazione nel test (non nell'app): il test navigava a '/one' assumendo che il ruolo determinasse la route, ma il routing Partner e' host-based (proxy.ts) — corretto navigando al path fisico '/center/one'. Riverificato: 4 passed (12.2s) contro produzione.</t>
        </is>
      </c>
    </row>
    <row r="398" ht="15" customHeight="1" s="23">
      <c r="A398" s="31" t="inlineStr">
        <is>
          <t>TC-N304</t>
        </is>
      </c>
      <c r="B398" s="31" t="inlineStr">
        <is>
          <t>TRAMA ONE - Route /one (Sprint 0)</t>
        </is>
      </c>
      <c r="C398" s="31" t="inlineStr">
        <is>
          <t>Admin: /admin/one con flag disattivato (default) fa fallback a '/admin' senza loop</t>
        </is>
      </c>
      <c r="D398" s="31" t="inlineStr">
        <is>
          <t>Login platform_admin, TRAMA_ONE_ENABLED=false (default)</t>
        </is>
      </c>
      <c r="E398" s="31" t="inlineStr">
        <is>
          <t>Login admin -&gt; apri /admin/one</t>
        </is>
      </c>
      <c r="F398" s="31" t="inlineStr">
        <is>
          <t>Redirect a '/admin', nessun loop, nessun 'Application error'</t>
        </is>
      </c>
      <c r="G398" s="31" t="inlineStr">
        <is>
          <t>OK</t>
        </is>
      </c>
      <c r="H398" s="31">
        <f>IF(G398="BUG","BUG-"&amp;A398,IF(G398="FUNCTIONAL","FUNCTIONAL-"&amp;A398,""))</f>
        <v/>
      </c>
      <c r="I398" s="31" t="inlineStr">
        <is>
          <t>Alta</t>
        </is>
      </c>
      <c r="K398" s="32" t="inlineStr">
        <is>
          <t>RISOLTO</t>
        </is>
      </c>
      <c r="L398" s="32" t="inlineStr">
        <is>
          <t>Stessa correzione di TC-N303. Riverificato: 4 passed (12.2s) contro produzione.</t>
        </is>
      </c>
    </row>
    <row r="399" ht="15" customHeight="1" s="23">
      <c r="A399" s="31" t="inlineStr">
        <is>
          <t>TC-N305</t>
        </is>
      </c>
      <c r="B399" s="31" t="inlineStr">
        <is>
          <t>TRAMA ONE - Route /one (Sprint 0)</t>
        </is>
      </c>
      <c r="C399" s="31" t="inlineStr">
        <is>
          <t>Utente non autenticato che apre /one viene rediretto al login</t>
        </is>
      </c>
      <c r="D399" s="31" t="inlineStr">
        <is>
          <t>Nessun login</t>
        </is>
      </c>
      <c r="E399" s="31" t="inlineStr">
        <is>
          <t>Apri /one senza sessione attiva</t>
        </is>
      </c>
      <c r="F399" s="31" t="inlineStr">
        <is>
          <t>Redirect a /auth/login (comportamento proxy.ts invariato)</t>
        </is>
      </c>
      <c r="G399" s="31" t="inlineStr">
        <is>
          <t>OK</t>
        </is>
      </c>
      <c r="H399" s="31">
        <f>IF(G399="BUG","BUG-"&amp;A399,IF(G399="FUNCTIONAL","FUNCTIONAL-"&amp;A399,""))</f>
        <v/>
      </c>
      <c r="I399" s="31" t="inlineStr">
        <is>
          <t>Media</t>
        </is>
      </c>
      <c r="L399" s="32" t="inlineStr">
        <is>
          <t>Verificato in produzione nello smoke reale.</t>
        </is>
      </c>
    </row>
    <row r="400" ht="15" customHeight="1" s="23">
      <c r="A400" s="31" t="inlineStr">
        <is>
          <t>TC-N306</t>
        </is>
      </c>
      <c r="B400" s="31" t="inlineStr">
        <is>
          <t>TRAMA ONE - Route /one (Sprint 0)</t>
        </is>
      </c>
      <c r="C400" s="31" t="inlineStr">
        <is>
          <t>Parent: /one con flag ATTIVATO per l'utente di test mostra la shell TRAMA ONE</t>
        </is>
      </c>
      <c r="D400" s="31" t="inlineStr">
        <is>
          <t>Override manuale in feature_flag_overrides (scope_type='user', enabled=true) predisposto via SQL</t>
        </is>
      </c>
      <c r="E400" s="31" t="inlineStr">
        <is>
          <t>Login genitore di test -&gt; apri /one</t>
        </is>
      </c>
      <c r="F400" s="31" t="inlineStr">
        <is>
          <t>Shell TRAMA ONE visibile (data-trama-one-portal='parent')</t>
        </is>
      </c>
      <c r="G400" s="31" t="inlineStr">
        <is>
          <t>NON AUTOMATIZZATO (test.skip)</t>
        </is>
      </c>
      <c r="H400" s="31">
        <f>IF(G400="BUG","BUG-"&amp;A400,IF(G400="FUNCTIONAL","FUNCTIONAL-"&amp;A400,""))</f>
        <v/>
      </c>
      <c r="I400" s="31" t="inlineStr">
        <is>
          <t>Media</t>
        </is>
      </c>
      <c r="L400" s="32" t="inlineStr">
        <is>
          <t>Richiede un override manuale in DB — nessuna UI Admin in Sprint 0/1 per attivare cohort/override singolarmente. Da eseguire solo quando si decide di attivare una coorte reale.</t>
        </is>
      </c>
    </row>
    <row r="401" ht="15" customHeight="1" s="23">
      <c r="A401" s="31" t="inlineStr">
        <is>
          <t>TC-N307</t>
        </is>
      </c>
      <c r="B401" s="31" t="inlineStr">
        <is>
          <t>TRAMA ONE - Route /one (Sprint 0)</t>
        </is>
      </c>
      <c r="C401" s="31" t="inlineStr">
        <is>
          <t>Errore del resolver (DB non raggiungibile/timeout) risolve comunque a fallback sicuro</t>
        </is>
      </c>
      <c r="D401" s="31" t="inlineStr">
        <is>
          <t>Simulazione errore DB/timeout in staging (SUPABASE_SERVICE_ROLE_KEY non valida)</t>
        </is>
      </c>
      <c r="E401" s="31" t="inlineStr">
        <is>
          <t>Login genitore -&gt; apri /one con resolver in errore</t>
        </is>
      </c>
      <c r="F401" s="31" t="inlineStr">
        <is>
          <t>Fallback sicuro (comportamento AS-IS), mai 'Application error' visibile</t>
        </is>
      </c>
      <c r="G401" s="31" t="inlineStr">
        <is>
          <t>NON AUTOMATIZZATO (test.skip)</t>
        </is>
      </c>
      <c r="H401" s="31">
        <f>IF(G401="BUG","BUG-"&amp;A401,IF(G401="FUNCTIONAL","FUNCTIONAL-"&amp;A401,""))</f>
        <v/>
      </c>
      <c r="I401" s="31" t="inlineStr">
        <is>
          <t>Bassa</t>
        </is>
      </c>
      <c r="L401" s="32" t="inlineStr">
        <is>
          <t>Non riproducibile in modo sicuro contro produzione — solo in staging dedicato.</t>
        </is>
      </c>
    </row>
    <row r="402" ht="15" customHeight="1" s="23">
      <c r="A402" s="31" t="inlineStr">
        <is>
          <t>TC-N401</t>
        </is>
      </c>
      <c r="B402" s="31" t="inlineStr">
        <is>
          <t>TRAMA ONE - Onboarding Centro (Sprint 1)</t>
        </is>
      </c>
      <c r="C402" s="31" t="inlineStr">
        <is>
          <t>Partner: /center/one/onboarding con flag disattivato fa fallback a '/center' senza loop</t>
        </is>
      </c>
      <c r="D402" s="31" t="inlineStr">
        <is>
          <t>Login gestore, TRAMA_ONE_ENABLED=false (default)</t>
        </is>
      </c>
      <c r="E402" s="31" t="inlineStr">
        <is>
          <t>Login gestore -&gt; apri /center/one/onboarding</t>
        </is>
      </c>
      <c r="F402" s="31" t="inlineStr">
        <is>
          <t>Redirect a '/center' (stesso gate del layout padre /center/one), nessun loop, nessun 'Application error'</t>
        </is>
      </c>
      <c r="G402" s="31" t="inlineStr">
        <is>
          <t>DA TESTARE</t>
        </is>
      </c>
      <c r="H402" s="31">
        <f>IF(G402="BUG","BUG-"&amp;A402,IF(G402="FUNCTIONAL","FUNCTIONAL-"&amp;A402,""))</f>
        <v/>
      </c>
      <c r="I402" s="31" t="inlineStr">
        <is>
          <t>Alta</t>
        </is>
      </c>
      <c r="L402" s="32" t="inlineStr">
        <is>
          <t>Playwright: tests/one/smoke.spec.ts — PENDING LOCAL VERIFICATION (richiede browser reale, non eseguibile nel sandbox). Comando: set -a; source .env.test; set +a; TEST_BASE_URL=&lt;url prod&gt; npx playwright test tests/one/smoke.spec.ts --grep "TC-N401"</t>
        </is>
      </c>
    </row>
    <row r="403" ht="15" customHeight="1" s="23">
      <c r="A403" s="31" t="inlineStr">
        <is>
          <t>TC-N402</t>
        </is>
      </c>
      <c r="B403" s="31" t="inlineStr">
        <is>
          <t>TRAMA ONE - Onboarding Centro (Sprint 1)</t>
        </is>
      </c>
      <c r="C403" s="31" t="inlineStr">
        <is>
          <t>Admin: /admin/one/onboarding con flag disattivato fa fallback a '/admin' senza loop</t>
        </is>
      </c>
      <c r="D403" s="31" t="inlineStr">
        <is>
          <t>Login platform_admin, TRAMA_ONE_ENABLED=false (default)</t>
        </is>
      </c>
      <c r="E403" s="31" t="inlineStr">
        <is>
          <t>Login admin -&gt; apri /admin/one/onboarding</t>
        </is>
      </c>
      <c r="F403" s="31" t="inlineStr">
        <is>
          <t>Redirect a '/admin', nessun loop, nessun 'Application error'</t>
        </is>
      </c>
      <c r="G403" s="31" t="inlineStr">
        <is>
          <t>DA TESTARE</t>
        </is>
      </c>
      <c r="H403" s="31">
        <f>IF(G403="BUG","BUG-"&amp;A403,IF(G403="FUNCTIONAL","FUNCTIONAL-"&amp;A403,""))</f>
        <v/>
      </c>
      <c r="I403" s="31" t="inlineStr">
        <is>
          <t>Alta</t>
        </is>
      </c>
      <c r="L403" s="32" t="inlineStr">
        <is>
          <t>Playwright: tests/one/smoke.spec.ts — PENDING LOCAL VERIFICATION. Comando: set -a; source .env.test; set +a; TEST_BASE_URL=&lt;url prod&gt; npx playwright test tests/one/smoke.spec.ts --grep "TC-N402"</t>
        </is>
      </c>
    </row>
    <row r="404" ht="15" customHeight="1" s="23">
      <c r="A404" s="31" t="inlineStr">
        <is>
          <t>TC-N403</t>
        </is>
      </c>
      <c r="B404" s="31" t="inlineStr">
        <is>
          <t>TRAMA ONE - Onboarding Centro (Sprint 1)</t>
        </is>
      </c>
      <c r="C404" s="31" t="inlineStr">
        <is>
          <t>Avviare l'attivazione del centro sposta lo stato tecnico da LEAD a CLAIMED e registra un audit log</t>
        </is>
      </c>
      <c r="D404" s="31" t="inlineStr">
        <is>
          <t>Centro con TRAMA_ONE_ENABLED=true per l'utente e una riga LEAD in center_onboarding_state (auto-creata da migration_10 per un centro nuovo, oppure inserita manualmente per un centro pre-esistente di test — vedi TC-N407 per il caso automatico)</t>
        </is>
      </c>
      <c r="E404" s="31" t="inlineStr">
        <is>
          <t>Login gestore -&gt; apri /center/one/onboarding -&gt; 'Avvia l'attivazione del centro'</t>
        </is>
      </c>
      <c r="F404" s="31" t="inlineStr">
        <is>
          <t>Badge passa a 'Attivazione avviata', compare una riga di audit 'Centro da attivare -&gt; Attivazione avviata'</t>
        </is>
      </c>
      <c r="G404" s="31" t="inlineStr">
        <is>
          <t>OK</t>
        </is>
      </c>
      <c r="H404" s="31">
        <f>IF(G404="BUG","BUG-"&amp;A404,IF(G404="FUNCTIONAL","FUNCTIONAL-"&amp;A404,""))</f>
        <v/>
      </c>
      <c r="I404" s="31" t="inlineStr">
        <is>
          <t>Alta</t>
        </is>
      </c>
      <c r="L404" s="32" t="inlineStr">
        <is>
          <t>Eseguito da Fabrizio in produzione (luglio 2026): storico confermato LEAD-&gt;CLAIMED-&gt;SUBMITTED-&gt;APPROVED su '[TEST] Centro BuddyKids'. Wording aggiornato in questa remediation (CTA 'Reclama il mio centro' rimossa, sostituita da 'Avvia l'attivazione del centro' — DEC-26).</t>
        </is>
      </c>
    </row>
    <row r="405" ht="15" customHeight="1" s="23">
      <c r="A405" s="31" t="inlineStr">
        <is>
          <t>TC-N404</t>
        </is>
      </c>
      <c r="B405" s="31" t="inlineStr">
        <is>
          <t>TRAMA ONE - Onboarding Centro (Sprint 1)</t>
        </is>
      </c>
      <c r="C405" s="31" t="inlineStr">
        <is>
          <t>'Invia per revisione' resta disabilitato finche' la checklist obbligatoria non e' completa</t>
        </is>
      </c>
      <c r="D405" s="31" t="inlineStr">
        <is>
          <t>Centro in stato CLAIMED, checklist con almeno un item required incompleto</t>
        </is>
      </c>
      <c r="E405" s="31" t="inlineStr">
        <is>
          <t>Apri /center/one/onboarding con item 'identity_verified' non completato</t>
        </is>
      </c>
      <c r="F405" s="31" t="inlineStr">
        <is>
          <t>Bottone 'Invia per revisione' disabilitato con tooltip esplicativo</t>
        </is>
      </c>
      <c r="G405" s="31" t="inlineStr">
        <is>
          <t>DA TESTARE (richiede migration_09 applicata)</t>
        </is>
      </c>
      <c r="H405" s="31">
        <f>IF(G405="BUG","BUG-"&amp;A405,IF(G405="FUNCTIONAL","FUNCTIONAL-"&amp;A405,""))</f>
        <v/>
      </c>
      <c r="I405" s="31" t="inlineStr">
        <is>
          <t>Media</t>
        </is>
      </c>
      <c r="L405" s="32" t="inlineStr">
        <is>
          <t>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is>
      </c>
    </row>
    <row r="406" ht="15" customHeight="1" s="23">
      <c r="A406" s="31" t="inlineStr">
        <is>
          <t>TC-N405</t>
        </is>
      </c>
      <c r="B406" s="31" t="inlineStr">
        <is>
          <t>TRAMA ONE - Onboarding Centro (Sprint 1)</t>
        </is>
      </c>
      <c r="C406" s="31" t="inlineStr">
        <is>
          <t>L'Admin approva un centro SUBMITTED: stato passa ad APPROVED, audit registrato, centro sparisce dalla coda 'In revisione'</t>
        </is>
      </c>
      <c r="D406" s="31" t="inlineStr">
        <is>
          <t>Centro in stato SUBMITTED, login platform_admin</t>
        </is>
      </c>
      <c r="E406" s="31" t="inlineStr">
        <is>
          <t>Apri /admin/one/onboarding -&gt; 'Approva' sul centro in coda</t>
        </is>
      </c>
      <c r="F406" s="31" t="inlineStr">
        <is>
          <t>Badge passa a 'Approvato', il centro esce dalla lista 'In revisione'</t>
        </is>
      </c>
      <c r="G406" s="31" t="inlineStr">
        <is>
          <t>OK</t>
        </is>
      </c>
      <c r="H406" s="31">
        <f>IF(G406="BUG","BUG-"&amp;A406,IF(G406="FUNCTIONAL","FUNCTIONAL-"&amp;A406,""))</f>
        <v/>
      </c>
      <c r="I406" s="31" t="inlineStr">
        <is>
          <t>Alta</t>
        </is>
      </c>
      <c r="L406" s="32" t="inlineStr">
        <is>
          <t>Eseguito da Fabrizio in produzione: approvazione confermata via screenshot (badge 'Approvato' lato Partner, coda Admin con 'Altri stati (1)' e bottone Sospendi). Transizione passa da admin_review_center_onboarding() (SECURITY DEFINER).</t>
        </is>
      </c>
    </row>
    <row r="407" ht="15" customHeight="1" s="23">
      <c r="A407" s="31" t="inlineStr">
        <is>
          <t>TC-N406</t>
        </is>
      </c>
      <c r="B407" s="31" t="inlineStr">
        <is>
          <t>TRAMA ONE - Walkthrough generico (Sprint 1)</t>
        </is>
      </c>
      <c r="C407" s="31" t="inlineStr">
        <is>
          <t>Il percorso 'Benvenuto in TRAMA ONE' avanza con Inizia/Continua/Salta e puo' essere rilanciato</t>
        </is>
      </c>
      <c r="D407" s="31" t="inlineStr">
        <is>
          <t>Login genitore, TRAMA_ONE_ENABLED=true per l'utente, nessun progresso precedente sul tutorial 'welcome_parent'</t>
        </is>
      </c>
      <c r="E407" s="31" t="inlineStr">
        <is>
          <t>Apri /one -&gt; 'Inizia' -&gt; 'Continua' su ogni step fino a 'Tutto pronto' -&gt; 'Rilancia percorso'</t>
        </is>
      </c>
      <c r="F407" s="31" t="inlineStr">
        <is>
          <t>Contatore step avanza (0/3 -&gt; 3/3), 'Rilancia percorso' azzera lo stato e torna al primo step</t>
        </is>
      </c>
      <c r="G407" s="31" t="inlineStr">
        <is>
          <t>OK</t>
        </is>
      </c>
      <c r="H407" s="31">
        <f>IF(G407="BUG","BUG-"&amp;A407,IF(G407="FUNCTIONAL","FUNCTIONAL-"&amp;A407,""))</f>
        <v/>
      </c>
      <c r="I407" s="31" t="inlineStr">
        <is>
          <t>Bassa</t>
        </is>
      </c>
      <c r="L407" s="32" t="inlineStr">
        <is>
          <t>Eseguito da Fabrizio in produzione: percorso Walkthrough Parent completato con successo (vedi AUDIT_CHECKPOINT_SPRINT_1.md §9). Registry generico gia' coperto da unit test.</t>
        </is>
      </c>
    </row>
    <row r="408">
      <c r="A408" s="22" t="inlineStr">
        <is>
          <t>TC-N407</t>
        </is>
      </c>
      <c r="B408" s="22" t="inlineStr">
        <is>
          <t>TRAMA ONE - Onboarding Centro (Audit Remediation)</t>
        </is>
      </c>
      <c r="C408" s="22" t="inlineStr">
        <is>
          <t>Creare un nuovo centro lo rende visibile in coda onboarding come 'Da attivare', SENZA alcun INSERT manuale (trigger automatico migration_10)</t>
        </is>
      </c>
      <c r="D408" s="22" t="inlineStr">
        <is>
          <t>migration_10_center_onboarding_auto_lead.sql applicata; login platform_admin</t>
        </is>
      </c>
      <c r="E408" s="22" t="inlineStr">
        <is>
          <t>Login admin -&gt; /admin/centers -&gt; '+ Nuovo centro' -&gt; compila 'Nome del centro' con un nome riconoscibile (es. '[TEST] Centro Auto LEAD') -&gt; 'Crea centro' -&gt; apri /admin/one/onboarding</t>
        </is>
      </c>
      <c r="F408" s="22" t="inlineStr">
        <is>
          <t>Il nuovo centro compare subito in 'Altri stati' con etichetta 'Da attivare' (stato tecnico LEAD), senza alcuna query SQL manuale</t>
        </is>
      </c>
      <c r="G408" s="22" t="inlineStr">
        <is>
          <t>DA TESTARE (richiede migration_10 applicata)</t>
        </is>
      </c>
      <c r="H408" s="22">
        <f>IF(G408="BUG","BUG-"&amp;A408,IF(G408="FUNCTIONAL","FUNCTIONAL-"&amp;A408,""))</f>
        <v/>
      </c>
      <c r="I408" s="22" t="inlineStr">
        <is>
          <t>Alta</t>
        </is>
      </c>
      <c r="L408" s="22" t="inlineStr">
        <is>
          <t>Test automatizzato: tests/one/onboarding-remediation.spec.ts, TC-N407. Verifica diretta del trigger AFTER INSERT su public.centers introdotto per chiudere la condizione 1 dell'audit esterno Sprint 1.</t>
        </is>
      </c>
    </row>
    <row r="409">
      <c r="A409" s="22" t="inlineStr">
        <is>
          <t>TC-N408</t>
        </is>
      </c>
      <c r="B409" s="22" t="inlineStr">
        <is>
          <t>TRAMA ONE - Onboarding Centro (Audit Remediation)</t>
        </is>
      </c>
      <c r="C409" s="22" t="inlineStr">
        <is>
          <t>Il centro appena creato compare esattamente una volta in coda, mai duplicato (idempotenza del trigger)</t>
        </is>
      </c>
      <c r="D409" s="22" t="inlineStr">
        <is>
          <t>migration_10 applicata; login platform_admin</t>
        </is>
      </c>
      <c r="E409" s="22" t="inlineStr">
        <is>
          <t>Crea un nuovo centro riconoscibile -&gt; apri /admin/one/onboarding -&gt; ricarica la pagina (refresh)</t>
        </is>
      </c>
      <c r="F409" s="22" t="inlineStr">
        <is>
          <t>Il nome del centro compare una sola volta nella pagina, anche dopo il refresh (ON CONFLICT DO NOTHING nel trigger)</t>
        </is>
      </c>
      <c r="G409" s="22" t="inlineStr">
        <is>
          <t>DA TESTARE (richiede migration_10 applicata)</t>
        </is>
      </c>
      <c r="H409" s="22">
        <f>IF(G409="BUG","BUG-"&amp;A409,IF(G409="FUNCTIONAL","FUNCTIONAL-"&amp;A409,""))</f>
        <v/>
      </c>
      <c r="I409" s="22" t="inlineStr">
        <is>
          <t>Media</t>
        </is>
      </c>
      <c r="L409" s="22" t="inlineStr">
        <is>
          <t>Test automatizzato: tests/one/onboarding-remediation.spec.ts, TC-N408.</t>
        </is>
      </c>
    </row>
    <row r="410">
      <c r="A410" s="22" t="inlineStr">
        <is>
          <t>TC-N409</t>
        </is>
      </c>
      <c r="B410" s="22" t="inlineStr">
        <is>
          <t>TRAMA ONE - Onboarding Centro (Audit Remediation)</t>
        </is>
      </c>
      <c r="C410" s="22" t="inlineStr">
        <is>
          <t>Percorso con integrazioni: SUBMITTED -&gt; CHANGES_REQUESTED -&gt; SUBMITTED -&gt; APPROVED</t>
        </is>
      </c>
      <c r="D410" s="22" t="inlineStr">
        <is>
          <t>Centro in stato SUBMITTED (precondizione manuale: reimpostare '[TEST] Centro BuddyKids' o equivalente a SUBMITTED prima del test)</t>
        </is>
      </c>
      <c r="E410" s="22" t="inlineStr">
        <is>
          <t>Admin: 'Richiedi modifiche' -&gt; Partner vede 'Integrazioni richieste' -&gt; 'Invia nuovamente per verifica' -&gt; Admin: 'Approva'</t>
        </is>
      </c>
      <c r="F410" s="22" t="inlineStr">
        <is>
          <t>Stato finale 'Approvato'; lo storico mostra l'intero giro (Centro da attivare/Attivazione avviata/In verifica/Integrazioni richieste/In verifica/Centro attivo lato Partner)</t>
        </is>
      </c>
      <c r="G410" s="22" t="inlineStr">
        <is>
          <t>DA TESTARE (richiede migration_09 applicata + precondizione manuale)</t>
        </is>
      </c>
      <c r="H410" s="22">
        <f>IF(G410="BUG","BUG-"&amp;A410,IF(G410="FUNCTIONAL","FUNCTIONAL-"&amp;A410,""))</f>
        <v/>
      </c>
      <c r="I410" s="22" t="inlineStr">
        <is>
          <t>Media</t>
        </is>
      </c>
      <c r="L410" s="22" t="inlineStr">
        <is>
          <t>Test automatizzato: tests/one/onboarding-remediation.spec.ts, TC-N409. CTA "Invia nuovamente per verifica" (non "Invia per verifica") specifica per questo stato — vedi lib/onboarding/status-copy.ts.</t>
        </is>
      </c>
    </row>
    <row r="411">
      <c r="A411" s="22" t="inlineStr">
        <is>
          <t>TC-N410</t>
        </is>
      </c>
      <c r="B411" s="22" t="inlineStr">
        <is>
          <t>TRAMA ONE - Onboarding Centro (Audit Remediation, microcopy)</t>
        </is>
      </c>
      <c r="C411" s="22" t="inlineStr">
        <is>
          <t>Il termine 'Reclama'/'Rivendica' non compare in alcuna etichetta o CTA del registry onboarding; valori tecnici invariati; storico in italiano</t>
        </is>
      </c>
      <c r="D411" s="22" t="inlineStr">
        <is>
          <t>Nessuna (test puro, no browser)</t>
        </is>
      </c>
      <c r="E411" s="22" t="inlineStr">
        <is>
          <t>npx playwright test tests/one/onboarding.spec.ts --grep "TC-N410"</t>
        </is>
      </c>
      <c r="F411" s="22" t="inlineStr">
        <is>
          <t>9 assertion verdi: 6 valori tecnici invariati, etichette Partner/Admin non vuote e differenziabili, CTA 'Avvia l'attivazione del centro' presente, getSubmitCta corretto, formatOnboardingTransition traduce in italiano, nessuna parola vietata nei componenti UI</t>
        </is>
      </c>
      <c r="G411" s="22" t="inlineStr">
        <is>
          <t>OK</t>
        </is>
      </c>
      <c r="H411" s="22">
        <f>IF(G411="BUG","BUG-"&amp;A411,IF(G411="FUNCTIONAL","FUNCTIONAL-"&amp;A411,""))</f>
        <v/>
      </c>
      <c r="I411" s="22" t="inlineStr">
        <is>
          <t>Alta</t>
        </is>
      </c>
      <c r="L411" s="22" t="inlineStr">
        <is>
          <t>Eseguito nel sandbox: 72/72 passed (include anche checklist/walkthrough/feature-flags gia' esistenti). Vedi tests/one/onboarding.spec.ts, describe 'registry etichette italiane onboarding [no browser]'.</t>
        </is>
      </c>
    </row>
    <row r="412">
      <c r="A412" s="22" t="inlineStr">
        <is>
          <t>TC-N411</t>
        </is>
      </c>
      <c r="B412" s="22" t="inlineStr">
        <is>
          <t>TRAMA ONE - Onboarding Centro (Audit Remediation, sicurezza)</t>
        </is>
      </c>
      <c r="C412" s="22" t="inlineStr">
        <is>
          <t>Un center_admin di un centro diverso non puo' leggere/modificare l'onboarding di un altro centro</t>
        </is>
      </c>
      <c r="D412" s="22" t="inlineStr">
        <is>
          <t>Richiede una SECONDA utenza center_admin di test associata a un centro diverso — non ancora provisionata in questo progetto</t>
        </is>
      </c>
      <c r="E412" s="22" t="inlineStr">
        <is>
          <t>(da definire quando la seconda utenza sara' disponibile)</t>
        </is>
      </c>
      <c r="F412" s="22" t="inlineStr">
        <is>
          <t>L'accesso/la modifica su un centro non proprio viene rifiutata (RLS current_center_id() di migration_09, non modificata da questa remediation)</t>
        </is>
      </c>
      <c r="G412" s="22" t="inlineStr">
        <is>
          <t>NON AUTOMATIZZATO (test.skip — richiede seconda utenza di test)</t>
        </is>
      </c>
      <c r="H412" s="22">
        <f>IF(G412="BUG","BUG-"&amp;A412,IF(G412="FUNCTIONAL","FUNCTIONAL-"&amp;A412,""))</f>
        <v/>
      </c>
      <c r="I412" s="22" t="inlineStr">
        <is>
          <t>Media</t>
        </is>
      </c>
      <c r="L412" s="22" t="inlineStr">
        <is>
          <t>Test predisposto in tests/one/onboarding-remediation.spec.ts (TC-N411), skippato con motivazione esplicita. Le policy RLS coinvolte sono quelle di migration_09 (gia' in produzione), non introdotte da questa remediation.</t>
        </is>
      </c>
    </row>
    <row r="413">
      <c r="A413" s="22" t="inlineStr">
        <is>
          <t>TC-N412</t>
        </is>
      </c>
      <c r="B413" s="22" t="inlineStr">
        <is>
          <t>TRAMA ONE - Onboarding Centro (Audit Remediation)</t>
        </is>
      </c>
      <c r="C413" s="22" t="inlineStr">
        <is>
          <t>Partner: /center/one/onboarding senza sessione autenticata reindirizza al login</t>
        </is>
      </c>
      <c r="D413" s="22" t="inlineStr">
        <is>
          <t>Nessuna sessione attiva</t>
        </is>
      </c>
      <c r="E413" s="22" t="inlineStr">
        <is>
          <t>Apri /center/one/onboarding senza login</t>
        </is>
      </c>
      <c r="F413" s="22" t="inlineStr">
        <is>
          <t>Redirect a /auth/login (comportamento proxy.ts invariato, non modificato da questa remediation)</t>
        </is>
      </c>
      <c r="G413" s="22" t="inlineStr">
        <is>
          <t>DA TESTARE</t>
        </is>
      </c>
      <c r="H413" s="22">
        <f>IF(G413="BUG","BUG-"&amp;A413,IF(G413="FUNCTIONAL","FUNCTIONAL-"&amp;A413,""))</f>
        <v/>
      </c>
      <c r="I413" s="22" t="inlineStr">
        <is>
          <t>Bassa</t>
        </is>
      </c>
      <c r="L413" s="22" t="inlineStr">
        <is>
          <t>Test automatizzato: tests/one/onboarding-remediation.spec.ts, TC-N412.</t>
        </is>
      </c>
    </row>
    <row r="414">
      <c r="A414" s="22" t="inlineStr">
        <is>
          <t>TC-N413</t>
        </is>
      </c>
      <c r="B414" s="22" t="inlineStr">
        <is>
          <t>TRAMA ONE - Onboarding Centro (Audit Remediation)</t>
        </is>
      </c>
      <c r="C414" s="22" t="inlineStr">
        <is>
          <t>Admin: /admin/one/onboarding senza sessione autenticata reindirizza al login</t>
        </is>
      </c>
      <c r="D414" s="22" t="inlineStr">
        <is>
          <t>Nessuna sessione attiva</t>
        </is>
      </c>
      <c r="E414" s="22" t="inlineStr">
        <is>
          <t>Apri /admin/one/onboarding senza login</t>
        </is>
      </c>
      <c r="F414" s="22" t="inlineStr">
        <is>
          <t>Redirect a /auth/login (comportamento proxy.ts invariato, non modificato da questa remediation)</t>
        </is>
      </c>
      <c r="G414" s="22" t="inlineStr">
        <is>
          <t>DA TESTARE</t>
        </is>
      </c>
      <c r="H414" s="22">
        <f>IF(G414="BUG","BUG-"&amp;A414,IF(G414="FUNCTIONAL","FUNCTIONAL-"&amp;A414,""))</f>
        <v/>
      </c>
      <c r="I414" s="22" t="inlineStr">
        <is>
          <t>Bassa</t>
        </is>
      </c>
      <c r="L414" s="22" t="inlineStr">
        <is>
          <t>Test automatizzato: tests/one/onboarding-remediation.spec.ts, TC-N413.</t>
        </is>
      </c>
    </row>
    <row r="415">
      <c r="A415" t="inlineStr">
        <is>
          <t>TC-414</t>
        </is>
      </c>
      <c r="B415" t="inlineStr">
        <is>
          <t>TRAMA ONE Build Sprint 2 - Catalogo/Giorni spot</t>
        </is>
      </c>
      <c r="C415" t="inlineStr">
        <is>
          <t>Il gestore puo' impostare la modalita' di prenotazione (settimana/giornaliera/mista) e un minimo giorni facoltativo per un'attivita', senza alterare il comportamento delle attivita' esistenti (default 'mixed')</t>
        </is>
      </c>
      <c r="D415" t="inlineStr">
        <is>
          <t>Account Gestore collegato a un centro, attivita esistente ([TEST] Attivita BuddyKids); migration_11_activity_booking_mode.sql applicata in produzione</t>
        </is>
      </c>
      <c r="E415" t="inlineStr">
        <is>
          <t>Apri /center/activities/[id] -&gt; sezione 'Modalita di prenotazione' -&gt; seleziona 'Solo Giorni spot' -&gt; imposta minimo giorni -&gt; Salva modifiche -&gt; verifica -&gt; ripristina 'Settimana e Giorni spot'</t>
        </is>
      </c>
      <c r="F415" t="inlineStr">
        <is>
          <t>Il salvataggio scrive booking_mode/min_days_per_booking su activities (aggiornamento condizionale, vedi updateActivityAction); nessuna attivita esistente cambia comportamento finche' non viene esplicitamente modificata (default 'mixed' invariato)</t>
        </is>
      </c>
      <c r="G415" t="inlineStr">
        <is>
          <t>DA TESTARE</t>
        </is>
      </c>
      <c r="H415">
        <f>IF(G415="BUG","BUG-"&amp;A415,IF(G415="FUNCTIONAL","FUNCTIONAL-"&amp;A415,""))</f>
        <v/>
      </c>
      <c r="I415" t="inlineStr">
        <is>
          <t>Media</t>
        </is>
      </c>
      <c r="L415" t="inlineStr">
        <is>
          <t>Test automatizzato: tests/gestore/attivita.spec.ts, TC-414 (gated su isRealDeployment + migration_11 applicata). Riferimento: DEC-32 (DECISION_LOG.md), SPRINT_2_FEATURE_PRESERVATION_MATRIX.md, migration_11_activity_booking_mode.sql (non ancora applicata in produzione).</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39"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0">
        <f>COUNTIF('Test Case'!G:G,"OK")</f>
        <v/>
      </c>
      <c r="D3" s="28" t="inlineStr">
        <is>
          <t>Setup</t>
        </is>
      </c>
      <c r="E3" s="40">
        <f>COUNTIF('Test Case'!B:B,"Setup")</f>
        <v/>
      </c>
    </row>
    <row r="4" ht="15" customHeight="1" s="23">
      <c r="A4" s="28" t="inlineStr">
        <is>
          <t>BUG</t>
        </is>
      </c>
      <c r="B4" s="40">
        <f>COUNTIF('Test Case'!G:G,"BUG")</f>
        <v/>
      </c>
      <c r="D4" s="28" t="inlineStr">
        <is>
          <t>Genitori - Home</t>
        </is>
      </c>
      <c r="E4" s="40">
        <f>COUNTIF('Test Case'!B:B,"Genitori - Home")</f>
        <v/>
      </c>
    </row>
    <row r="5" ht="15" customHeight="1" s="23">
      <c r="A5" s="28" t="inlineStr">
        <is>
          <t>FUNCTIONAL</t>
        </is>
      </c>
      <c r="B5" s="40">
        <f>COUNTIF('Test Case'!G:G,"FUNCTIONAL")</f>
        <v/>
      </c>
      <c r="D5" s="28" t="inlineStr">
        <is>
          <t>Genitori - Cerca</t>
        </is>
      </c>
      <c r="E5" s="40">
        <f>COUNTIF('Test Case'!B:B,"Genitori - Cerca")</f>
        <v/>
      </c>
    </row>
    <row r="6" ht="15" customHeight="1" s="23">
      <c r="A6" s="28" t="inlineStr">
        <is>
          <t>DA TESTARE</t>
        </is>
      </c>
      <c r="B6" s="40">
        <f>COUNTIF('Test Case'!G:G,"DA TESTARE")</f>
        <v/>
      </c>
      <c r="D6" s="28" t="inlineStr">
        <is>
          <t>Genitori - Attivita</t>
        </is>
      </c>
      <c r="E6" s="40">
        <f>COUNTIF('Test Case'!B:B,"Genitori - Attivita")</f>
        <v/>
      </c>
    </row>
    <row r="7" ht="15" customHeight="1" s="23">
      <c r="A7" s="30" t="inlineStr">
        <is>
          <t>Totale test case</t>
        </is>
      </c>
      <c r="B7" s="41">
        <f>COUNTA('Test Case'!A2:A10000)</f>
        <v/>
      </c>
      <c r="D7" s="28" t="inlineStr">
        <is>
          <t>Genitori - Prenotazione</t>
        </is>
      </c>
      <c r="E7" s="40">
        <f>COUNTIF('Test Case'!B:B,"Genitori - Prenotazione")</f>
        <v/>
      </c>
    </row>
    <row r="8" ht="15" customHeight="1" s="23">
      <c r="D8" s="28" t="inlineStr">
        <is>
          <t>Genitori - Gruppi</t>
        </is>
      </c>
      <c r="E8" s="40">
        <f>COUNTIF('Test Case'!B:B,"Genitori - Gruppi")</f>
        <v/>
      </c>
    </row>
    <row r="9" ht="15" customHeight="1" s="23">
      <c r="D9" s="28" t="inlineStr">
        <is>
          <t>Gestore - Richieste Gruppo</t>
        </is>
      </c>
      <c r="E9" s="40">
        <f>COUNTIF('Test Case'!B:B,"Gestore - Richieste Gruppo")</f>
        <v/>
      </c>
    </row>
    <row r="10" ht="15" customHeight="1" s="23">
      <c r="D10" s="28" t="inlineStr">
        <is>
          <t>Genitori - Accompagnamento</t>
        </is>
      </c>
      <c r="E10" s="40">
        <f>COUNTIF('Test Case'!B:B,"Genitori - Accompagnamento")</f>
        <v/>
      </c>
    </row>
    <row r="11" ht="15" customHeight="1" s="23">
      <c r="D11" s="28" t="inlineStr">
        <is>
          <t>Genitori - Calendario</t>
        </is>
      </c>
      <c r="E11" s="40">
        <f>COUNTIF('Test Case'!B:B,"Genitori - Calendario")</f>
        <v/>
      </c>
    </row>
    <row r="12" ht="15" customHeight="1" s="23">
      <c r="D12" s="28" t="inlineStr">
        <is>
          <t>Genitori - Profilo</t>
        </is>
      </c>
      <c r="E12" s="40">
        <f>COUNTIF('Test Case'!B:B,"Genitori - Profilo")</f>
        <v/>
      </c>
    </row>
    <row r="13" ht="15" customHeight="1" s="23">
      <c r="D13" s="28" t="inlineStr">
        <is>
          <t>Gestore - Dashboard</t>
        </is>
      </c>
      <c r="E13" s="40">
        <f>COUNTIF('Test Case'!B:B,"Gestore - Dashboard")</f>
        <v/>
      </c>
    </row>
    <row r="14" ht="15" customHeight="1" s="23">
      <c r="D14" s="28" t="inlineStr">
        <is>
          <t>Gestore - Attivita</t>
        </is>
      </c>
      <c r="E14" s="40">
        <f>COUNTIF('Test Case'!B:B,"Gestore - Attivita")</f>
        <v/>
      </c>
    </row>
    <row r="15" ht="15" customHeight="1" s="23">
      <c r="D15" s="28" t="inlineStr">
        <is>
          <t>Gestore - Promozioni</t>
        </is>
      </c>
      <c r="E15" s="40">
        <f>COUNTIF('Test Case'!B:B,"Gestore - Promozioni")</f>
        <v/>
      </c>
    </row>
    <row r="16" ht="15" customHeight="1" s="23">
      <c r="D16" s="28" t="inlineStr">
        <is>
          <t>Gestore - Profilo Centro</t>
        </is>
      </c>
      <c r="E16" s="40">
        <f>COUNTIF('Test Case'!B:B,"Gestore - Profilo Centro")</f>
        <v/>
      </c>
    </row>
    <row r="17" ht="15" customHeight="1" s="23">
      <c r="D17" s="28" t="inlineStr">
        <is>
          <t>Admin - Dashboard</t>
        </is>
      </c>
      <c r="E17" s="40">
        <f>COUNTIF('Test Case'!B:B,"Admin - Dashboard")</f>
        <v/>
      </c>
    </row>
    <row r="18" ht="15" customHeight="1" s="23">
      <c r="D18" s="28" t="inlineStr">
        <is>
          <t>Admin - Gestione</t>
        </is>
      </c>
      <c r="E18" s="40">
        <f>COUNTIF('Test Case'!B:B,"Admin - Gestione")</f>
        <v/>
      </c>
    </row>
    <row r="19" ht="15" customHeight="1" s="23">
      <c r="D19" s="28" t="inlineStr">
        <is>
          <t>Admin - Richieste Gruppo</t>
        </is>
      </c>
      <c r="E19" s="40">
        <f>COUNTIF('Test Case'!B:B,"Admin - Richieste Gruppo")</f>
        <v/>
      </c>
    </row>
    <row r="20" ht="15" customHeight="1" s="23">
      <c r="D20" s="28" t="inlineStr">
        <is>
          <t>Admin - Analytics</t>
        </is>
      </c>
      <c r="E20" s="40">
        <f>COUNTIF('Test Case'!B:B,"Admin - Analytics")</f>
        <v/>
      </c>
    </row>
    <row r="21" ht="15" customHeight="1" s="23">
      <c r="D21" s="28" t="inlineStr">
        <is>
          <t>Multi-tenant / PWA</t>
        </is>
      </c>
      <c r="E21" s="40">
        <f>COUNTIF('Test Case'!B:B,"Multi-tenant / PWA")</f>
        <v/>
      </c>
    </row>
    <row r="22" ht="15" customHeight="1" s="23">
      <c r="D22" s="28" t="inlineStr">
        <is>
          <t>Fuori scope attuale</t>
        </is>
      </c>
      <c r="E22" s="40">
        <f>COUNTIF('Test Case'!B:B,"Fuori scope attuale")</f>
        <v/>
      </c>
    </row>
    <row r="23" ht="15" customHeight="1" s="23">
      <c r="D23" s="28" t="inlineStr">
        <is>
          <t>Genitori - Home (Planner/Per Bambino)</t>
        </is>
      </c>
      <c r="E23" s="40">
        <f>COUNTIF('Test Case'!B:B,"Genitori - Home (Planner/Per Bambino)")</f>
        <v/>
      </c>
    </row>
    <row r="24" ht="15" customHeight="1" s="23">
      <c r="D24" s="28" t="inlineStr">
        <is>
          <t>Gestore - Inviti</t>
        </is>
      </c>
      <c r="E24" s="40">
        <f>COUNTIF('Test Case'!B:B,"Gestore - Inviti")</f>
        <v/>
      </c>
    </row>
    <row r="25" ht="15" customHeight="1" s="23">
      <c r="D25" s="28" t="inlineStr">
        <is>
          <t>Genitori - Registrazione</t>
        </is>
      </c>
      <c r="E25" s="40">
        <f>COUNTIF('Test Case'!B:B,"Genitori - Registrazione")</f>
        <v/>
      </c>
    </row>
    <row r="26" ht="15" customHeight="1" s="23">
      <c r="D26" s="28" t="inlineStr">
        <is>
          <t>Gestore - Le mie richieste</t>
        </is>
      </c>
      <c r="E26" s="40">
        <f>COUNTIF('Test Case'!B:B,"Gestore - Le mie richieste")</f>
        <v/>
      </c>
    </row>
    <row r="27" ht="15" customHeight="1" s="23">
      <c r="D27" s="28" t="inlineStr">
        <is>
          <t>Gestore - Report presenze</t>
        </is>
      </c>
      <c r="E27" s="40">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2026-07-20T22:08:16Z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