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genda" sheetId="1" state="visible" r:id="rId3"/>
    <sheet name="Test Case" sheetId="2" state="visible" r:id="rId4"/>
    <sheet name="Riepilogo" sheetId="3" state="visible" r:id="rId5"/>
  </sheets>
  <definedNames>
    <definedName function="false" hidden="true" localSheetId="1" name="_xlnm._FilterDatabase" vbProcedure="false">'Test Case'!$A$1:$L$101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<sst xmlns="http://schemas.openxmlformats.org/spreadsheetml/2006/main" count="4396" uniqueCount="2856">
  <si>
    <t xml:space="preserve">BuddyKids — Matrice di Test</t>
  </si>
  <si>
    <t xml:space="preserve">Guida alla compilazione della colonna Esito</t>
  </si>
  <si>
    <t xml:space="preserve">Colonna</t>
  </si>
  <si>
    <t xml:space="preserve">Significato</t>
  </si>
  <si>
    <t xml:space="preserve">Esito = OK</t>
  </si>
  <si>
    <t xml:space="preserve">Il test e stato eseguito e il comportamento corrisponde al risultato atteso.</t>
  </si>
  <si>
    <t xml:space="preserve">Esito = BUG</t>
  </si>
  <si>
    <t xml:space="preserve">Il comportamento non corrisponde a quanto previsto per un errore tecnico (crash, dato sbagliato, funzione che non risponde). Genera automaticamente un ID 'BUG-TC-xxx' in colonna ID Anomalia.</t>
  </si>
  <si>
    <t xml:space="preserve">Esito = FUNCTIONAL</t>
  </si>
  <si>
    <t xml:space="preserve">Il comportamento e quello atteso OGGI, ma manca un requisito/funzionalita non ancora costruita (non e un errore, e un gap di scope). Genera automaticamente un ID 'FUNCTIONAL-TC-xxx'.</t>
  </si>
  <si>
    <t xml:space="preserve">Esito = DA TESTARE</t>
  </si>
  <si>
    <t xml:space="preserve">Non ancora verificato sul deploy reale — da compilare durante il test.</t>
  </si>
  <si>
    <t xml:space="preserve">Priorita</t>
  </si>
  <si>
    <t xml:space="preserve">Alta = blocca un flusso centrale (registrazione, prenotazione, pagamento simulato, sicurezza ruoli). Media = funzionalita secondaria ma visibile. Bassa = rifinitura/nice-to-have.</t>
  </si>
  <si>
    <t xml:space="preserve">Task collegato</t>
  </si>
  <si>
    <t xml:space="preserve">Riferimento al numero di task interno gia tracciato in questa conversazione, quando applicabile.</t>
  </si>
  <si>
    <t xml:space="preserve">Note</t>
  </si>
  <si>
    <t xml:space="preserve">Ipotesi/diagnosi gia note dal codice sorgente (utile per non re-investigare da zero) o dettagli aggiuntivi.</t>
  </si>
  <si>
    <t xml:space="preserve">Ordine di test consigliato</t>
  </si>
  <si>
    <t xml:space="preserve">1. Setup — crea le tre utenze (genitore, gestore, admin) prima di tutto il resto.</t>
  </si>
  <si>
    <t xml:space="preserve">2. Genitori — Home, Cerca, Attivita, Prenotazione.</t>
  </si>
  <si>
    <t xml:space="preserve">3. Genitori — Gruppi (crea gruppo, invita una seconda utenza genitore reale per testare davvero l'adesione multi-famiglia) e Accompagnamento.</t>
  </si>
  <si>
    <t xml:space="preserve">4. Gestore — ricevi e rispondi alla Richiesta Gruppo generata al punto 3.</t>
  </si>
  <si>
    <t xml:space="preserve">5. Gestore — Attivita/Promozioni/Profilo centro.</t>
  </si>
  <si>
    <t xml:space="preserve">6. Admin — Dashboard/Gestione/Analytics/Richieste Gruppo/Tag.</t>
  </si>
  <si>
    <t xml:space="preserve">7. Multi-tenant/PWA — per ultimo, richiede i tre alias/domini pubblicati.</t>
  </si>
  <si>
    <t xml:space="preserve">ID Test</t>
  </si>
  <si>
    <t xml:space="preserve">Area</t>
  </si>
  <si>
    <t xml:space="preserve">Scenario</t>
  </si>
  <si>
    <t xml:space="preserve">Precondizioni</t>
  </si>
  <si>
    <t xml:space="preserve">Passi</t>
  </si>
  <si>
    <t xml:space="preserve">Risultato atteso</t>
  </si>
  <si>
    <t xml:space="preserve">Esito</t>
  </si>
  <si>
    <t xml:space="preserve">ID Anomalia</t>
  </si>
  <si>
    <t xml:space="preserve">STATO ANOMALIA</t>
  </si>
  <si>
    <t xml:space="preserve">TC-001</t>
  </si>
  <si>
    <t xml:space="preserve">Setup</t>
  </si>
  <si>
    <t xml:space="preserve">Registrazione nuovo account genitore</t>
  </si>
  <si>
    <t xml:space="preserve">Nessun account con quella email</t>
  </si>
  <si>
    <t xml:space="preserve">Vai su /auth/login -&gt; tab 'Registrati' -&gt; inserisci email+password (min 6 caratteri) -&gt; invia</t>
  </si>
  <si>
    <t xml:space="preserve">Messaggio 'Controlla la tua email per confermare la registrazione'; riga creata in public.profiles con role='parent'</t>
  </si>
  <si>
    <t xml:space="preserve">OK</t>
  </si>
  <si>
    <t xml:space="preserve">Alta</t>
  </si>
  <si>
    <t xml:space="preserve">FIX (messaggio post-registrazione già mostrato in pagina, verificato nel codice) / NON-CODICE (dominio email invio - vedi task #53, azione su dashboard Supabase, non da codice)</t>
  </si>
  <si>
    <t xml:space="preserve">1) Dopo aver inserito email e password, la pagina dovrebbe aggiornarsi mentre rimane sul login
2) la mail, ora, arriva da supabase: segnarsi di sistemare tutte le mail con indirizzi e domini corretti</t>
  </si>
  <si>
    <t xml:space="preserve">TC-002</t>
  </si>
  <si>
    <t xml:space="preserve">Conferma email e primo accesso</t>
  </si>
  <si>
    <t xml:space="preserve">Registrazione completata (TC precedente)</t>
  </si>
  <si>
    <t xml:space="preserve">Apri il link di conferma ricevuto via email -&gt; verifica redirect su /auth/callback -&gt; poi login con email+password</t>
  </si>
  <si>
    <t xml:space="preserve">Login riuscito, redirect a '/'</t>
  </si>
  <si>
    <t xml:space="preserve">TC-003</t>
  </si>
  <si>
    <t xml:space="preserve">Login con credenziali errate</t>
  </si>
  <si>
    <t xml:space="preserve">Account esistente</t>
  </si>
  <si>
    <t xml:space="preserve">Vai su /auth/login -&gt; inserisci password sbagliata -&gt; invia</t>
  </si>
  <si>
    <t xml:space="preserve">Messaggio di errore visibile, nessun accesso</t>
  </si>
  <si>
    <t xml:space="preserve">BUG</t>
  </si>
  <si>
    <t xml:space="preserve">Media</t>
  </si>
  <si>
    <t xml:space="preserve">TO DEPLOY (fixato in questa sessione: messaggi di errore login tradotti in italiano) | RISOLTO: bug label email/password non associate, vedi Note | RISOLTO (hardening test)</t>
  </si>
  <si>
    <t xml:space="preserve">Viene mostrato messaggio "Invalid login credentials" - inserire messaggio parlante user friendly | Bug trovato nella prima esecuzione reale della suite: le label Email/Password in LoginForm.tsx non erano associate (mancava htmlFor/id) agli input, quindi getByLabel() non trovava mai i campi e ogni test con login reale andava in timeout — causa di ~70 fallimenti in un solo run. Corretto aggiungendo htmlFor/id a Email, Password e Codice invito in LoginForm.tsx. | RUN REALE: fallimento sporadico su mobile-chrome (messaggio non trovato entro 10s) — probabile rate limit Supabase Auth (molti login paralleli, fullyParallel:true) invece del messaggio 'non corrette'. Regex del test ampliata per coprire anche 'troppi tentativi', timeout alzato a 15s.</t>
  </si>
  <si>
    <t xml:space="preserve">TC-004</t>
  </si>
  <si>
    <t xml:space="preserve">Password dimenticata</t>
  </si>
  <si>
    <t xml:space="preserve">Nessuna</t>
  </si>
  <si>
    <t xml:space="preserve">Click su 'Password dimenticata?' in /auth/login</t>
  </si>
  <si>
    <t xml:space="preserve">Dovrebbe avviare un flusso di reset password</t>
  </si>
  <si>
    <t xml:space="preserve">FUNCTIONAL</t>
  </si>
  <si>
    <t xml:space="preserve">Bassa</t>
  </si>
  <si>
    <t xml:space="preserve">#11 area affine</t>
  </si>
  <si>
    <t xml:space="preserve">TO DEPLOY (fixato in questa sessione: reset password reale via Supabase)</t>
  </si>
  <si>
    <t xml:space="preserve">Noto: badge ComingSoon, nessuna azione reale implementata</t>
  </si>
  <si>
    <t xml:space="preserve">TC-005</t>
  </si>
  <si>
    <t xml:space="preserve">Promozione account a Gestore centro</t>
  </si>
  <si>
    <t xml:space="preserve">Account genitore registrato, accesso allo SQL Editor Supabase</t>
  </si>
  <si>
    <t xml:space="preserve">Esegui: update public.profiles set role='center_admin', center_id=(select id from centers where slug='...') where email='...'</t>
  </si>
  <si>
    <t xml:space="preserve">Il profilo ha role=center_admin e center_id valorizzato</t>
  </si>
  <si>
    <t xml:space="preserve">DA TESTARE</t>
  </si>
  <si>
    <t xml:space="preserve">PARZIALE: TO DEPLOY (branding pagina login + CTA logout fixati) / NOT CLEAR (creazione account self-service senza SQL - task #44, serve tua decisione su workflow di approvazione)</t>
  </si>
  <si>
    <t xml:space="preserve">Test case tecnico - da riformulare con processo "utente" senza accesso ai db o conoscenza dell'infrastruttura tecnica
Bisogna prevedere creazione account separata da quella del genitore, sono processi e flussi distinti. Anche l'homepage di autenticazione deve riportare colori e layout dell'app "Partner" e non come ora, quella dei genitori. Modificare CTA "Torna all'app" con "Esci dall'account" o simile.</t>
  </si>
  <si>
    <t xml:space="preserve">TC-006</t>
  </si>
  <si>
    <t xml:space="preserve">Login Gestore su dominio partner/alias</t>
  </si>
  <si>
    <t xml:space="preserve">Account promosso (TC precedente)</t>
  </si>
  <si>
    <t xml:space="preserve">Vai sull'alias/dominio partner -&gt; login -&gt; verifica redirect a /center</t>
  </si>
  <si>
    <t xml:space="preserve">Accesso alla dashboard Gestore, sidebar con Dashboard/Il mio centro/Attivita/Promozioni/Richieste Gruppo</t>
  </si>
  <si>
    <t xml:space="preserve">#6</t>
  </si>
  <si>
    <t xml:space="preserve">TO DEPLOY (fixato: login tenant-aware, redirect corretto)</t>
  </si>
  <si>
    <t xml:space="preserve">TC-007</t>
  </si>
  <si>
    <t xml:space="preserve">Promozione account ad Admin piattaforma</t>
  </si>
  <si>
    <t xml:space="preserve">Account genitore registrato</t>
  </si>
  <si>
    <t xml:space="preserve">Esegui: update public.profiles set role='platform_admin' where email='...'</t>
  </si>
  <si>
    <t xml:space="preserve">Il profilo ha role=platform_admin</t>
  </si>
  <si>
    <t xml:space="preserve">PARZIALE: TO DEPLOY (branding pagina login + CTA logout fixati) / NOT CLEAR (creazione account self-service senza SQL - task #44, serve tua decisione)</t>
  </si>
  <si>
    <t xml:space="preserve">Test case tecnico - da riformulare con processo "utente" senza accesso ai db o conoscenza dell'infrastruttura tecnica
Bisogna prevedere creazione account separata da quella del genitore, sono processi e flussi distinti. Anche l'homepage di autenticazione deve riportare colori e layout dell'app "Admin" e non come ora, quella dei genitori. Modificare CTA "Torna all'app" con "Esci dall'account" o simile</t>
  </si>
  <si>
    <t xml:space="preserve">TC-008</t>
  </si>
  <si>
    <t xml:space="preserve">Login Admin su dominio admin/alias</t>
  </si>
  <si>
    <t xml:space="preserve">Vai sull'alias/dominio admin -&gt; login -&gt; verifica redirect a /admin</t>
  </si>
  <si>
    <t xml:space="preserve">Accesso alla dashboard Admin</t>
  </si>
  <si>
    <t xml:space="preserve">#8</t>
  </si>
  <si>
    <t xml:space="preserve">TC-009</t>
  </si>
  <si>
    <t xml:space="preserve">Accesso negato a /center con ruolo parent</t>
  </si>
  <si>
    <t xml:space="preserve">Account con role=parent</t>
  </si>
  <si>
    <t xml:space="preserve">Vai sul dominio partner e prova ad accedere</t>
  </si>
  <si>
    <t xml:space="preserve">Se non loggato: redirect a login sullo stesso host; se loggato come parent: redirect al dominio principale</t>
  </si>
  <si>
    <t xml:space="preserve">NOT CLEAR (nota è sulla riformulazione del test, non un bug applicativo - legato a #44)</t>
  </si>
  <si>
    <t xml:space="preserve">Test case tecnico - da riformulare con processo "utente" senza accesso ai db o conoscenza dell'infrastruttura tecnica</t>
  </si>
  <si>
    <t xml:space="preserve">TC-010</t>
  </si>
  <si>
    <t xml:space="preserve">Accesso negato a /admin con ruolo center_admin</t>
  </si>
  <si>
    <t xml:space="preserve">Account con role=center_admin</t>
  </si>
  <si>
    <t xml:space="preserve">Vai sul dominio admin e prova ad accedere</t>
  </si>
  <si>
    <t xml:space="preserve">Redirect al dominio principale (l'admin e' superset, il gestore no)</t>
  </si>
  <si>
    <t xml:space="preserve">TC-011</t>
  </si>
  <si>
    <t xml:space="preserve">Logout</t>
  </si>
  <si>
    <t xml:space="preserve">Utente loggato (qualsiasi ruolo)</t>
  </si>
  <si>
    <t xml:space="preserve">Vai su Profilo (genitore) o link in sidebar (gestore/admin) -&gt; click 'Esci'</t>
  </si>
  <si>
    <t xml:space="preserve">Sessione terminata, redirect a login o home pubblica</t>
  </si>
  <si>
    <t xml:space="preserve">TC-012</t>
  </si>
  <si>
    <t xml:space="preserve">Genitori - Home</t>
  </si>
  <si>
    <t xml:space="preserve">Home mostra attivita reali</t>
  </si>
  <si>
    <t xml:space="preserve">Almeno un'attivita inserita in Supabase</t>
  </si>
  <si>
    <t xml:space="preserve">Login come genitore -&gt; apri '/'</t>
  </si>
  <si>
    <t xml:space="preserve">Le card 'Popolari' mostrano attivita reali dal DB, non i dati demo</t>
  </si>
  <si>
    <t xml:space="preserve">#3</t>
  </si>
  <si>
    <t xml:space="preserve">PARZIALE: TO DEPLOY (ordinamento interim su rating/recensioni reali fixato) / NOT CLEAR (definizione di business di cosa rende un'attività "Popolare" - serve tua decisione)</t>
  </si>
  <si>
    <t xml:space="preserve">Inserire TC per creazione - lato Partner - dell'attività. Specificare funzionalmente come deve essere resa "Popolare" una attività</t>
  </si>
  <si>
    <t xml:space="preserve">TC-013</t>
  </si>
  <si>
    <t xml:space="preserve">Filtro categoria in Home</t>
  </si>
  <si>
    <t xml:space="preserve">Su Home, clicca una categoria (es. Sport) -&gt; poi 'Tutte'</t>
  </si>
  <si>
    <t xml:space="preserve">Le card mostrate cambiano in base al tag selezionato; 'Tutte' ripristina la lista intera</t>
  </si>
  <si>
    <t xml:space="preserve">#30</t>
  </si>
  <si>
    <t xml:space="preserve">AGGIORNATO: la vecchia UI Home "Popolari vicino a te" con filtro categoria e stata sostituita dal toggle Planner/Per bambino; test riscritto per verificare il chip Sport dentro Per bambino &gt; Categorie (vedi HomeFeed.tsx / PerBambinoView.tsx). | RISOLTO</t>
  </si>
  <si>
    <t xml:space="preserve">BUG DI TEST TROVATO+CORRETTO (run reale): la regex /border-sky/ matchava anche la classe statica 'hover:border-sky' presente nel chip NON selezionato (CategoryChip.tsx), quindi l'assert 'non selezionato' falliva sempre. Corretta con lookbehind negativo (?&lt;!hover:)border-sky\b.</t>
  </si>
  <si>
    <t xml:space="preserve">TC-014</t>
  </si>
  <si>
    <t xml:space="preserve">Geolocalizzazione Home</t>
  </si>
  <si>
    <t xml:space="preserve">Permessi posizione del browser concessi</t>
  </si>
  <si>
    <t xml:space="preserve">Clicca 'Attivita sulla mappa' / 'Usa posizione' -&gt; concedi permesso</t>
  </si>
  <si>
    <t xml:space="preserve">Il testo mostra un conteggio reale di centri entro 5 km (non piu fisso a 24)</t>
  </si>
  <si>
    <t xml:space="preserve">ENHANCEMENT</t>
  </si>
  <si>
    <t xml:space="preserve">TO DEPLOY (fixato: la posizione rilevata resta salvata tra Home e Cerca in questa sessione)</t>
  </si>
  <si>
    <t xml:space="preserve">La geolocalizzazione funziona, ma ogni volta riappare la CTA "Usa posizione" dopo qualsiasi passaggio. Bisogna rivedere la UX
</t>
  </si>
  <si>
    <t xml:space="preserve">TC-015</t>
  </si>
  <si>
    <t xml:space="preserve">Geolocalizzazione negata</t>
  </si>
  <si>
    <t xml:space="preserve">Clicca 'Usa posizione' -&gt; nega il permesso</t>
  </si>
  <si>
    <t xml:space="preserve">Messaggio di errore leggibile, l'app non si blocca</t>
  </si>
  <si>
    <t xml:space="preserve">PARZIALE: TO DEPLOY (messaggio di errore migliorato) / NOT CLEAR (il browser blocca la ri-richiesta del popup nativo dopo un rifiuto per policy di sicurezza - limite del browser, non risolvibile lato app)</t>
  </si>
  <si>
    <t xml:space="preserve">Funziona: "Non è stato possibile ottenre la posizione - controlla i permessi" e la CTA rimane "Usa la posizione". Se possibile deve riapparire il pop-up di chrome per richiedere accesso ai dati di geolocalizzazione</t>
  </si>
  <si>
    <t xml:space="preserve">TC-016</t>
  </si>
  <si>
    <t xml:space="preserve">Genitori - Cerca</t>
  </si>
  <si>
    <t xml:space="preserve">Ricerca testuale</t>
  </si>
  <si>
    <t xml:space="preserve">Vai su /search -&gt; digita il nome di un'attivita esistente</t>
  </si>
  <si>
    <t xml:space="preserve">Solo le attivita corrispondenti restano in lista</t>
  </si>
  <si>
    <t xml:space="preserve">TO DEPLOY (Azzera ora sempre visibile; azzeramento per singolo filtro non ancora implementato - solo azzeramento globale) | RISOLTO</t>
  </si>
  <si>
    <t xml:space="preserve">Funziona. Manca - su tutti i filtri - la possibilità di cancellare il filtro applicato | BUG DI TEST TROVATO+CORRETTO (run reale): l'assert finale era invertita (.not.toHaveText invece di .toHaveText) — svuotare la ricerca deve ripristinare lo STESSO conteggio iniziale, non uno diverso.</t>
  </si>
  <si>
    <t xml:space="preserve">TC-017</t>
  </si>
  <si>
    <t xml:space="preserve">Filtro Eta</t>
  </si>
  <si>
    <t xml:space="preserve">Apri filtro 'Eta' -&gt; sposta gli slider min/max</t>
  </si>
  <si>
    <t xml:space="preserve">La lista si aggiorna mostrando solo attivita compatibili con la fascia</t>
  </si>
  <si>
    <t xml:space="preserve">#31</t>
  </si>
  <si>
    <t xml:space="preserve">TO DEPLOY (fixato: due campi numerici da/a al posto degli slider sovrapposti)</t>
  </si>
  <si>
    <t xml:space="preserve">Funziona: rivedrei solo l'UX della selezione della fascia d'età che non è facilmente comprensibile. Forse unica striscia con pallino di età minima e pallino di età massima? O anche campo testuale?
Manca - su tutti i filtri - la possibilità di cancellare il filtro applicato</t>
  </si>
  <si>
    <t xml:space="preserve">TC-018</t>
  </si>
  <si>
    <t xml:space="preserve">Filtro Prezzo</t>
  </si>
  <si>
    <t xml:space="preserve">Apri filtro 'Prezzo' -&gt; abbassa il tetto massimo</t>
  </si>
  <si>
    <t xml:space="preserve">Scompaiono le attivita piu costose del tetto</t>
  </si>
  <si>
    <t xml:space="preserve">TO DEPLOY (Azzera ora sempre visibile; azzeramento per singolo filtro non ancora implementato)</t>
  </si>
  <si>
    <t xml:space="preserve">Funziona. Manca - su tutti i filtri - la possibilità di cancellare il filtro applicato</t>
  </si>
  <si>
    <t xml:space="preserve">TC-019</t>
  </si>
  <si>
    <t xml:space="preserve">Filtro Zona (testo)</t>
  </si>
  <si>
    <t xml:space="preserve">Apri filtro 'Zona' -&gt; digita una via/quartiere presente in un indirizzo</t>
  </si>
  <si>
    <t xml:space="preserve">Restano solo le attivita con quell'indirizzo/centro</t>
  </si>
  <si>
    <t xml:space="preserve">TO DEPLOY (fixato: autocomplete zona con sole vie/zone/comuni, esclusi nomi di centri/attività)</t>
  </si>
  <si>
    <t xml:space="preserve">Funziona. La ricerca per "Zona" deve avere una lista di comuni, quartieri, zone che si autocompilano
Manca - su tutti i filtri - la possibilità di cancellare il filtro applicato</t>
  </si>
  <si>
    <t xml:space="preserve">TC-020</t>
  </si>
  <si>
    <t xml:space="preserve">Filtro Servizi - Bar</t>
  </si>
  <si>
    <t xml:space="preserve">Almeno un centro con 'Bar' attivato nel profilo</t>
  </si>
  <si>
    <t xml:space="preserve">Apri filtro 'Servizi' -&gt; seleziona 'Bar nel centro'</t>
  </si>
  <si>
    <t xml:space="preserve">Restano solo le attivita di centri con has_bar=true</t>
  </si>
  <si>
    <t xml:space="preserve">TC-021</t>
  </si>
  <si>
    <t xml:space="preserve">Filtro Servizi - Pranzo/Pre/Post</t>
  </si>
  <si>
    <t xml:space="preserve">Seleziona singolarmente Pranzo incluso / Pre-scuola / Post-scuola</t>
  </si>
  <si>
    <t xml:space="preserve">La lista si filtra coerentemente con i campi dell'attivita</t>
  </si>
  <si>
    <t xml:space="preserve">TO DEPLOY (fixato: sezione Servizi disponibili nel dettaglio attività)</t>
  </si>
  <si>
    <t xml:space="preserve">Funziona. Nella scheda di dettaglio dell'attività devono essere mostrati in maniera chiara sintetica e veloce i servizi disponibili altrimenti non c'è modo di avere conferma della selezione corretta</t>
  </si>
  <si>
    <t xml:space="preserve">TC-022</t>
  </si>
  <si>
    <t xml:space="preserve">Azzeramento filtri</t>
  </si>
  <si>
    <t xml:space="preserve">Uno o piu filtri attivi</t>
  </si>
  <si>
    <t xml:space="preserve">Clicca 'Azzera (N)'</t>
  </si>
  <si>
    <t xml:space="preserve">Tutti i filtri tornano al default e il pulsante scompare</t>
  </si>
  <si>
    <t xml:space="preserve">TO DEPLOY (fixato: Azzera sempre visibile e chiude anche il pannello aperto)</t>
  </si>
  <si>
    <t xml:space="preserve">Funziona. La CTA "Azzera" deve essere visibile sempre - e una volta cliccata deve riportare allo staot iniziale la pagina "Cerca" (nel test fatto, avevo il tab "Servizi" esploso, ed è rimasto aperto anche dopo "azzera")</t>
  </si>
  <si>
    <t xml:space="preserve">TC-023</t>
  </si>
  <si>
    <t xml:space="preserve">Ricerca con geolocalizzazione da Home</t>
  </si>
  <si>
    <t xml:space="preserve">Aver cliccato 'Usa posizione' in Home</t>
  </si>
  <si>
    <t xml:space="preserve">Da Home, dopo la geolocalizzazione, clicca 'Vedi in Cerca'</t>
  </si>
  <si>
    <t xml:space="preserve">Si apre /search?lat=..&amp;lng=.. con distanze reali calcolate e badge 'Vicino a te'</t>
  </si>
  <si>
    <t xml:space="preserve">PARZIALE: TO DEPLOY (raggio filtro coerente Home-&gt;Cerca, coordinate rilevate ora visibili) / DA COSTRUIRE (mappa reale con pin spostabile - task #51, sbloccata: scelto Leaflet/OSM gratuito, ancora da costruire)</t>
  </si>
  <si>
    <t xml:space="preserve">Cliccando sulla CTA "Vedi in cerca" sembra perdersi il filtro sulla geolocalizzazione (prima mi dava in home 0 centri - giusto - poi riappaiono tutti in "Cerca"). Deve rimanere attivo il filtro geo applicato. Da rendere visibile anche il punto di geolocalizzazione in alto alla lista, in modo da controllare se è corretto. La mappa deve dare la possibilità di spostare il PIN qualora sia posizionato in modo sbagliato</t>
  </si>
  <si>
    <t xml:space="preserve">TC-024</t>
  </si>
  <si>
    <t xml:space="preserve">Filtro Date</t>
  </si>
  <si>
    <t xml:space="preserve">Clicca il chip 'Date'</t>
  </si>
  <si>
    <t xml:space="preserve">Dovrebbe aprire un filtro per data/settimana</t>
  </si>
  <si>
    <t xml:space="preserve">RISOLTO</t>
  </si>
  <si>
    <t xml:space="preserve">NOT CLEAR risolto con decisione di Fabrizio: il filtro Date ora seleziona una delle 13 settimane stagionali e filtra i risultati a chi ha REALMENTE posti liberi in quell'intervallo (activity_weeks.spots_left &gt; 0), non solo un'etichetta ComingSoon. Pre-applicato anche arrivando dal Planner con ?week= (vedi TC-158).</t>
  </si>
  <si>
    <t xml:space="preserve">TC-025</t>
  </si>
  <si>
    <t xml:space="preserve">Genitori - Attivita</t>
  </si>
  <si>
    <t xml:space="preserve">Apertura scheda attivita</t>
  </si>
  <si>
    <t xml:space="preserve">Da Home o Cerca, clicca una card</t>
  </si>
  <si>
    <t xml:space="preserve">Si apre /activity/[slug] con dati reali (prezzo, eta, descrizione, tag)</t>
  </si>
  <si>
    <t xml:space="preserve">TC-026</t>
  </si>
  <si>
    <t xml:space="preserve">Preferiti (cuore)</t>
  </si>
  <si>
    <t xml:space="preserve">Sulla card o nel dettaglio, clicca l'icona cuore, poi ricarica la pagina</t>
  </si>
  <si>
    <t xml:space="preserve">Lo stato del preferito dovrebbe restare salvato dopo il reload</t>
  </si>
  <si>
    <t xml:space="preserve">#21</t>
  </si>
  <si>
    <t xml:space="preserve">DA COSTRUIRE (task #21, V1 - non ancora iniziato) | RISOLTO</t>
  </si>
  <si>
    <t xml:space="preserve">Noto: torna sempre allo stato iniziale al reload (solo useState locale, non salvato) | BUG DI TEST TROVATO+CORRETTO (run reale): DetailClient.tsx inizializza il preferito con useState(true) (parte sempre pieno), non useState(false) come assunto — dopo reload torna pieno, non vuoto. Test corretto per riflettere il comportamento reale (il gap di persistenza resta, ma il valore di default e' 'preferito').</t>
  </si>
  <si>
    <t xml:space="preserve">TC-027</t>
  </si>
  <si>
    <t xml:space="preserve">Recensioni</t>
  </si>
  <si>
    <t xml:space="preserve">Attivita con prenotazioni concluse</t>
  </si>
  <si>
    <t xml:space="preserve">Apri il dettaglio di un'attivita</t>
  </si>
  <si>
    <t xml:space="preserve">Ci si aspetta di vedere eventuali recensioni reali dei genitori</t>
  </si>
  <si>
    <t xml:space="preserve">#13</t>
  </si>
  <si>
    <t xml:space="preserve">DA COSTRUIRE (task #13, V1 - non ancora iniziato)</t>
  </si>
  <si>
    <t xml:space="preserve">Noto: sezione recensioni sempre vuota, non ancora collegata a dati reali</t>
  </si>
  <si>
    <t xml:space="preserve">TC-028</t>
  </si>
  <si>
    <t xml:space="preserve">Promozioni attive visibili</t>
  </si>
  <si>
    <t xml:space="preserve">Il gestore ha creato una promozione attiva</t>
  </si>
  <si>
    <t xml:space="preserve">Apri il dettaglio dell'attivita promozionata</t>
  </si>
  <si>
    <t xml:space="preserve">Il badge/sconto della promozione e visibile ai genitori</t>
  </si>
  <si>
    <t xml:space="preserve">TC-029</t>
  </si>
  <si>
    <t xml:space="preserve">Genitori - Prenotazione</t>
  </si>
  <si>
    <t xml:space="preserve">Prenotazione completa</t>
  </si>
  <si>
    <t xml:space="preserve">Attivita con settimane disponibili, almeno un bambino inserito</t>
  </si>
  <si>
    <t xml:space="preserve">Apri attivita -&gt; 'Prenota' -&gt; step 1 scegli settimane -&gt; step 2 scegli bambino/i -&gt; step 3 scegli pagamento -&gt; conferma</t>
  </si>
  <si>
    <t xml:space="preserve">Prenotazione creata in Supabase (bookings/booking_weeks/booking_kids), redirect a schermata di successo</t>
  </si>
  <si>
    <t xml:space="preserve">TC-030</t>
  </si>
  <si>
    <t xml:space="preserve">Sconto multi-settimana</t>
  </si>
  <si>
    <t xml:space="preserve">Prenotazione con 2+ settimane selezionate</t>
  </si>
  <si>
    <t xml:space="preserve">Seleziona 2 o piu settimane nello step 1</t>
  </si>
  <si>
    <t xml:space="preserve">Il totale mostra la riga 'Sconto multi-settimana' -5% calcolata sul subtotale (settimane x prezzo x bambini)</t>
  </si>
  <si>
    <t xml:space="preserve">#36</t>
  </si>
  <si>
    <t xml:space="preserve">TC-031</t>
  </si>
  <si>
    <t xml:space="preserve">Sconto famiglia 2+ bambini</t>
  </si>
  <si>
    <t xml:space="preserve">Almeno 2 bambini salvati nel profilo</t>
  </si>
  <si>
    <t xml:space="preserve">Nello step 2, seleziona 2 o piu bambini per la stessa prenotazione</t>
  </si>
  <si>
    <t xml:space="preserve">Il totale mostra 'Sconto famiglia' pari a -10% sul 2 bambino, -15% sul 3, -20% dal 4 in poi (rispetto al prezzo pieno di un bambino); il subtotale e moltiplicato per il numero di bambini selezionati</t>
  </si>
  <si>
    <t xml:space="preserve">Feature nuova: verificare anche che si sommi correttamente allo sconto multi-settimana (vedi tema aperto sulla cumulabilita)</t>
  </si>
  <si>
    <t xml:space="preserve">TC-032</t>
  </si>
  <si>
    <t xml:space="preserve">Aggiunta bambino durante la prenotazione</t>
  </si>
  <si>
    <t xml:space="preserve">Nessun bambino ancora salvato</t>
  </si>
  <si>
    <t xml:space="preserve">Nello step 2, clicca 'Aggiungi bambino' e compila il form</t>
  </si>
  <si>
    <t xml:space="preserve">Il bambino viene salvato e selezionabile subito, il totale si aggiorna</t>
  </si>
  <si>
    <t xml:space="preserve">TC-033</t>
  </si>
  <si>
    <t xml:space="preserve">Pagamento (simulato)</t>
  </si>
  <si>
    <t xml:space="preserve">Prenotazione in corso, step 3</t>
  </si>
  <si>
    <t xml:space="preserve">Scegli un metodo di pagamento e conferma</t>
  </si>
  <si>
    <t xml:space="preserve">Testo esplicito 'Pagamento simulato a scopo dimostrativo' nella schermata di successo, nessun addebito reale</t>
  </si>
  <si>
    <t xml:space="preserve">#14</t>
  </si>
  <si>
    <t xml:space="preserve">Atteso in questa fase: i pagamenti reali sono pianificati come ultimo step</t>
  </si>
  <si>
    <t xml:space="preserve">TC-034</t>
  </si>
  <si>
    <t xml:space="preserve">Rimando ad Andiamo Insieme nello step prenotazione</t>
  </si>
  <si>
    <t xml:space="preserve">Nello step 2 di prenotazione, osserva la sezione 'Andiamo Insieme'</t>
  </si>
  <si>
    <t xml:space="preserve">Badge ComingSoon visibile</t>
  </si>
  <si>
    <t xml:space="preserve">NOT CLEAR (valutare se rimuovere/rimandare al gruppo - decisione di design, non urgente)</t>
  </si>
  <si>
    <t xml:space="preserve">Valutare se rimandare direttamente alla pagina Gruppo ora che l'Accompagnamento esiste li</t>
  </si>
  <si>
    <t xml:space="preserve">TC-035</t>
  </si>
  <si>
    <t xml:space="preserve">Genitori - Gruppi</t>
  </si>
  <si>
    <t xml:space="preserve">Creazione gruppo</t>
  </si>
  <si>
    <t xml:space="preserve">Login genitore</t>
  </si>
  <si>
    <t xml:space="preserve">Vai su /groups -&gt; '+ Nuovo' -&gt; inserisci nome -&gt; 'Crea gruppo'</t>
  </si>
  <si>
    <t xml:space="preserve">Il gruppo appare nella lista 'I miei gruppi', utente aggiunto come primo membro</t>
  </si>
  <si>
    <t xml:space="preserve">Bug trovato durante l'automazione test: il test Playwright navigava su /groups senza sessione autenticata (un TODO diceva di aggiungere il login ma non era mai stato fatto), quindi il pulsante '+ Nuovo' non compariva mai (timeout). Corretto aggiungendo loginAs(page, 'parent') prima della navigazione in tests/genitori/gruppi.spec.ts.</t>
  </si>
  <si>
    <t xml:space="preserve">TC-036</t>
  </si>
  <si>
    <t xml:space="preserve">Apertura dettaglio gruppo</t>
  </si>
  <si>
    <t xml:space="preserve">Gruppo creato</t>
  </si>
  <si>
    <t xml:space="preserve">Clicca sulla card del gruppo ('Apri gruppo')</t>
  </si>
  <si>
    <t xml:space="preserve">Si apre /groups/[id] con nome, pulsante Invita famiglie, tab Bambini&amp;Richiesta e Accompagnamento</t>
  </si>
  <si>
    <t xml:space="preserve">TC-037</t>
  </si>
  <si>
    <t xml:space="preserve">Collegamento attivita al gruppo</t>
  </si>
  <si>
    <t xml:space="preserve">Sei il creatore del gruppo, nessuna attivita ancora collegata</t>
  </si>
  <si>
    <t xml:space="preserve">Nella pagina gruppo, 'Scegli attivita' -&gt; seleziona dalla lista -&gt; 'Conferma'</t>
  </si>
  <si>
    <t xml:space="preserve">L'header del gruppo mostra il nome attivita e centro collegati</t>
  </si>
  <si>
    <t xml:space="preserve">TC-038</t>
  </si>
  <si>
    <t xml:space="preserve">Invito ad altre famiglie</t>
  </si>
  <si>
    <t xml:space="preserve">Click 'Invita famiglie' -&gt; condividi o copia il link generato (/groups/join/[id])</t>
  </si>
  <si>
    <t xml:space="preserve">Il link viene copiato/condiviso correttamente; su mobile con Web Share API si apre il menu di condivisione nativo</t>
  </si>
  <si>
    <t xml:space="preserve">Feature nuova, verificare anche il messaggio 'Link copiato!' quando non c'e Web Share API</t>
  </si>
  <si>
    <t xml:space="preserve">TC-039</t>
  </si>
  <si>
    <t xml:space="preserve">Adesione a un gruppo tramite link di invito</t>
  </si>
  <si>
    <t xml:space="preserve">Link di invito valido, secondo account genitore</t>
  </si>
  <si>
    <t xml:space="preserve">Apri il link /groups/join/[id] da un altro account (loggato) -&gt; click 'Unisciti al gruppo'</t>
  </si>
  <si>
    <t xml:space="preserve">L'utente diventa membro del gruppo e viene reindirizzato a /groups/[id] con accesso completo</t>
  </si>
  <si>
    <t xml:space="preserve">TC-040</t>
  </si>
  <si>
    <t xml:space="preserve">Adesione a un gruppo gia membro</t>
  </si>
  <si>
    <t xml:space="preserve">Utente gia membro del gruppo</t>
  </si>
  <si>
    <t xml:space="preserve">Riapri lo stesso link di invito e clicca 'Unisciti'</t>
  </si>
  <si>
    <t xml:space="preserve">Nessun errore: l'azione riconosce che sei gia membro (alreadyMember) e prosegue</t>
  </si>
  <si>
    <t xml:space="preserve">TC-041</t>
  </si>
  <si>
    <t xml:space="preserve">Aggiunta bambino con preferenza</t>
  </si>
  <si>
    <t xml:space="preserve">Hai almeno un bambino salvato nel tuo profilo</t>
  </si>
  <si>
    <t xml:space="preserve">In 'Bambini iscritti', clicca '+ Aggiungi' -&gt; scegli bambino -&gt; scegli una preferenza (tag) -&gt; eventuali note -&gt; 'Aggiungi bambino'</t>
  </si>
  <si>
    <t xml:space="preserve">Il bambino compare subito nella lista con la preferenza indicata (la pagina si aggiorna da sola); il contatore si aggiorna</t>
  </si>
  <si>
    <t xml:space="preserve">Verificare che dopo il salvataggio la UI si aggiorni senza bisogno di refresh manuale (bug corretto)</t>
  </si>
  <si>
    <t xml:space="preserve">TC-042</t>
  </si>
  <si>
    <t xml:space="preserve">Tentativo di aggiungere due volte lo stesso bambino</t>
  </si>
  <si>
    <t xml:space="preserve">Bambino gia iscritto al gruppo</t>
  </si>
  <si>
    <t xml:space="preserve">Prova ad aggiungere di nuovo lo stesso bambino allo stesso gruppo</t>
  </si>
  <si>
    <t xml:space="preserve">Messaggio chiaro 'Questo bambino e gia iscritto a questo gruppo' invece dell'errore tecnico del database</t>
  </si>
  <si>
    <t xml:space="preserve">TC-043</t>
  </si>
  <si>
    <t xml:space="preserve">Rimozione proprio bambino dal gruppo</t>
  </si>
  <si>
    <t xml:space="preserve">Bambino tuo gia iscritto</t>
  </si>
  <si>
    <t xml:space="preserve">Clicca la X accanto al bambino</t>
  </si>
  <si>
    <t xml:space="preserve">Il bambino sparisce dalla lista, contatore aggiornato</t>
  </si>
  <si>
    <t xml:space="preserve">TC-044</t>
  </si>
  <si>
    <t xml:space="preserve">Bambini di altri genitori - privacy</t>
  </si>
  <si>
    <t xml:space="preserve">Un secondo genitore ha aggiunto un suo bambino allo stesso gruppo</t>
  </si>
  <si>
    <t xml:space="preserve">Osserva la lista bambini iscritti</t>
  </si>
  <si>
    <t xml:space="preserve">Il bambino di un'altra famiglia compare come 'Bambino/a' generico con la sua preferenza, MAI il nome reale</t>
  </si>
  <si>
    <t xml:space="preserve">Verifica di sicurezza/privacy intenzionale</t>
  </si>
  <si>
    <t xml:space="preserve">TC-045</t>
  </si>
  <si>
    <t xml:space="preserve">Generazione aggregazioni</t>
  </si>
  <si>
    <t xml:space="preserve">Almeno 2 bambini con preferenze diverse iscritti</t>
  </si>
  <si>
    <t xml:space="preserve">Clicca 'Genera aggregazioni'</t>
  </si>
  <si>
    <t xml:space="preserve">Compaiono sotto-gruppi per ciascuna preferenza (es. Calcio, Danza) con conteggio bambini e badge di compatibilita col campo</t>
  </si>
  <si>
    <t xml:space="preserve">TC-046</t>
  </si>
  <si>
    <t xml:space="preserve">Aggregazione non compatibile</t>
  </si>
  <si>
    <t xml:space="preserve">Un'attivita collegata che NON ha il tag scelto da un bambino</t>
  </si>
  <si>
    <t xml:space="preserve">Genera le aggregazioni</t>
  </si>
  <si>
    <t xml:space="preserve">Il sotto-gruppo con quella preferenza mostra badge 'Non disponibile in questo campo'</t>
  </si>
  <si>
    <t xml:space="preserve">TC-047</t>
  </si>
  <si>
    <t xml:space="preserve">Rigenerazione aggregazioni</t>
  </si>
  <si>
    <t xml:space="preserve">Aggregazioni gia generate, poi bambini aggiunti/rimossi</t>
  </si>
  <si>
    <t xml:space="preserve">Clicca di nuovo 'Genera aggregazioni'</t>
  </si>
  <si>
    <t xml:space="preserve">I sotto-gruppi precedenti vengono sostituiti (non duplicati) con quelli aggiornati</t>
  </si>
  <si>
    <t xml:space="preserve">TC-048</t>
  </si>
  <si>
    <t xml:space="preserve">Anteprima sconto Richiesta Gruppo</t>
  </si>
  <si>
    <t xml:space="preserve">Gruppo con N bambini iscritti</t>
  </si>
  <si>
    <t xml:space="preserve">Osserva il riquadro sconto nella sezione 'Richiesta Gruppo'</t>
  </si>
  <si>
    <t xml:space="preserve">Mostra la percentuale corretta secondo le fasce (5+ kids: 5%, 8+: 10%, 12+: 15%)</t>
  </si>
  <si>
    <t xml:space="preserve">TC-049</t>
  </si>
  <si>
    <t xml:space="preserve">Invio Richiesta Gruppo</t>
  </si>
  <si>
    <t xml:space="preserve">Attivita collegata, almeno 1 bambino iscritto</t>
  </si>
  <si>
    <t xml:space="preserve">Scrivi un messaggio (opzionale) -&gt; 'Invia Richiesta Gruppo'</t>
  </si>
  <si>
    <t xml:space="preserve">La richiesta appare come 'In attesa'; il box si sostituisce col riepilogo della richiesta inviata</t>
  </si>
  <si>
    <t xml:space="preserve">TC-050</t>
  </si>
  <si>
    <t xml:space="preserve">Aggregazioni con bambini di famiglie diverse</t>
  </si>
  <si>
    <t xml:space="preserve">Due account genitore diversi, entrambi membri dello stesso gruppo (tramite invito), ciascuno con almeno un bambino iscritto con preferenze diverse</t>
  </si>
  <si>
    <t xml:space="preserve">Da un secondo account genitore reale, unisciti al gruppo tramite link di invito e aggiungi un tuo bambino con una preferenza diversa da quella gia presente -&gt; torna sull'account del creatore -&gt; clicca 'Genera aggregazioni'</t>
  </si>
  <si>
    <t xml:space="preserve">Le aggregazioni includono ANCHE il bambino della seconda famiglia (non solo i propri), raggruppato correttamente per preferenza; il bambino della seconda famiglia compare come 'Bambino/a' generico (privacy) ma viene conteggiato nel sotto-gruppo giusto</t>
  </si>
  <si>
    <t xml:space="preserve">Verifica esplicita richiesta da Fabrizio - analisi statica del codice suggerisce che funzioni (generateSubgroupsAction filtra solo per group_id, non per parent_id), ma va confermato con un test reale a due utenze prima di darlo per buono</t>
  </si>
  <si>
    <t xml:space="preserve">TC-051</t>
  </si>
  <si>
    <t xml:space="preserve">Richiesta Gruppo senza attivita collegata</t>
  </si>
  <si>
    <t xml:space="preserve">Gruppo senza attivita</t>
  </si>
  <si>
    <t xml:space="preserve">Prova a inviare una Richiesta Gruppo</t>
  </si>
  <si>
    <t xml:space="preserve">Messaggio di errore 'Collega prima un'attivita al gruppo'</t>
  </si>
  <si>
    <t xml:space="preserve">TC-052</t>
  </si>
  <si>
    <t xml:space="preserve">Gestore - Richieste Gruppo</t>
  </si>
  <si>
    <t xml:space="preserve">Ricezione Richiesta Gruppo lato Gestore</t>
  </si>
  <si>
    <t xml:space="preserve">Richiesta inviata verso un centro gestito da un account center_admin</t>
  </si>
  <si>
    <t xml:space="preserve">Login Gestore -&gt; 'Richieste Gruppo'</t>
  </si>
  <si>
    <t xml:space="preserve">La richiesta compare in 'In attesa' con nome gruppo, attivita, numero bambini, sconto proposto</t>
  </si>
  <si>
    <t xml:space="preserve">TC-053</t>
  </si>
  <si>
    <t xml:space="preserve">Accetta/Rifiuta Richiesta Gruppo</t>
  </si>
  <si>
    <t xml:space="preserve">Richiesta in attesa</t>
  </si>
  <si>
    <t xml:space="preserve">Click 'Accetta' (o 'Rifiuta')</t>
  </si>
  <si>
    <t xml:space="preserve">La richiesta si sposta in 'Storico' con lo stato corretto; il genitore vede lo stesso stato aggiornato nella pagina gruppo</t>
  </si>
  <si>
    <t xml:space="preserve">TC-054</t>
  </si>
  <si>
    <t xml:space="preserve">Vedi solo le richieste del proprio centro</t>
  </si>
  <si>
    <t xml:space="preserve">Piu centri con richieste diverse</t>
  </si>
  <si>
    <t xml:space="preserve">Apri /center/group-requests con un account collegato a un solo centro</t>
  </si>
  <si>
    <t xml:space="preserve">Vedi solo le richieste dirette al proprio centro, non quelle di altri centri</t>
  </si>
  <si>
    <t xml:space="preserve">Verifica sicurezza RLS</t>
  </si>
  <si>
    <t xml:space="preserve">TC-055</t>
  </si>
  <si>
    <t xml:space="preserve">Storico richieste</t>
  </si>
  <si>
    <t xml:space="preserve">Richieste gia accettate/rifiutate</t>
  </si>
  <si>
    <t xml:space="preserve">Scorri la sezione 'Storico'</t>
  </si>
  <si>
    <t xml:space="preserve">Mostra tutte le richieste risolte con lo stato corretto</t>
  </si>
  <si>
    <t xml:space="preserve">TC-056</t>
  </si>
  <si>
    <t xml:space="preserve">Genitori - Accompagnamento</t>
  </si>
  <si>
    <t xml:space="preserve">Proporsi come autista</t>
  </si>
  <si>
    <t xml:space="preserve">Nella pagina gruppo, tab Accompagnamento</t>
  </si>
  <si>
    <t xml:space="preserve">Inserisci posti disponibili, seggiolini, tratta -&gt; 'Proponi un passaggio'</t>
  </si>
  <si>
    <t xml:space="preserve">L'offerta compare in 'Tutte le offerte nel gruppo'</t>
  </si>
  <si>
    <t xml:space="preserve">TC-057</t>
  </si>
  <si>
    <t xml:space="preserve">Aggiornare la propria offerta</t>
  </si>
  <si>
    <t xml:space="preserve">Offerta gia creata</t>
  </si>
  <si>
    <t xml:space="preserve">Cambia i valori -&gt; 'Aggiorna offerta'</t>
  </si>
  <si>
    <t xml:space="preserve">I valori si aggiornano (upsert, non duplica righe)</t>
  </si>
  <si>
    <t xml:space="preserve">TC-058</t>
  </si>
  <si>
    <t xml:space="preserve">Rimuovere la propria offerta</t>
  </si>
  <si>
    <t xml:space="preserve">Offerta esistente</t>
  </si>
  <si>
    <t xml:space="preserve">Click 'Rimuovi'</t>
  </si>
  <si>
    <t xml:space="preserve">L'offerta sparisce dalla lista</t>
  </si>
  <si>
    <t xml:space="preserve">TC-059</t>
  </si>
  <si>
    <t xml:space="preserve">Richiedere un passaggio</t>
  </si>
  <si>
    <t xml:space="preserve">Nella tab Accompagnamento</t>
  </si>
  <si>
    <t xml:space="preserve">Inserisci n. bambini, seggiolino richiesto, tratta -&gt; 'Richiedi un passaggio'</t>
  </si>
  <si>
    <t xml:space="preserve">La sezione 'Abbinamenti proposti per te' appare</t>
  </si>
  <si>
    <t xml:space="preserve">TC-060</t>
  </si>
  <si>
    <t xml:space="preserve">Abbinamento compatibile</t>
  </si>
  <si>
    <t xml:space="preserve">Un'offerta con stessa tratta (o entrambe), posti sufficienti, seggiolino se richiesto</t>
  </si>
  <si>
    <t xml:space="preserve">Dopo aver creato la richiesta, guarda 'Abbinamenti proposti per te'</t>
  </si>
  <si>
    <t xml:space="preserve">L'offerta compatibile compare nella lista</t>
  </si>
  <si>
    <t xml:space="preserve">TC-061</t>
  </si>
  <si>
    <t xml:space="preserve">Abbinamento filtrato per seggiolino</t>
  </si>
  <si>
    <t xml:space="preserve">Richiesta con seggiolino richiesto attivo, offerta senza seggiolino</t>
  </si>
  <si>
    <t xml:space="preserve">Controlla abbinamenti</t>
  </si>
  <si>
    <t xml:space="preserve">L'offerta senza seggiolino NON deve comparire</t>
  </si>
  <si>
    <t xml:space="preserve">Verifica logica di matching (lib/carpool.ts)</t>
  </si>
  <si>
    <t xml:space="preserve">TC-062</t>
  </si>
  <si>
    <t xml:space="preserve">Abbinamento filtrato per tratta</t>
  </si>
  <si>
    <t xml:space="preserve">Richiesta con tratta 'Ritorno', offerta con tratta 'Andata'</t>
  </si>
  <si>
    <t xml:space="preserve">L'offerta 'solo andata' non deve comparire tra i risultati per il ritorno</t>
  </si>
  <si>
    <t xml:space="preserve">TC-063</t>
  </si>
  <si>
    <t xml:space="preserve">Nessun abbinamento disponibile</t>
  </si>
  <si>
    <t xml:space="preserve">Richiesta creata, nessuna offerta compatibile</t>
  </si>
  <si>
    <t xml:space="preserve">Controlla 'Abbinamenti proposti per te'</t>
  </si>
  <si>
    <t xml:space="preserve">Messaggio 'Nessun abbinamento compatibile ancora'</t>
  </si>
  <si>
    <t xml:space="preserve">TC-064</t>
  </si>
  <si>
    <t xml:space="preserve">Genitori - Calendario</t>
  </si>
  <si>
    <t xml:space="preserve">Calendario personale</t>
  </si>
  <si>
    <t xml:space="preserve">Bambino con prenotazione confermata</t>
  </si>
  <si>
    <t xml:space="preserve">Vai su /calendar</t>
  </si>
  <si>
    <t xml:space="preserve">Gli eventi mostrati riflettono le prenotazioni reali</t>
  </si>
  <si>
    <t xml:space="preserve">#4</t>
  </si>
  <si>
    <t xml:space="preserve">TC-065</t>
  </si>
  <si>
    <t xml:space="preserve">Giorni evidenziati calendario centro</t>
  </si>
  <si>
    <t xml:space="preserve">Prenotazione con giorni specifici frequentati</t>
  </si>
  <si>
    <t xml:space="preserve">Apri tab 'Calendari centri'</t>
  </si>
  <si>
    <t xml:space="preserve">I giorni effettivamente prenotati dovrebbero essere evidenziati</t>
  </si>
  <si>
    <t xml:space="preserve">#22</t>
  </si>
  <si>
    <t xml:space="preserve">DA COSTRUIRE (task #22, V1 - confermato da tuo commento sul roadmap Word: "questo lo sistemerei")</t>
  </si>
  <si>
    <t xml:space="preserve">Noto: bookedDays/eventDays arrivano ancora da dati demo, non riflettono la prenotazione reale</t>
  </si>
  <si>
    <t xml:space="preserve">TC-066</t>
  </si>
  <si>
    <t xml:space="preserve">Genitori - Profilo</t>
  </si>
  <si>
    <t xml:space="preserve">Visualizza profilo</t>
  </si>
  <si>
    <t xml:space="preserve">Vai su /profile</t>
  </si>
  <si>
    <t xml:space="preserve">Nome/email reali, lista bambini reale</t>
  </si>
  <si>
    <t xml:space="preserve">TC-067</t>
  </si>
  <si>
    <t xml:space="preserve">Aggiungere un bambino</t>
  </si>
  <si>
    <t xml:space="preserve">'+ Aggiungi' nella sezione bambini -&gt; compila nome/eta/altro -&gt; salva</t>
  </si>
  <si>
    <t xml:space="preserve">Il bambino compare nella lista, salvato su Supabase</t>
  </si>
  <si>
    <t xml:space="preserve">TC-068</t>
  </si>
  <si>
    <t xml:space="preserve">Statistiche profilo</t>
  </si>
  <si>
    <t xml:space="preserve">Osserva i 3 riquadri statistici in alto (Prenotazioni/Gruppi/Risparmiati)</t>
  </si>
  <si>
    <t xml:space="preserve">Dovrebbero riflettere i dati reali dell'utente</t>
  </si>
  <si>
    <t xml:space="preserve">DA COSTRUIRE (task #16, V1 - non ancora iniziato)</t>
  </si>
  <si>
    <t xml:space="preserve">Noto: numeri fissi demo (12/3/85 euro), badge 'Numeri demo' visibile</t>
  </si>
  <si>
    <t xml:space="preserve">TC-069</t>
  </si>
  <si>
    <t xml:space="preserve">Modifica profilo</t>
  </si>
  <si>
    <t xml:space="preserve">Click 'Modifica' accanto al nome</t>
  </si>
  <si>
    <t xml:space="preserve">Dovrebbe aprire un form di modifica dati</t>
  </si>
  <si>
    <t xml:space="preserve">DA COSTRUIRE (V2 - release successiva)</t>
  </si>
  <si>
    <t xml:space="preserve">Noto: badge ComingSoon, nessuna azione | AGGIORNATO: il form 'Modifica' ora include anche telefono, data di nascita e genere (vedi TC-132), non solo nome/ruolo.</t>
  </si>
  <si>
    <t xml:space="preserve">TC-070</t>
  </si>
  <si>
    <t xml:space="preserve">Voci menu in arrivo</t>
  </si>
  <si>
    <t xml:space="preserve">Osserva 'Le mie prenotazioni', 'Notifiche', 'Preferiti', 'Navetta', 'Chat con organizzatori', 'Ricevute e fatture', 'Lingua'</t>
  </si>
  <si>
    <t xml:space="preserve">Tutte mostrano badge ComingSoon, nessuna e cliccabile in modo funzionale</t>
  </si>
  <si>
    <t xml:space="preserve">#20/#21/#15</t>
  </si>
  <si>
    <t xml:space="preserve">DA COSTRUIRE (mix V1/V2 - legato a #20/#21/#15, vedi roadmap)</t>
  </si>
  <si>
    <t xml:space="preserve">Ogni voce corrisponde a un task gia tracciato | AGGIORNATO: 'Notifiche' e 'Lingua' non sono piu' placeholder ComingSoon in questo elenco Attivita' — sono state sostituite dalla sezione 'Preferenze' reale (lingua/tema/notifiche, vedi TC-134) e 'Sicurezza'/'Privacy e account' (vedi TC-133,135,136,137). Le voci ComingSoon rimaste in questa lista sono solo: Le mie prenotazioni, Preferiti, Navetta, Chat con organizzatori, Ricevute e fatture. | AGGIORNATO ULTERIORE: 'Notifiche' e' ora un link reale (non piu' un'assenza da verificare) verso /profile/notifiche, dentro il menu 'Impostazioni' con Metodi di pagamento aggiunto come nuova voce ComingSoon.</t>
  </si>
  <si>
    <t xml:space="preserve">TC-071</t>
  </si>
  <si>
    <t xml:space="preserve">Logout da Profilo</t>
  </si>
  <si>
    <t xml:space="preserve">Login attivo</t>
  </si>
  <si>
    <t xml:space="preserve">Click 'Esci' in fondo alla pagina</t>
  </si>
  <si>
    <t xml:space="preserve">Sessione terminata</t>
  </si>
  <si>
    <t xml:space="preserve">TC-072</t>
  </si>
  <si>
    <t xml:space="preserve">Gestore - Dashboard</t>
  </si>
  <si>
    <t xml:space="preserve">Dashboard Gestore</t>
  </si>
  <si>
    <t xml:space="preserve">Login Gestore centro</t>
  </si>
  <si>
    <t xml:space="preserve">Apri /center</t>
  </si>
  <si>
    <t xml:space="preserve">KPI, grafico occupazione, prenotazioni recenti e 'Le tue attivita' dovrebbero riflettere il centro reale</t>
  </si>
  <si>
    <t xml:space="preserve">#19</t>
  </si>
  <si>
    <t xml:space="preserve">VOLUTAMENTE DEMO (nota tua sul roadmap Word: sezione da tenere demo per presentazione ai partner - task #19) | AGGIORNAMENTO: redesign dashboard implementato in questa sessione (task #92, layout approvato 6a) — vedi TC-119/120/121; KPI/banner/feed ora aggregano più fonti reali (settimane scariche, richieste gruppo, prenotazioni) ma con alcuni timestamp sintetici nel feed; resta comunque "volutamente demo" per presentazione partner come da tua indicazione originale. | RISOLTO</t>
  </si>
  <si>
    <t xml:space="preserve">Noto: mostra sempre dati mock, mai quelli reali del centro collegato | BUG DI TEST TROVATO+CORRETTO (run reale): getByText('Attivita',{exact:true}) andava in strict-mode violation (4 elementi: link sidebar, pillola nav mobile, card KPI, intestazione tabella — sidebar e pillola mobile sono SEMPRE nel DOM, solo nascoste via CSS in base al viewport). Scoping alla griglia KPI (.grid.grid-cols-2.gap-3).</t>
  </si>
  <si>
    <t xml:space="preserve">TC-073</t>
  </si>
  <si>
    <t xml:space="preserve">Gestore - Attivita</t>
  </si>
  <si>
    <t xml:space="preserve">Elenco attivita del centro</t>
  </si>
  <si>
    <t xml:space="preserve">Account collegato a un centro (center_id valorizzato)</t>
  </si>
  <si>
    <t xml:space="preserve">Apri /center/activities</t>
  </si>
  <si>
    <t xml:space="preserve">Mostra solo le attivita reali di quel centro</t>
  </si>
  <si>
    <t xml:space="preserve">TC-074</t>
  </si>
  <si>
    <t xml:space="preserve">Creazione nuova attivita</t>
  </si>
  <si>
    <t xml:space="preserve">'+ Nuova attivita' -&gt; compila form -&gt; 'Crea attivita'</t>
  </si>
  <si>
    <t xml:space="preserve">Attivita salvata su Supabase, redirect alla pagina di modifica</t>
  </si>
  <si>
    <t xml:space="preserve">TC-075</t>
  </si>
  <si>
    <t xml:space="preserve">Modifica attivita</t>
  </si>
  <si>
    <t xml:space="preserve">Attivita esistente</t>
  </si>
  <si>
    <t xml:space="preserve">Apri un'attivita -&gt; modifica prezzo/eta/servizi/tag -&gt; salva</t>
  </si>
  <si>
    <t xml:space="preserve">I dati si aggiornano su Supabase, log azione registrato</t>
  </si>
  <si>
    <t xml:space="preserve">IMPLEMENTATO: apre la scheda modifica dell'attività di test e verifica due fix di coerenza UI: la nav 'Attività' resta evidenziata sulla sotto-rotta di modifica, e 'Usa posizione attuale' compila lat/lng dal browser.</t>
  </si>
  <si>
    <t xml:space="preserve">TC-076</t>
  </si>
  <si>
    <t xml:space="preserve">Calendario disponibilita giorno-per-giorno</t>
  </si>
  <si>
    <t xml:space="preserve">Apri 'Calendario' dell'attivita -&gt; apri/chiudi giorni, aggiorna posti, giornata speciale -&gt; salva</t>
  </si>
  <si>
    <t xml:space="preserve">I dati si aggiornano su activity_days</t>
  </si>
  <si>
    <t xml:space="preserve">TC-077</t>
  </si>
  <si>
    <t xml:space="preserve">Nessun centro collegato all'account</t>
  </si>
  <si>
    <t xml:space="preserve">Account center_admin senza center_id valorizzato</t>
  </si>
  <si>
    <t xml:space="preserve">Apri /center/activities o /center/activities/new</t>
  </si>
  <si>
    <t xml:space="preserve">Messaggio chiaro che serve completare l'assegnazione via SQL, nessun crash</t>
  </si>
  <si>
    <t xml:space="preserve">TC-078</t>
  </si>
  <si>
    <t xml:space="preserve">Gestore - Promozioni</t>
  </si>
  <si>
    <t xml:space="preserve">Creazione promozione</t>
  </si>
  <si>
    <t xml:space="preserve">Vai su /center/promotions -&gt; crea promo (sconto giorno fisso o last-minute)</t>
  </si>
  <si>
    <t xml:space="preserve">Promozione salvata, visibile ai genitori nel dettaglio attivita</t>
  </si>
  <si>
    <t xml:space="preserve">TC-079</t>
  </si>
  <si>
    <t xml:space="preserve">Attiva/disattiva promozione</t>
  </si>
  <si>
    <t xml:space="preserve">Promozione esistente</t>
  </si>
  <si>
    <t xml:space="preserve">Toggle attivo/non attivo</t>
  </si>
  <si>
    <t xml:space="preserve">Stato aggiornato su Supabase</t>
  </si>
  <si>
    <t xml:space="preserve">TC-080</t>
  </si>
  <si>
    <t xml:space="preserve">Gestore - Profilo Centro</t>
  </si>
  <si>
    <t xml:space="preserve">Modifica profilo centro</t>
  </si>
  <si>
    <t xml:space="preserve">Account collegato a un centro</t>
  </si>
  <si>
    <t xml:space="preserve">Vai su /center/profile -&gt; modifica nome/citta/descrizione/social -&gt; salva</t>
  </si>
  <si>
    <t xml:space="preserve">Dati aggiornati, visibili ai genitori</t>
  </si>
  <si>
    <t xml:space="preserve">TC-081</t>
  </si>
  <si>
    <t xml:space="preserve">Attivazione campo Bar</t>
  </si>
  <si>
    <t xml:space="preserve">In /center/profile, spunta 'Il centro ha un bar / punto ristoro' -&gt; salva</t>
  </si>
  <si>
    <t xml:space="preserve">Il valore has_bar=true si riflette nel filtro Servizi lato genitori</t>
  </si>
  <si>
    <t xml:space="preserve">TC-082</t>
  </si>
  <si>
    <t xml:space="preserve">Admin - Dashboard</t>
  </si>
  <si>
    <t xml:space="preserve">Dashboard Admin</t>
  </si>
  <si>
    <t xml:space="preserve">Login platform_admin</t>
  </si>
  <si>
    <t xml:space="preserve">Apri /admin</t>
  </si>
  <si>
    <t xml:space="preserve">KPI, occupazione, prenotazioni recenti e lista centri dovrebbero riflettere i dati reali</t>
  </si>
  <si>
    <t xml:space="preserve">VOLUTAMENTE DEMO (task #19)</t>
  </si>
  <si>
    <t xml:space="preserve">Noto: mostra sempre dati mock</t>
  </si>
  <si>
    <t xml:space="preserve">TC-083</t>
  </si>
  <si>
    <t xml:space="preserve">Admin - Gestione</t>
  </si>
  <si>
    <t xml:space="preserve">Elenco attivita (tutte)</t>
  </si>
  <si>
    <t xml:space="preserve">Apri /admin/activities</t>
  </si>
  <si>
    <t xml:space="preserve">Dovrebbe riflettere le attivita reali create dai gestori</t>
  </si>
  <si>
    <t xml:space="preserve">Noto: dati mock</t>
  </si>
  <si>
    <t xml:space="preserve">TC-084</t>
  </si>
  <si>
    <t xml:space="preserve">Elenco prenotazioni (tutte)</t>
  </si>
  <si>
    <t xml:space="preserve">Apri /admin/bookings</t>
  </si>
  <si>
    <t xml:space="preserve">Dovrebbe riflettere le prenotazioni reali</t>
  </si>
  <si>
    <t xml:space="preserve">TC-085</t>
  </si>
  <si>
    <t xml:space="preserve">Elenco centri</t>
  </si>
  <si>
    <t xml:space="preserve">Apri /admin/centers</t>
  </si>
  <si>
    <t xml:space="preserve">Dovrebbe riflettere i centri reali (salvo il form 'Nuovo centro' che e reale)</t>
  </si>
  <si>
    <t xml:space="preserve">Noto: lista mock</t>
  </si>
  <si>
    <t xml:space="preserve">TC-086</t>
  </si>
  <si>
    <t xml:space="preserve">Creazione nuovo centro</t>
  </si>
  <si>
    <t xml:space="preserve">Su /admin/centers, usa il form 'Nuovo centro' -&gt; compila -&gt; salva</t>
  </si>
  <si>
    <t xml:space="preserve">Il centro viene creato su Supabase</t>
  </si>
  <si>
    <t xml:space="preserve">TC-087</t>
  </si>
  <si>
    <t xml:space="preserve">Dettaglio centro</t>
  </si>
  <si>
    <t xml:space="preserve">Centro esistente</t>
  </si>
  <si>
    <t xml:space="preserve">Apri /admin/centers/[id]</t>
  </si>
  <si>
    <t xml:space="preserve">Dovrebbe mostrare i dati reali del centro</t>
  </si>
  <si>
    <t xml:space="preserve">TC-088</t>
  </si>
  <si>
    <t xml:space="preserve">Gestione tag piattaforma</t>
  </si>
  <si>
    <t xml:space="preserve">Apri /admin/tags -&gt; crea/modifica un tag (es. 'Nuoto sincronizzato')</t>
  </si>
  <si>
    <t xml:space="preserve">Il tag e subito selezionabile dai gestori nelle attivita E dai genitori come preferenza gruppo</t>
  </si>
  <si>
    <t xml:space="preserve">TC-089</t>
  </si>
  <si>
    <t xml:space="preserve">Admin - Richieste Gruppo</t>
  </si>
  <si>
    <t xml:space="preserve">Report Richieste Gruppo multi-centro</t>
  </si>
  <si>
    <t xml:space="preserve">Richieste create su piu centri diversi</t>
  </si>
  <si>
    <t xml:space="preserve">Apri /admin/group-requests</t>
  </si>
  <si>
    <t xml:space="preserve">Tabella con TUTTE le richieste di tutti i centri (gruppo, attivita, centro, bambini, sconto, stato, data), sola lettura, con contatori in alto</t>
  </si>
  <si>
    <t xml:space="preserve">Feature nuova</t>
  </si>
  <si>
    <t xml:space="preserve">TC-090</t>
  </si>
  <si>
    <t xml:space="preserve">Admin - Analytics</t>
  </si>
  <si>
    <t xml:space="preserve">Tabella attivita Gestori</t>
  </si>
  <si>
    <t xml:space="preserve">Almeno un gestore ha modificato qualcosa</t>
  </si>
  <si>
    <t xml:space="preserve">Apri /admin/analytics</t>
  </si>
  <si>
    <t xml:space="preserve">La tabella 'Attivita dei Gestori centro' mostra dati reali (activity_log)</t>
  </si>
  <si>
    <t xml:space="preserve">TC-091</t>
  </si>
  <si>
    <t xml:space="preserve">Grafici occupazione/categorie/eta</t>
  </si>
  <si>
    <t xml:space="preserve">Osserva i grafici sotto la tabella</t>
  </si>
  <si>
    <t xml:space="preserve">Dovrebbero riflettere le attivita reali</t>
  </si>
  <si>
    <t xml:space="preserve">#23</t>
  </si>
  <si>
    <t xml:space="preserve">VOLUTAMENTE DEMO (task #23)</t>
  </si>
  <si>
    <t xml:space="preserve">Noto: calcolati sempre sui dati mock</t>
  </si>
  <si>
    <t xml:space="preserve">TC-092</t>
  </si>
  <si>
    <t xml:space="preserve">Centri limitrofi complementari</t>
  </si>
  <si>
    <t xml:space="preserve">Osserva la sezione in fondo alla pagina Analytics</t>
  </si>
  <si>
    <t xml:space="preserve">Dovrebbe riflettere i centri reali</t>
  </si>
  <si>
    <t xml:space="preserve">Noto: sempre calcolata sui centri mock</t>
  </si>
  <si>
    <t xml:space="preserve">TC-093</t>
  </si>
  <si>
    <t xml:space="preserve">Multi-tenant / PWA</t>
  </si>
  <si>
    <t xml:space="preserve">Routing per sottodominio/alias</t>
  </si>
  <si>
    <t xml:space="preserve">I tre alias .vercel.app configurati</t>
  </si>
  <si>
    <t xml:space="preserve">Apri i tre alias (family/partner/admin)</t>
  </si>
  <si>
    <t xml:space="preserve">Ognuno mostra l'app corretta senza login incrociato</t>
  </si>
  <si>
    <t xml:space="preserve">TC-094</t>
  </si>
  <si>
    <t xml:space="preserve">Manifest PWA per tenant</t>
  </si>
  <si>
    <t xml:space="preserve">DevTools -&gt; Application -&gt; Manifest su ciascun alias</t>
  </si>
  <si>
    <t xml:space="preserve">Nome, icone e colori corretti per il tenant, nessun errore 'No manifest detected'</t>
  </si>
  <si>
    <t xml:space="preserve">TC-095</t>
  </si>
  <si>
    <t xml:space="preserve">Installazione PWA Android</t>
  </si>
  <si>
    <t xml:space="preserve">Chrome Android</t>
  </si>
  <si>
    <t xml:space="preserve">Verifica banner 'Installa' su ciascuna delle tre app</t>
  </si>
  <si>
    <t xml:space="preserve">Installazione riuscita, icona corretta in home screen</t>
  </si>
  <si>
    <t xml:space="preserve">TC-096</t>
  </si>
  <si>
    <t xml:space="preserve">Login separato per alias .vercel.app</t>
  </si>
  <si>
    <t xml:space="preserve">Login gia fatto su un alias</t>
  </si>
  <si>
    <t xml:space="preserve">Apri un secondo alias</t>
  </si>
  <si>
    <t xml:space="preserve">Richiede login separato (cookie non condiviso tra .vercel.app diversi)</t>
  </si>
  <si>
    <t xml:space="preserve">Comportamento noto e atteso, non un bug</t>
  </si>
  <si>
    <t xml:space="preserve">TC-097</t>
  </si>
  <si>
    <t xml:space="preserve">Barra di navigazione fissa durante lo scroll (mobile)</t>
  </si>
  <si>
    <t xml:space="preserve">Pagina con contenuto lungo, mobile</t>
  </si>
  <si>
    <t xml:space="preserve">Scorri la pagina in una qualsiasi delle 3 app</t>
  </si>
  <si>
    <t xml:space="preserve">La barra di navigazione/menu resta visibile (fissa in cima o in fondo) durante lo scroll</t>
  </si>
  <si>
    <t xml:space="preserve">#24</t>
  </si>
  <si>
    <t xml:space="preserve">TO DEPLOY (fix già fatto in sessione precedente - barra nav sticky - da riverificare sul deploy reale)</t>
  </si>
  <si>
    <t xml:space="preserve">Corretto in questa sessione (altezza fissa app-shell + wrapper sticky su dashboard mobile) - da riverificare sul deploy reale</t>
  </si>
  <si>
    <t xml:space="preserve">TC-098</t>
  </si>
  <si>
    <t xml:space="preserve">Fuori scope attuale</t>
  </si>
  <si>
    <t xml:space="preserve">Notifiche email conferma prenotazione</t>
  </si>
  <si>
    <t xml:space="preserve">Prenotazione completata</t>
  </si>
  <si>
    <t xml:space="preserve">Controlla la casella email del genitore</t>
  </si>
  <si>
    <t xml:space="preserve">Dovrebbe arrivare un'email di conferma</t>
  </si>
  <si>
    <t xml:space="preserve">#15</t>
  </si>
  <si>
    <t xml:space="preserve">DA COSTRUIRE (task #15, V1 - non ancora iniziato)</t>
  </si>
  <si>
    <t xml:space="preserve">Noto: nessuna email viene inviata (non implementato)</t>
  </si>
  <si>
    <t xml:space="preserve">TC-099</t>
  </si>
  <si>
    <t xml:space="preserve">Candidatura staff camp</t>
  </si>
  <si>
    <t xml:space="preserve">Cerca una sezione 'Lavora con noi' o candidatura staff</t>
  </si>
  <si>
    <t xml:space="preserve">Dovrebbe esistere un flusso di candidatura</t>
  </si>
  <si>
    <t xml:space="preserve">#9</t>
  </si>
  <si>
    <t xml:space="preserve">DA COSTRUIRE (V2 - release successiva, task #9)</t>
  </si>
  <si>
    <t xml:space="preserve">Noto: non presente, pianificato per fase futura</t>
  </si>
  <si>
    <t xml:space="preserve">TC-100</t>
  </si>
  <si>
    <t xml:space="preserve">Tutorial onboarding al primo accesso</t>
  </si>
  <si>
    <t xml:space="preserve">Nuovo utente al primo login</t>
  </si>
  <si>
    <t xml:space="preserve">Osserva se compare una guida introduttiva</t>
  </si>
  <si>
    <t xml:space="preserve">Dovrebbe comparire uno spotlight/tutorial</t>
  </si>
  <si>
    <t xml:space="preserve">#11</t>
  </si>
  <si>
    <t xml:space="preserve">DA COSTRUIRE (V2 - release successiva, task #11)</t>
  </si>
  <si>
    <t xml:space="preserve">Noto: non presente ancora</t>
  </si>
  <si>
    <t xml:space="preserve">TC-101</t>
  </si>
  <si>
    <t xml:space="preserve">Genitori - Home (Planner/Per Bambino)</t>
  </si>
  <si>
    <t xml:space="preserve">Vista Planner riflette le prenotazioni reali con l'anno di stagione corretto</t>
  </si>
  <si>
    <t xml:space="preserve">Almeno un bambino con profilo completo; app collegata a Supabase</t>
  </si>
  <si>
    <t xml:space="preserve">Apri Home, tab "Planner"</t>
  </si>
  <si>
    <t xml:space="preserve">Le 13 settimane della stagione sono mostrate (coperte/scoperte) in base alle prenotazioni reali; "Settimana N" indica sempre lo stesso intervallo di calendario sia qui sia nel selettore di Prenotazione</t>
  </si>
  <si>
    <t xml:space="preserve">#65, #82</t>
  </si>
  <si>
    <t xml:space="preserve">TO DEPLOY (implementato e verificato con build in questa sessione)</t>
  </si>
  <si>
    <t xml:space="preserve">Corretto un bug per cui l'anno "di stagione" veniva dedotto dall'orologio di sistema invece che dai dati reali: se i dati demo erano di un anno diverso, TUTTE le settimane risultavano "scoperte/non disponibili" anche con posti realmente liberi. Ora una funzione condivisa (getSeasonYear) garantisce coerenza tra Planner e Prenotazione.</t>
  </si>
  <si>
    <t xml:space="preserve">TC-102</t>
  </si>
  <si>
    <t xml:space="preserve">Filtro per bambino nel Planner (famiglie con più figli)</t>
  </si>
  <si>
    <t xml:space="preserve">Almeno 2 bambini nel profilo, con prenotazioni/esigenze diverse</t>
  </si>
  <si>
    <t xml:space="preserve">Nella vista Planner, usa il filtro "Tutti / [nome bambino]" sopra la lista delle settimane</t>
  </si>
  <si>
    <t xml:space="preserve">Selezionando un bambino specifico, il Planner mostra solo la sua copertura; in modalità "Tutti" le settimane coperte solo per alcuni bambini mostrano un avviso "manca per [nome]"</t>
  </si>
  <si>
    <t xml:space="preserve">#88</t>
  </si>
  <si>
    <t xml:space="preserve">Funzionalità nuova, richiesta esplicitamente per gestire famiglie con bambini iscritti a campus/settimane diversi — prima il Planner assumeva un unico bambino.</t>
  </si>
  <si>
    <t xml:space="preserve">TC-103</t>
  </si>
  <si>
    <t xml:space="preserve">Escludere/ripristinare una settimana da "da riempire"</t>
  </si>
  <si>
    <t xml:space="preserve">Almeno una settimana scoperta nel Planner</t>
  </si>
  <si>
    <t xml:space="preserve">Su una settimana scoperta, clicca "Non mi serve"; poi clicca "Ripristina"</t>
  </si>
  <si>
    <t xml:space="preserve">La settimana passa allo stato "non ti serve" (non conta più tra quelle da riempire) e può essere ripristinata in qualsiasi momento</t>
  </si>
  <si>
    <t xml:space="preserve">#70</t>
  </si>
  <si>
    <t xml:space="preserve">TO DEPLOY</t>
  </si>
  <si>
    <t xml:space="preserve">Utile per le famiglie che, per alcune settimane, non hanno bisogno del centro estivo (vacanza, nonni, ecc.) e non vogliono vedere quella settimana segnalata come "da riempire".</t>
  </si>
  <si>
    <t xml:space="preserve">TC-104</t>
  </si>
  <si>
    <t xml:space="preserve">Vista Per Bambino — anello di selezione non tagliato dal bordo</t>
  </si>
  <si>
    <t xml:space="preserve">Almeno 2 bambini nel profilo</t>
  </si>
  <si>
    <t xml:space="preserve">In Home, passa alla vista "Per bambino"; scorri gli avatar e seleziona un bambino vicino al bordo della sezione scrollabile</t>
  </si>
  <si>
    <t xml:space="preserve">L'anello colorato attorno all'avatar selezionato è visibile per intero, non tagliato dal bordo del contenitore</t>
  </si>
  <si>
    <t xml:space="preserve">#90</t>
  </si>
  <si>
    <t xml:space="preserve">TO DEPLOY (bug segnalato e corretto in questa sessione)</t>
  </si>
  <si>
    <t xml:space="preserve">Corretto aggiungendo padding/margine negativo al contenitore scroll — l'anello di selezione (ring) veniva tagliato dal bordo della sezione.</t>
  </si>
  <si>
    <t xml:space="preserve">TC-105</t>
  </si>
  <si>
    <t xml:space="preserve">"Già prenotato per [bambino]" senza righe duplicate</t>
  </si>
  <si>
    <t xml:space="preserve">Bambino con almeno una prenotazione confermata</t>
  </si>
  <si>
    <t xml:space="preserve">Vista "Per bambino", seleziona il bambino con la prenotazione</t>
  </si>
  <si>
    <t xml:space="preserve">La sezione "Già prenotato per [nome]" mostra ogni attività/settimane una sola volta, senza righe identiche ripetute</t>
  </si>
  <si>
    <t xml:space="preserve">#108</t>
  </si>
  <si>
    <t xml:space="preserve">Segnalato da te su Piero (2 record identici): la funzione che raggruppa le prenotazioni per bambino ora deduplica per attività+settimane prima di mostrarle.</t>
  </si>
  <si>
    <t xml:space="preserve">TC-106</t>
  </si>
  <si>
    <t xml:space="preserve">Settimana scelta dal Planner arriva pre-selezionata in Prenotazione</t>
  </si>
  <si>
    <t xml:space="preserve">Settimana scoperta nel Planner</t>
  </si>
  <si>
    <t xml:space="preserve">Dal Planner, clicca "Riempi" su una settimana scoperta, scegli un'attività da Cerca, arriva fino allo step "Scegli le settimane" della Prenotazione</t>
  </si>
  <si>
    <t xml:space="preserve">La settimana richiesta è già selezionata (bordo/spunta) e appare un banner "Hai già scelto la Settimana N dal Planner"</t>
  </si>
  <si>
    <t xml:space="preserve">#76, #89</t>
  </si>
  <si>
    <t xml:space="preserve">Prima la settimana scelta in Home non risultava preselezionata in Prenotazione, obbligando a ritrovarla manualmente tra tutte le settimane.</t>
  </si>
  <si>
    <t xml:space="preserve">TC-107</t>
  </si>
  <si>
    <t xml:space="preserve">Multi-bambino: iscrizioni a campus/settimane diverse gestite end-to-end</t>
  </si>
  <si>
    <t xml:space="preserve">Almeno 2 bambini con esigenze diverse</t>
  </si>
  <si>
    <t xml:space="preserve">Da "Per bambino", seleziona un bambino specifico e segui l'intero flusso Riempi → Cerca → Attività → Prenotazione</t>
  </si>
  <si>
    <t xml:space="preserve">Il bambino selezionato resta quello corretto per tutto il flusso (preselezionato anche nello step "Chi partecipa" della Prenotazione), senza doverlo riselezionare ad ogni passaggio</t>
  </si>
  <si>
    <t xml:space="preserve">#88, #89</t>
  </si>
  <si>
    <t xml:space="preserve">Il parametro bambino viaggia ora nell'URL lungo tutto il flusso (Planner → Search → Attività → Prenotazione).</t>
  </si>
  <si>
    <t xml:space="preserve">TC-108</t>
  </si>
  <si>
    <t xml:space="preserve">Settimane già confermate per la stessa attività non ri-selezionabili</t>
  </si>
  <si>
    <t xml:space="preserve">Genitore con almeno una prenotazione confermata per una specifica attività</t>
  </si>
  <si>
    <t xml:space="preserve">Torna sulla stessa attività (da qualsiasi punto: Cerca, Planner, scheda attività) e apri "Prenota ora"</t>
  </si>
  <si>
    <t xml:space="preserve">Le settimane già prenotate e confermate appaiono con badge verde "✓ Già prenotata" e non sono cliccabili/selezionabili di nuovo</t>
  </si>
  <si>
    <t xml:space="preserve">#106</t>
  </si>
  <si>
    <t xml:space="preserve">TO DEPLOY (implementato in questa sessione su tua richiesta esplicita)</t>
  </si>
  <si>
    <t xml:space="preserve">Evita la doppia prenotazione involontaria della stessa settimana sullo stesso campus, indipendentemente dal punto di ingresso nel flusso.</t>
  </si>
  <si>
    <t xml:space="preserve">TC-109</t>
  </si>
  <si>
    <t xml:space="preserve">Formato data settimana coerente in tutte le sezioni</t>
  </si>
  <si>
    <t xml:space="preserve">Confronta il formato delle date settimana in Planner, selettore Prenotazione, banner di Cerca e riepilogo di Prenotazione</t>
  </si>
  <si>
    <t xml:space="preserve">Stesso formato ovunque: intervallo di date in evidenza (es. "GIU 2-6") con "Sett. N" come etichetta secondaria</t>
  </si>
  <si>
    <t xml:space="preserve">#107</t>
  </si>
  <si>
    <t xml:space="preserve">TO DEPLOY (segnalato e corretto in questa sessione)</t>
  </si>
  <si>
    <t xml:space="preserve">Prima ogni sezione usava un formato diverso ("2-6/6" numerico in un punto, "24 giu – 28 giu" testuale in un altro) — ora derivano tutte da un'unica funzione condivisa.</t>
  </si>
  <si>
    <t xml:space="preserve">TC-110</t>
  </si>
  <si>
    <t xml:space="preserve">Deselezione settimana non resta "incollata" allo stato attivo (mobile)</t>
  </si>
  <si>
    <t xml:space="preserve">Dispositivo mobile/touch</t>
  </si>
  <si>
    <t xml:space="preserve">Seleziona una settimana nello step 1, poi deselezionala con un tap</t>
  </si>
  <si>
    <t xml:space="preserve">La card torna visivamente allo stato non selezionato, senza restare con i colori dello stato attivo</t>
  </si>
  <si>
    <t xml:space="preserve">#83</t>
  </si>
  <si>
    <t xml:space="preserve">Bug dovuto a stili ":hover" che su mobile restano "incollati" dopo un tap — rimossi; lo stato attivo ora è comunicato solo dalla selezione reale.</t>
  </si>
  <si>
    <t xml:space="preserve">TC-111</t>
  </si>
  <si>
    <t xml:space="preserve">Pagina di successo mostra le settimane corrette</t>
  </si>
  <si>
    <t xml:space="preserve">Prenotazione completata con successo</t>
  </si>
  <si>
    <t xml:space="preserve">Completa una prenotazione fino alla schermata finale</t>
  </si>
  <si>
    <t xml:space="preserve">Le settimane prenotate sono elencate correttamente, non "--"</t>
  </si>
  <si>
    <t xml:space="preserve">#84</t>
  </si>
  <si>
    <t xml:space="preserve">Bug legato al disallineamento dell'anno di stagione (vedi TC-101) che impediva di ritrovare le settimane appena prenotate.</t>
  </si>
  <si>
    <t xml:space="preserve">TC-112</t>
  </si>
  <si>
    <t xml:space="preserve">Condividi prenotazione come immagine + aggiungi al calendario</t>
  </si>
  <si>
    <t xml:space="preserve">Dalla schermata di successo, usa "Condividi"</t>
  </si>
  <si>
    <t xml:space="preserve">Viene generata un'immagine "cartolina" riepilogativa (canvas) condivisibile tramite le app del telefono, con opzione di download se la condivisione nativa non è disponibile; presente anche "Aggiungi al calendario"</t>
  </si>
  <si>
    <t xml:space="preserve">#85</t>
  </si>
  <si>
    <t xml:space="preserve">Prima la condivisione era solo testo semplice — sostituita con un'immagine generata via canvas, più adatta a Instagram Stories/WhatsApp.</t>
  </si>
  <si>
    <t xml:space="preserve">TC-113</t>
  </si>
  <si>
    <t xml:space="preserve">Upload foto profilo genitore</t>
  </si>
  <si>
    <t xml:space="preserve">Genitore loggato</t>
  </si>
  <si>
    <t xml:space="preserve">In Profilo, clicca l'icona fotocamera sull'avatar e carica un'immagine</t>
  </si>
  <si>
    <t xml:space="preserve">La foto sostituisce le iniziali/gradiente di default ed è visibile subito dopo il caricamento</t>
  </si>
  <si>
    <t xml:space="preserve">#93</t>
  </si>
  <si>
    <t xml:space="preserve">TO DEPLOY — richiede lo snippet SQL fornito a parte (colonne avatar_url/cover_image_url/ecc. + bucket Storage) applicato su Supabase prima del test</t>
  </si>
  <si>
    <t xml:space="preserve">Upload tramite Supabase Storage (bucket pubblico "buddykids-images", 5MB max, jpg/png/webp/gif).</t>
  </si>
  <si>
    <t xml:space="preserve">TC-114</t>
  </si>
  <si>
    <t xml:space="preserve">Upload foto profilo bambino</t>
  </si>
  <si>
    <t xml:space="preserve">Almeno un bambino nel profilo</t>
  </si>
  <si>
    <t xml:space="preserve">In Profilo, sezione Bambini, clicca l'icona fotocamera sull'avatar di un bambino</t>
  </si>
  <si>
    <t xml:space="preserve">La foto sostituisce l'emoji/colore di default per quel bambino, ovunque appaia (Home, Per Bambino, Prenotazione)</t>
  </si>
  <si>
    <t xml:space="preserve">TO DEPLOY — stesso prerequisito SQL di TC-113</t>
  </si>
  <si>
    <t xml:space="preserve">TC-115</t>
  </si>
  <si>
    <t xml:space="preserve">Galleria foto e copertina personalizzata nel dettaglio attività</t>
  </si>
  <si>
    <t xml:space="preserve">Attività con copertina/galleria caricate dal Gestore (vedi TC-116)</t>
  </si>
  <si>
    <t xml:space="preserve">Apri il dettaglio di un'attività con foto caricate</t>
  </si>
  <si>
    <t xml:space="preserve">L'header mostra la copertina reale (non il gradiente) e sotto ai badge compare una striscia orizzontale scorrevole con le foto della galleria</t>
  </si>
  <si>
    <t xml:space="preserve">Se il Gestore non carica nulla, resta il gradiente colorato di default — nessuna rottura visiva per le attività senza foto. | AGGIORNATO: le foto ora si aprirebbero in un visualizzatore a schermo intero stile carosello (components/ImageLightbox.tsx) invece di restare anteprime statiche — resta escluso dall'automazione in attesa di TC-116 (nessuna foto caricata nell'ambiente di test).</t>
  </si>
  <si>
    <t xml:space="preserve">TC-116</t>
  </si>
  <si>
    <t xml:space="preserve">Upload copertina + galleria foto di un'attività</t>
  </si>
  <si>
    <t xml:space="preserve">Login Gestore, attività esistente</t>
  </si>
  <si>
    <t xml:space="preserve">Vai su Gestore &gt; Attività &gt; Modifica, sezione "Immagini"</t>
  </si>
  <si>
    <t xml:space="preserve">Si può caricare/cambiare/rimuovere una copertina e aggiungere più foto alla galleria; il salvataggio scrive su Supabase Storage e sulla scheda attività</t>
  </si>
  <si>
    <t xml:space="preserve">Stesso componente riusato anche per gli altri profili immagine (genitore/bambino/centro/fornitore).</t>
  </si>
  <si>
    <t xml:space="preserve">TC-117</t>
  </si>
  <si>
    <t xml:space="preserve">Upload logo/foto del centro</t>
  </si>
  <si>
    <t xml:space="preserve">Login Gestore</t>
  </si>
  <si>
    <t xml:space="preserve">Vai su Gestore &gt; Il mio centro, clicca l'icona fotocamera sul cerchio in alto</t>
  </si>
  <si>
    <t xml:space="preserve">Il logo sostituisce l'emoji/gradiente di default; viene salvato al click su "Salva modifiche" insieme al resto del form</t>
  </si>
  <si>
    <t xml:space="preserve">TC-118</t>
  </si>
  <si>
    <t xml:space="preserve">Upload foto/logo fornitore</t>
  </si>
  <si>
    <t xml:space="preserve">Login Admin piattaforma</t>
  </si>
  <si>
    <t xml:space="preserve">Vai su Admin &gt; Fornitori consigliati, crea/modifica un fornitore e carica una foto</t>
  </si>
  <si>
    <t xml:space="preserve">La foto sostituisce l'emoji sia nella tabella Admin sia nella card mostrata ai Gestori in "Servizi consigliati"</t>
  </si>
  <si>
    <t xml:space="preserve">TC-119</t>
  </si>
  <si>
    <t xml:space="preserve">Nuova navigazione con raggruppamento sezioni e badge richieste in sospeso</t>
  </si>
  <si>
    <t xml:space="preserve">Login Gestore, almeno una Richiesta Gruppo in sospeso</t>
  </si>
  <si>
    <t xml:space="preserve">Apri /center, osserva il menu laterale</t>
  </si>
  <si>
    <t xml:space="preserve">Le voci di menu sono raggruppate sotto intestazioni ("Oggi"/"Gestione"); la voce "Richieste Gruppo" mostra un badge rosso col numero di richieste in sospeso</t>
  </si>
  <si>
    <t xml:space="preserve">#92</t>
  </si>
  <si>
    <t xml:space="preserve">TO DEPLOY (redesign approvato — versione 6a — implementato in questa sessione) | RISOLTO</t>
  </si>
  <si>
    <t xml:space="preserve">Da verificare sia su desktop (sidebar) sia su mobile (barra pillole). | BUG DI TEST TROVATO+CORRETTO (run reale, solo mobile-chrome): le intestazioni sezione 'Oggi'/'Gestione' esistono solo nella sidebar desktop (DashboardLayout.tsx: hidden md:flex) — su mobile c'e' solo la pillola di nav senza intestazioni, per design. Il test forza ora un viewport desktop (1280x800).</t>
  </si>
  <si>
    <t xml:space="preserve">TC-120</t>
  </si>
  <si>
    <t xml:space="preserve">Banner settimane scariche / richieste gruppo in sospeso</t>
  </si>
  <si>
    <t xml:space="preserve">Centro con almeno una settimana con occupazione bassa, o una Richiesta Gruppo in sospeso</t>
  </si>
  <si>
    <t xml:space="preserve">In cima alla dashboard compaiono banner dedicati per le settimane scariche e per le richieste in sospeso, prima delle metriche KPI</t>
  </si>
  <si>
    <t xml:space="preserve">TO DEPLOY | RISOLTO</t>
  </si>
  <si>
    <t xml:space="preserve">BUG DI TEST TROVATO+CORRETTO (run reale): stessa causa di TC-072 (locator 'Attivita' ambiguo, 4 match) — risolto con lo stesso helper kpiAttivita() scoping alla griglia KPI.</t>
  </si>
  <si>
    <t xml:space="preserve">TC-121</t>
  </si>
  <si>
    <t xml:space="preserve">Feed attività unificato "Attività recente"</t>
  </si>
  <si>
    <t xml:space="preserve">Apri /center, osserva la colonna destra</t>
  </si>
  <si>
    <t xml:space="preserve">Al posto della vecchia lista "Le tue attività" compare un feed cronologico che unisce settimane scariche, richieste gruppo, prenotazioni e promozioni</t>
  </si>
  <si>
    <t xml:space="preserve">Alcuni timestamp nel feed sono sintetici/illustrativi (commentato nel codice) dove il modello dati non ha ancora un timestamp reale per quell'evento — da tenere presente se si nota qualche data "strana".</t>
  </si>
  <si>
    <t xml:space="preserve">TC-122</t>
  </si>
  <si>
    <t xml:space="preserve">Gestore - Inviti</t>
  </si>
  <si>
    <t xml:space="preserve">Creazione invito singolo con contatto email</t>
  </si>
  <si>
    <t xml:space="preserve">Apri 'Inviti', compila nome/email contatto, imposta sconto % e scadenza, invia</t>
  </si>
  <si>
    <t xml:space="preserve">L'invito viene creato con un codice univoco; se è configurato l'invio email (Resend), parte automaticamente un'email con link+codice, altrimenti viene mostrato il link da copiare</t>
  </si>
  <si>
    <t xml:space="preserve">TC-123</t>
  </si>
  <si>
    <t xml:space="preserve">Caricamento contatti da file per invio multiplo</t>
  </si>
  <si>
    <t xml:space="preserve">Login Gestore centro, file CSV/TXT con nome,email,telefono per riga</t>
  </si>
  <si>
    <t xml:space="preserve">In 'Inviti', usa 'Carica file', seleziona il CSV, conferma</t>
  </si>
  <si>
    <t xml:space="preserve">Un invito viene creato per ciascun contatto valido nel file, con lo stesso sconto/scadenza impostati; i contatti senza email valida restano generabili solo come link (nessuna email inviata)</t>
  </si>
  <si>
    <t xml:space="preserve">TC-124</t>
  </si>
  <si>
    <t xml:space="preserve">Invio email automatico vs fallback 'copia link'</t>
  </si>
  <si>
    <t xml:space="preserve">Un invito appena creato con contatto email</t>
  </si>
  <si>
    <t xml:space="preserve">Osserva lo stato dell'invito subito dopo la creazione</t>
  </si>
  <si>
    <t xml:space="preserve">Se RESEND_API_KEY è configurato, lo stato passa a 'Inviato' e email_sent_at è valorizzato; se non configurato, l'invito resta 'In attesa' e l'interfaccia permette comunque di copiare il link per condividerlo manualmente</t>
  </si>
  <si>
    <t xml:space="preserve">TC-125</t>
  </si>
  <si>
    <t xml:space="preserve">Lista inviti mostra lo stato corretto per ciascuno</t>
  </si>
  <si>
    <t xml:space="preserve">Almeno un invito per stato (in attesa/inviato/registrato/riscattato/scaduto)</t>
  </si>
  <si>
    <t xml:space="preserve">Apri 'Inviti' e osserva la tabella</t>
  </si>
  <si>
    <t xml:space="preserve">Ogni riga mostra il badge di stato coerente col database (In attesa/Inviato/Registrato/Riscattato/Scaduto), quest'ultimo calcolato automaticamente dalla data di scadenza senza bisogno di un job pianificato</t>
  </si>
  <si>
    <t xml:space="preserve">TC-126</t>
  </si>
  <si>
    <t xml:space="preserve">Disattivazione/riattivazione manuale di un invito</t>
  </si>
  <si>
    <t xml:space="preserve">Un invito attivo, non ancora scaduto</t>
  </si>
  <si>
    <t xml:space="preserve">Clicca 'Disattiva' sull'invito; poi 'Riattiva'</t>
  </si>
  <si>
    <t xml:space="preserve">L'invito disattivato non è più utilizzabile in fase di registrazione/sconto anche se il codice è corretto; riattivandolo torna utilizzabile (se non scaduto)</t>
  </si>
  <si>
    <t xml:space="preserve">TC-127</t>
  </si>
  <si>
    <t xml:space="preserve">Genitori - Registrazione</t>
  </si>
  <si>
    <t xml:space="preserve">Link con codice invito precompila il campo e mostra l'anteprima</t>
  </si>
  <si>
    <t xml:space="preserve">Un invito attivo e non scaduto</t>
  </si>
  <si>
    <t xml:space="preserve">Apri il link di registrazione ricevuto (con ?invite=CODICE)</t>
  </si>
  <si>
    <t xml:space="preserve">Il form di registrazione si apre già in modalità 'Crea account' col codice invito precompilato; viene mostrata un'anteprima con nome del centro e percentuale di sconto prima di completare la registrazione</t>
  </si>
  <si>
    <t xml:space="preserve">TC-128</t>
  </si>
  <si>
    <t xml:space="preserve">Registrazione con codice invito collega automaticamente l'invito al nuovo profilo</t>
  </si>
  <si>
    <t xml:space="preserve">Un invito attivo e non scaduto, codice valido</t>
  </si>
  <si>
    <t xml:space="preserve">Completa la registrazione inserendo il codice invito (manualmente o da link)</t>
  </si>
  <si>
    <t xml:space="preserve">Il nuovo profilo genitore viene creato con invited_by_code valorizzato; l'invito corrispondente passa a stato 'Registrato' con registered_parent_id collegato al nuovo utente, visibile subito nella lista Inviti del Gestore</t>
  </si>
  <si>
    <t xml:space="preserve">TC-129</t>
  </si>
  <si>
    <t xml:space="preserve">Sconto invito applicato una tantum alla prima prenotazione idonea</t>
  </si>
  <si>
    <t xml:space="preserve">Genitore registrato tramite invito, con sconto non ancora utilizzato</t>
  </si>
  <si>
    <t xml:space="preserve">Prenota un'attività fino al riepilogo prezzo</t>
  </si>
  <si>
    <t xml:space="preserve">Il riepilogo mostra una riga 'Sconto invito 🎁' calcolata sulla percentuale dell'invito; a prenotazione confermata, discount_applied_at viene valorizzato (sconto consumato)</t>
  </si>
  <si>
    <t xml:space="preserve">TC-130</t>
  </si>
  <si>
    <t xml:space="preserve">Sconto invito non riapplicabile a una seconda prenotazione</t>
  </si>
  <si>
    <t xml:space="preserve">Genitore che ha già usato lo sconto invito su una prenotazione precedente</t>
  </si>
  <si>
    <t xml:space="preserve">Effettua una seconda prenotazione</t>
  </si>
  <si>
    <t xml:space="preserve">Il riepilogo NON mostra più la riga 'Sconto invito' (discount_applied_at già valorizzato) — lo sconto è una tantum, non riutilizzabile su prenotazioni successive</t>
  </si>
  <si>
    <t xml:space="preserve">TC-131</t>
  </si>
  <si>
    <t xml:space="preserve">Invito scaduto non più utilizzabile</t>
  </si>
  <si>
    <t xml:space="preserve">Un invito con promo_expires_at nel passato</t>
  </si>
  <si>
    <t xml:space="preserve">Apri 'Inviti' e osserva lo stato; prova ad aprire il link di registrazione con quel codice</t>
  </si>
  <si>
    <t xml:space="preserve">L'invito mostra stato 'Scaduto' nella lista Gestore; l'anteprima in registrazione segnala il codice come non più valido e non applica alcuno sconto se comunque si completa la registrazione</t>
  </si>
  <si>
    <t xml:space="preserve">TC-132</t>
  </si>
  <si>
    <t xml:space="preserve">Dati personali estesi (telefono, data di nascita, genere) salvati e mostrati</t>
  </si>
  <si>
    <t xml:space="preserve">In Profilo, click 'Modifica', compila telefono/data di nascita/genere, salva</t>
  </si>
  <si>
    <t xml:space="preserve">I valori inseriti vengono salvati su Supabase e ripresentati precompilati alla riapertura del form</t>
  </si>
  <si>
    <t xml:space="preserve">TC-133</t>
  </si>
  <si>
    <t xml:space="preserve">Cambio password dalla sezione Sicurezza</t>
  </si>
  <si>
    <t xml:space="preserve">In Profilo &gt; Sicurezza, inserisci una nuova password (min 8 caratteri) e conferma, salva</t>
  </si>
  <si>
    <t xml:space="preserve">La password viene aggiornata (supabase.auth.updateUser); il login successivo funziona con la nuova password</t>
  </si>
  <si>
    <t xml:space="preserve">AGGIORNATO: 'Sicurezza' e' ora una sotto-pagina dedicata (/profile/sicurezza o /center/account/sicurezza), non piu' una sezione inline sulla stessa pagina profilo — vedi TC-148/TC-138 per la navigazione del menu 'Impostazioni'.</t>
  </si>
  <si>
    <t xml:space="preserve">TC-134</t>
  </si>
  <si>
    <t xml:space="preserve">Preferenze (lingua/tema/notifiche) persistono</t>
  </si>
  <si>
    <t xml:space="preserve">In Profilo &gt; Preferenze, cambia lingua/tema e disattiva una notifica</t>
  </si>
  <si>
    <t xml:space="preserve">Le scelte vengono salvate subito (senza pulsante Salva) e restano dopo un reload della pagina</t>
  </si>
  <si>
    <t xml:space="preserve">AGGIORNATO: split in due sotto-pagine distinte — 'Preferenze' (lingua/tema, /profile/preferenze) e 'Notifiche' (email/push/SMS, /profile/notifiche, vedi nuovo TC-147) — prima erano sulla stessa pagina.</t>
  </si>
  <si>
    <t xml:space="preserve">TC-135</t>
  </si>
  <si>
    <t xml:space="preserve">Consenso marketing attivabile/disattivabile</t>
  </si>
  <si>
    <t xml:space="preserve">In Profilo &gt; Privacy e account, attiva/disattiva il consenso marketing</t>
  </si>
  <si>
    <t xml:space="preserve">Il valore viene salvato su profiles.marketing_consent e resta dopo reload</t>
  </si>
  <si>
    <t xml:space="preserve">AGGIORNATO: 'Privacy e account' e' ora una sotto-pagina dedicata (/profile/privacy o /center/account/privacy).</t>
  </si>
  <si>
    <t xml:space="preserve">TC-136</t>
  </si>
  <si>
    <t xml:space="preserve">Disattivazione temporanea dell'account</t>
  </si>
  <si>
    <t xml:space="preserve">In Profilo &gt; Privacy e account, click 'Disattiva account temporaneamente' e conferma</t>
  </si>
  <si>
    <t xml:space="preserve">account_status passa a 'deactivated', l'utente viene disconnesso</t>
  </si>
  <si>
    <t xml:space="preserve">AGGIORNATO: vedi nota TC-135 — stessa sotto-pagina /profile/privacy.</t>
  </si>
  <si>
    <t xml:space="preserve">TC-137</t>
  </si>
  <si>
    <t xml:space="preserve">Richiesta di cancellazione account (diritto all'oblio)</t>
  </si>
  <si>
    <t xml:space="preserve">In Profilo &gt; Privacy e account, click 'Richiedi cancellazione account' e conferma</t>
  </si>
  <si>
    <t xml:space="preserve">account_status passa a 'deletion_requested' con timestamp; la richiesta va evasa manualmente da un platform_admin (nessuna cancellazione automatica lato client)</t>
  </si>
  <si>
    <t xml:space="preserve">TC-138</t>
  </si>
  <si>
    <t xml:space="preserve">Gestore - Il mio account</t>
  </si>
  <si>
    <t xml:space="preserve">Pagina profilo personale distinta dal profilo del centro</t>
  </si>
  <si>
    <t xml:space="preserve">Login gestore</t>
  </si>
  <si>
    <t xml:space="preserve">Apri '/center/account' dal menu 'Il mio account'</t>
  </si>
  <si>
    <t xml:space="preserve">Mostra dati personali/sicurezza/preferenze/privacy del gestore (non i dati del centro, che restano su 'Il mio centro' /center/profile)</t>
  </si>
  <si>
    <t xml:space="preserve">AGGIORNATO: il menu 'Impostazioni' su /center/account ora apre sotto-pagine dedicate (stessa struttura del profilo genitore, vedi TC-148); rimossa dal test l'assenza inline di #security-new-password, sostituita da un click-through verso /center/account/sicurezza.</t>
  </si>
  <si>
    <t xml:space="preserve">TC-139</t>
  </si>
  <si>
    <t xml:space="preserve">Gestore - Registro presenze</t>
  </si>
  <si>
    <t xml:space="preserve">Elenco partecipanti raggruppato per attività e settimana</t>
  </si>
  <si>
    <t xml:space="preserve">Login gestore, almeno una prenotazione reale sulla propria attività</t>
  </si>
  <si>
    <t xml:space="preserve">Apri '/center/attendance'</t>
  </si>
  <si>
    <t xml:space="preserve">I bambini iscritti compaiono divisi per attività+settimana, con nome bambino, nome/contatto genitore ed eventuale badge Gruppo</t>
  </si>
  <si>
    <t xml:space="preserve">TC-140</t>
  </si>
  <si>
    <t xml:space="preserve">Segnare presente/assente per un giorno specifico persiste</t>
  </si>
  <si>
    <t xml:space="preserve">Partecipante presente in una settimana</t>
  </si>
  <si>
    <t xml:space="preserve">In Registro presenze, seleziona un giorno e clicca il bottone stato di un bambino</t>
  </si>
  <si>
    <t xml:space="preserve">Lo stato passa a Presente/Assente ed è salvato su attendance_records (persiste dopo reload)</t>
  </si>
  <si>
    <t xml:space="preserve">Riga bambino aggiornata a gruppo di 3 bottoni (Presente/In ritardo/Assente) per il check-in MVP — vedi TC-151/152.</t>
  </si>
  <si>
    <t xml:space="preserve">TC-141</t>
  </si>
  <si>
    <t xml:space="preserve">Il badge avatar in Home porta al profilo</t>
  </si>
  <si>
    <t xml:space="preserve">Clicca il badge con le iniziali/foto in alto a destra della Home</t>
  </si>
  <si>
    <t xml:space="preserve">Naviga a /profile — prima era un elemento inerte, senza alcuna azione</t>
  </si>
  <si>
    <t xml:space="preserve">TC-142</t>
  </si>
  <si>
    <t xml:space="preserve">Il pallino sul badge avatar riflette il profilo incompleto</t>
  </si>
  <si>
    <t xml:space="preserve">Osserva il badge avatar in Home a seconda che il profilo sia completo o meno</t>
  </si>
  <si>
    <t xml:space="preserve">Il pallino rosso compare SOLO se il profilo è incompleto (stessa logica di isParentProfileIncomplete) — prima era sempre presente, puramente decorativo</t>
  </si>
  <si>
    <t xml:space="preserve">TC-143</t>
  </si>
  <si>
    <t xml:space="preserve">Gli avatar bambino in 'Per bambino' mostrano la foto reale</t>
  </si>
  <si>
    <t xml:space="preserve">Bambino con avatar_url impostato</t>
  </si>
  <si>
    <t xml:space="preserve">Apri Home &gt; Per bambino, osserva l'avatar del bambino</t>
  </si>
  <si>
    <t xml:space="preserve">Mostra la foto caricata, non solo emoji+colore; l'anello di selezione non la taglia</t>
  </si>
  <si>
    <t xml:space="preserve">BUG DI TEST TROVATO+CORRETTO (screenshot di Fabrizio): il contenitore orizzontale 'Per chi cerchiamo oggi?' (overflow-x-auto) tagliava in alto l'anello di selezione del bambino attivo, perche' CSS forza overflow-y ad 'auto' quando overflow-x non e' 'visible' e non c'era padding verticale a compensare. Aggiunto pt-1.5 in PerBambinoView.tsx (stesso principio gia' applicato in orizzontale con -mx-1/px-1).</t>
  </si>
  <si>
    <t xml:space="preserve">TC-144</t>
  </si>
  <si>
    <t xml:space="preserve">Gestore - Account</t>
  </si>
  <si>
    <t xml:space="preserve">Badge profilo in alto a destra e logout spostato in 'Il mio account'</t>
  </si>
  <si>
    <t xml:space="preserve">Apri /center, osserva sidebar/header; clicca il badge profilo</t>
  </si>
  <si>
    <t xml:space="preserve">Nessun logout persistente in sidebar/header; il badge porta a /center/account, dove si trova 'Esci dall'account'</t>
  </si>
  <si>
    <t xml:space="preserve">TC-147</t>
  </si>
  <si>
    <t xml:space="preserve">Notifiche (email/push/SMS) persistono</t>
  </si>
  <si>
    <t xml:space="preserve">Vai su /profile/notifiche -&gt; attiva 'Notifiche SMS' -&gt; ricarica</t>
  </si>
  <si>
    <t xml:space="preserve">Lo stato si salva subito e resta dopo il reload</t>
  </si>
  <si>
    <t xml:space="preserve">NUOVA sotto-pagina: assorbe la parte 'notifiche' del precedente TC-134 (ora su pagina separata da Preferenze).</t>
  </si>
  <si>
    <t xml:space="preserve">TC-148</t>
  </si>
  <si>
    <t xml:space="preserve">Le voci di Impostazioni aprono le sotto-pagine dedicate</t>
  </si>
  <si>
    <t xml:space="preserve">Su /profile, clicca 'Sicurezza' nel menu Impostazioni -&gt; verifica URL e contenuto -&gt; premi Indietro</t>
  </si>
  <si>
    <t xml:space="preserve">Si apre /profile/sicurezza con il form password; 'Indietro' torna a /profile</t>
  </si>
  <si>
    <t xml:space="preserve">NUOVA FUNZIONALITA': richiesta da Fabrizio ('io farei una sezione dedicata, non tutti i sottomenu visibili') — sostituisce il blocco Impostazioni con tutte le sottosezioni sempre in linea con un menu a righe cliccabili (MenuItem), stile Servizi/Gestione dell'esempio allegato.</t>
  </si>
  <si>
    <t xml:space="preserve">TC-149</t>
  </si>
  <si>
    <t xml:space="preserve">Riepilogo 'arrivati su prenotati' del giorno</t>
  </si>
  <si>
    <t xml:space="preserve">Gestore loggato, prenotazione fixture presente</t>
  </si>
  <si>
    <t xml:space="preserve">Apri /center/attendance -&gt; seleziona l'attivita' di test -&gt; marca un bambino presente</t>
  </si>
  <si>
    <t xml:space="preserve">Il riepilogo 'N presenti su M prenotati' si aggiorna in tempo reale</t>
  </si>
  <si>
    <t xml:space="preserve">NUOVA FUNZIONALITA' richiesta da Fabrizio ('bisogna avere un report complessivo... quanti ne sono arrivati sui prenotati'). Riusa attendance_records + bookings gia' esistenti, nessuna nuova infrastruttura. Aggiunta anche notifica email al genitore quando un bambino viene marcato 'assente' (lib/email.ts, Resend) — invio best-effort non verificabile in Playwright. | Riga bambino aggiornata a gruppo di 3 bottoni (Presente/In ritardo/Assente) per il check-in MVP — vedi TC-151/152.</t>
  </si>
  <si>
    <t xml:space="preserve">TC-150</t>
  </si>
  <si>
    <t xml:space="preserve">Il menu 'Scatta foto/Galleria' resta nel viewport</t>
  </si>
  <si>
    <t xml:space="preserve">Genitore loggato, viewport mobile (375px)</t>
  </si>
  <si>
    <t xml:space="preserve">Su /profile, clicca l'icona fotocamera sull'avatar</t>
  </si>
  <si>
    <t xml:space="preserve">Il riquadro del menu non sporge oltre i bordi orizzontali del viewport</t>
  </si>
  <si>
    <t xml:space="preserve">BUG DI TEST TROVATO+CORRETTO (screenshot di Fabrizio: 'menu tagliato'): il dropdown non aveva left/right espliciti in AvatarUploadButton.tsx, quindi la sua posizione statica orizzontale poteva farlo sporgere/tagliarsi sul bordo della card. Corretto con left-0 esplicito. STESSA SEGNALAZIONE ('iconcina tagliata'): il badge fotocamera era figlio del cerchio overflow-hidden+rounded-full e veniva ritagliato dalla maschera circolare — spostato come sibling fuori da quel div.</t>
  </si>
  <si>
    <t xml:space="preserve">TC-151</t>
  </si>
  <si>
    <t xml:space="preserve">Check-in MVP: 'e' arrivato/a?' (Si/In ritardo/No)</t>
  </si>
  <si>
    <t xml:space="preserve">Genitore loggato, prenotazione con settimana che copre oggi</t>
  </si>
  <si>
    <t xml:space="preserve">Su Home, rispondi alla card di check-in del bambino -&gt; ricarica</t>
  </si>
  <si>
    <t xml:space="preserve">La risposta si salva subito e resta dopo il reload; 'Siamo in ritardo' avvisa il centro via email</t>
  </si>
  <si>
    <t xml:space="preserve">NUOVA FUNZIONALITA' (richiesta da Fabrizio, scope MVP concordato dopo discussione sui limiti reali: nessuna geolocalizzazione/notifica push automatica in background, non affidabili su web/iOS senza un'infrastruttura dedicata non ancora presente in questo stack). Risposta manuale del genitore in app. Migrazione DB: attendance_records guadagna lo stato 'in_ritardo' e le colonne checked_in_by/checkin_at (vedi supabase/schema.sql), piu' una RLS aggiuntiva che permette al genitore di scrivere/leggere le presenze dei propri bambini.</t>
  </si>
  <si>
    <t xml:space="preserve">TC-152</t>
  </si>
  <si>
    <t xml:space="preserve">Lo stato 'in ritardo' del check-in genitore e' visibile e correggibile</t>
  </si>
  <si>
    <t xml:space="preserve">Genitore ha risposto 'Siamo in ritardo' per oggi</t>
  </si>
  <si>
    <t xml:space="preserve">Il gestore apre /center/attendance -&gt; trova il bambino con badge 'Segnalato dal genitore' -&gt; corregge lo stato</t>
  </si>
  <si>
    <t xml:space="preserve">Il badge e lo stato 'In ritardo' sono visibili; la correzione del gestore aggiorna lo stato e rimuove il badge</t>
  </si>
  <si>
    <t xml:space="preserve">NUOVA FUNZIONALITA': completa il ciclo richiesto da Fabrizio ('il gestore puo' confermare in ritardo verso Presente/Assente'). Il registro presenze ora ha 3 stati (Presente/In ritardo/Assente) invece di un toggle a 2 stati — vedi anche nota su TC-140/TC-149 (selettori di riga aggiornati per il nuovo markup a gruppo di 3 bottoni).</t>
  </si>
  <si>
    <t xml:space="preserve">TC-153</t>
  </si>
  <si>
    <t xml:space="preserve">Colore del chip bambino selezionato nel Planner coerente col resto dell'app</t>
  </si>
  <si>
    <t xml:space="preserve">Nel Planner, seleziona un bambino specifico dal selettore 'Tutti / [nome]'</t>
  </si>
  <si>
    <t xml:space="preserve">Il chip selezionato usa il colore accento di quel bambino (lo stesso dell'anello avatar in 'Per bambino'), non un nero fisso</t>
  </si>
  <si>
    <t xml:space="preserve">BUG DI TEST TROVATO+CORRETTO (screenshot di Fabrizio: 'non mi piace la selezione del nome bambino in nero'): PlannerView.tsx usava bg-ink fisso per il chip selezionato, indipendente dal bambino. Corretto usando kid.accentColor (gia' esistente, usato altrove) con solidBgClasses invece del nero fisso.</t>
  </si>
  <si>
    <t xml:space="preserve">TC-154</t>
  </si>
  <si>
    <t xml:space="preserve">Settimana con copertura parziale (alcuni bambini si, altri no) distinguibile e completabile</t>
  </si>
  <si>
    <t xml:space="preserve">Almeno 2 bambini, una settimana coperta solo per uno di loro</t>
  </si>
  <si>
    <t xml:space="preserve">Apri il Planner in vista 'Tutti': osserva una settimana coperta solo per un bambino</t>
  </si>
  <si>
    <t xml:space="preserve">La riga ha uno sfondo distinto (non uguale alle settimane pienamente coperte) e mostra una CTA 'Aggiungi [nome]' per ciascun bambino ancora scoperto, che porta dritto alla prenotazione della stessa attivita'/settimana</t>
  </si>
  <si>
    <t xml:space="preserve">BUG DI TEST TROVATO+CORRETTO (segnalazione Fabrizio: 'qui devo avere una colorazione diversa e deve esserci una CTA tipo Aggiungi Piero... sennò non si capisce'): prima la copertura parziale non era distinguibile da quella piena (stessa tinta di categoria) e non c'era alcuna azione diretta. Aggiunto bg-yellow-light + CTA '+ Aggiungi [nome]' per bambino mancante, verso /booking/[slug]?week=...&amp;kid=.... Richiesto anche un fix collaterale al controllo "gia' prenotato" (getBookedWeekIdsForActivity) perche' altrimenti risultava bloccata come gia' prenotata anche per il bambino che invece deve ancora essere aggiunto.</t>
  </si>
  <si>
    <t xml:space="preserve">TC-155</t>
  </si>
  <si>
    <t xml:space="preserve">'Per riempire la settimana N' sceglie la settimana prioritaria, non la prima scoperta</t>
  </si>
  <si>
    <t xml:space="preserve">Planner con almeno una settimana scoperta tra due coperte (o all'inizio/fine)</t>
  </si>
  <si>
    <t xml:space="preserve">Apri il Planner, osserva quale settimana viene proposta sotto 'Per riempire la settimana N'</t>
  </si>
  <si>
    <t xml:space="preserve">Viene proposta la settimana 'a buco' (scoperta, con coperture sia prima che dopo nella stagione) come priorita'; solo in assenza di un buco si torna alla prima scoperta in ordine cronologico</t>
  </si>
  <si>
    <t xml:space="preserve">NUOVA LOGICA (richiesta da Fabrizio: 'questa sezione deve essere sempre per la settimana mancante prioritaria - es. quella in mezzo ad altre 2 prenotazioni o all'inizio o alla fine'): prima si prendeva sempre la prima settimana scoperta in ordine. Vedi PlannerView.tsx priorityIndex.</t>
  </si>
  <si>
    <t xml:space="preserve">TC-156</t>
  </si>
  <si>
    <t xml:space="preserve">Suggerimenti 'Per riempire' filtrati per disponibilita' reale e preferenze del bambino</t>
  </si>
  <si>
    <t xml:space="preserve">Settimana da riempire con attivita' disponibili in quella settimana; bambino con preferenze impostate nel profilo</t>
  </si>
  <si>
    <t xml:space="preserve">Apri il Planner, osserva le card suggerite sotto 'Per riempire la settimana N'</t>
  </si>
  <si>
    <t xml:space="preserve">Compaiono SOLO attivita' con posti liberi reali in quella settimana (activity_weeks.spots_left &gt; 0) e, se un bambino e' selezionato, che rientrano nelle sue preferenze (kid.interests)</t>
  </si>
  <si>
    <t xml:space="preserve">BUG DI TEST TROVATO+CORRETTO (Fabrizio: 'io visualizzerei SOLO i camp che hanno disponibilita' e quelli che hanno le preferenze del bambino'): prima erano semplicemente le 4 attivita' con rating piu' alto, senza alcun filtro. Serviva una nuova funzione dati (getActivityAvailabilityByWeek in lib/data/activities.ts, che legge activity_weeks per settimana, non presente prima) condivisa col filtro Date di Cerca.</t>
  </si>
  <si>
    <t xml:space="preserve">TC-158</t>
  </si>
  <si>
    <t xml:space="preserve">Filtri Data e preferenze bambino pre-applicati arrivando dal Planner</t>
  </si>
  <si>
    <t xml:space="preserve">Arrivo da Home -&gt; Planner -&gt; 'Riempi' (o CTA inline 'Per riempire la settimana N') con un bambino selezionato</t>
  </si>
  <si>
    <t xml:space="preserve">Clicca 'Riempi' su una settimana scoperta, o la scritta 'Per riempire la settimana N'</t>
  </si>
  <si>
    <t xml:space="preserve">Si apre Cerca con il filtro Data gia' impostato sulla settimana richiesta e, se un bambino era selezionato, anche le sue preferenze; un banner mostra 'Stai cercando per la Settimana N' + 'preferenze di [nome]', con 'Rimuovi' che azzera entrambi insieme</t>
  </si>
  <si>
    <t xml:space="preserve">NUOVA FUNZIONALITA' (Fabrizio: 'cliccando sulla scritta... deve esserci la sezione Cerca con i filtri pre-applicati - preferenze bambino, date'). Vedi SearchClient.tsx (weekParam/kidParam) e PlannerView.tsx (link con ?week=&amp;kid=).</t>
  </si>
  <si>
    <t xml:space="preserve">TC-159</t>
  </si>
  <si>
    <t xml:space="preserve">La freccia indietro annulla lo step corrente invece di uscire dal flusso</t>
  </si>
  <si>
    <t xml:space="preserve">Attivita' di test con almeno una settimana selezionabile</t>
  </si>
  <si>
    <t xml:space="preserve">In Prenotazione, avanza allo step 2 o 3, poi clicca la freccia indietro dell'header</t>
  </si>
  <si>
    <t xml:space="preserve">Si torna allo step precedente restando su /booking/[id]; solo dal primo step la freccia esce davvero dal flusso (verso la pagina precedente reale)</t>
  </si>
  <si>
    <t xml:space="preserve">NUOVA FUNZIONALITA' (Fabrizio: 'manca una CTA tipo X per annullare nelle varie fasi di processo che riporti alla scheda precedente'): invece di un pulsante separato, la stessa freccia indietro dell'header ora fa da 'annulla di step' quando step &gt; 1 (BookingClient.tsx handleBack), risolvendo anche il bug del history stack di TC-160.</t>
  </si>
  <si>
    <t xml:space="preserve">TC-160</t>
  </si>
  <si>
    <t xml:space="preserve">La freccia indietro dal dettaglio attivita' non porta piu' alla Prenotazione</t>
  </si>
  <si>
    <t xml:space="preserve">Attivita' di test raggiungibile da Cerca</t>
  </si>
  <si>
    <t xml:space="preserve">Apri Cerca -&gt; apri il dettaglio di un'attivita' -&gt; clicca la freccia indietro</t>
  </si>
  <si>
    <t xml:space="preserve">Si torna a Cerca (la pagina da cui si era arrivati), non a /booking/... 'Prenota Ora'</t>
  </si>
  <si>
    <t xml:space="preserve">BUG DI TEST TROVATO+CORRETTO (Fabrizio: 'la freccia per andare indietro dalla scheda di dettaglio del camp porta alla prenotazione come Prenota Ora'). Causa reale: BookingClient.tsx usava router.push() per il proprio 'indietro' ad ogni step, aggiungendo una voce duplicata '/activity/[id]' nella cronologia subito DOPO '/booking/[id]' — il router.back() del Dettaglio (di per se' corretto) ripescava quella voce duplicata invece della pagina precedente vera. Risolto insieme a TC-159 in BookingClient.tsx#handleBack.</t>
  </si>
  <si>
    <t xml:space="preserve">TC-161</t>
  </si>
  <si>
    <t xml:space="preserve">La card attivita' mostra la foto di copertina reale quando presente</t>
  </si>
  <si>
    <t xml:space="preserve">Attivita' con una cover_image_url impostata dal gestore (es. attivita' 'Test' di Fabrizio)</t>
  </si>
  <si>
    <t xml:space="preserve">Apri Cerca o Home e osserva la card dell'attivita' con copertina caricata</t>
  </si>
  <si>
    <t xml:space="preserve">La card mostra la foto di copertina reale, opportunamente ritagliata, al posto della sola emoji su sfondo a gradiente</t>
  </si>
  <si>
    <t xml:space="preserve">BUG DI TEST TROVATO+CORRETTO (Fabrizio: 'qui dovrei vedere opportunamente ritagliata la foto di sfondo che ho messo nel profilo del camp Test'): ActivityCard.tsx e ActivityCardHorizontal.tsx non rendevano mai activity.coverImageUrl, solo emoji+imgGradient. Ora mostrano la cover come background-image (bg-cover bg-center) quando presente, con lo stesso fallback di prima altrimenti.</t>
  </si>
  <si>
    <t xml:space="preserve">TC-162</t>
  </si>
  <si>
    <t xml:space="preserve">'Contatta il gestore' dal dettaglio invia una richiesta visibile in 'Le mie richieste'</t>
  </si>
  <si>
    <t xml:space="preserve">Attivita' di test raggiungibile, genitore loggato</t>
  </si>
  <si>
    <t xml:space="preserve">Apri il dettaglio dell'attivita' -&gt; 'Contatta il gestore' -&gt; scrivi un messaggio -&gt; Invia</t>
  </si>
  <si>
    <t xml:space="preserve">Conferma 'Richiesta inviata' a schermo; il messaggio compare in /richieste ('Le mie richieste') con stato 'In attesa di risposta'</t>
  </si>
  <si>
    <t xml:space="preserve">NUOVA FUNZIONALITA' (Fabrizio: 'in ogni sezione del camp deve esserci una funzionalita' di Chatta/contatta il gestore... ticketing semplice'): un messaggio, una risposta (non chat multi-turno). Vedi ContactCenterButton.tsx, lib/data/inquiries.ts, app/actions/inquiries.ts, app/(main)/richieste/page.tsx, supabase/schema.sql#activity_inquiries (NUOVA tabella + RLS, da applicare su Supabase prima di andare live).</t>
  </si>
  <si>
    <t xml:space="preserve">TC-163</t>
  </si>
  <si>
    <t xml:space="preserve">Gestore - Le mie richieste</t>
  </si>
  <si>
    <t xml:space="preserve">Il gestore vede e risponde a una richiesta del genitore, che appare in 'Le mie richieste'</t>
  </si>
  <si>
    <t xml:space="preserve">Il genitore ha inviato una richiesta su un'attivita' del centro del gestore</t>
  </si>
  <si>
    <t xml:space="preserve">Login Gestore -&gt; 'Le mie richieste' -&gt; apri la richiesta ricevuta -&gt; scrivi una risposta -&gt; Invia risposta</t>
  </si>
  <si>
    <t xml:space="preserve">La richiesta si sposta da 'Da rispondere' a 'Storico' con stato 'Risposto'; il genitore vede la stessa risposta in /richieste con stato 'Risposta ricevuta'</t>
  </si>
  <si>
    <t xml:space="preserve">Completa il ciclo del ticketing semplice richiesto da Fabrizio (vedi TC-162). Test end-to-end con due context browser separati (genitore + gestore), stesso pattern di TC-152.</t>
  </si>
  <si>
    <t xml:space="preserve">TC-164</t>
  </si>
  <si>
    <t xml:space="preserve">Stato vuoto di 'Le mie richieste' lato gestore</t>
  </si>
  <si>
    <t xml:space="preserve">Nessuna richiesta ricevuta per il centro</t>
  </si>
  <si>
    <t xml:space="preserve">Apri /center/richieste senza richieste ricevute</t>
  </si>
  <si>
    <t xml:space="preserve">Mostra 'Nessuna richiesta in attesa di risposta' invece di una lista vuota senza spiegazione</t>
  </si>
  <si>
    <t xml:space="preserve">Coerente con lo stato vuoto gia' usato in Richieste Gruppo (stesso pattern UI).</t>
  </si>
  <si>
    <t xml:space="preserve">TC-165</t>
  </si>
  <si>
    <t xml:space="preserve">Gestore - Report presenze</t>
  </si>
  <si>
    <t xml:space="preserve">Il Report presenze mostra le tre sezioni (andamento, per attività, ritardatari)</t>
  </si>
  <si>
    <t xml:space="preserve">Account Gestore di test, almeno un giorno di camp già trascorso per avere dati (altrimenti si vede lo stato vuoto)</t>
  </si>
  <si>
    <t xml:space="preserve">Login Gestore -&gt; 'Report presenze'</t>
  </si>
  <si>
    <t xml:space="preserve">Tre sezioni visibili: grafico 'Andamento nel tempo' (presente/in ritardo/assente per giorno), grafico 'Tasso assenza/ritardo per attività', elenco 'Ritardatari abituali' (bambini con almeno 2 giorni in ritardo/assente, con contatto genitore)</t>
  </si>
  <si>
    <t xml:space="preserve">NUOVA FUNZIONALITA' (richiesta da Fabrizio: 'vorrei un report grafico anche sul report delle presenze'). Riusa gli stessi dati già letti da /center/attendance (getParticipantsForCenter + getAttendanceForWeek) invece di nuove query: vedi lib/data/attendance-report.ts. I giorni futuri sono esclusi dal calcolo (non ancora accaduti); un giorno senza alcuna scrittura viene conteggiato come 'assente' di default, coerente col Registro presenze.</t>
  </si>
  <si>
    <t xml:space="preserve">TC-166</t>
  </si>
  <si>
    <t xml:space="preserve">La voce 'Report presenze' è nel menu Gestione con link funzionante</t>
  </si>
  <si>
    <t xml:space="preserve">Account Gestore di test</t>
  </si>
  <si>
    <t xml:space="preserve">Login Gestore -&gt; apri la sidebar -&gt; clicca 'Report presenze' nella sezione Gestione</t>
  </si>
  <si>
    <t xml:space="preserve">Si apre /center/report-presenze con il titolo 'Report presenze' visibile</t>
  </si>
  <si>
    <t xml:space="preserve">Voce di navigazione aggiunta in app/center/layout.tsx, subito dopo 'Registro presenze'.</t>
  </si>
  <si>
    <t xml:space="preserve">TC-167</t>
  </si>
  <si>
    <t xml:space="preserve">La card di check-in mostra la foto/copertina e la settimana in corso</t>
  </si>
  <si>
    <t xml:space="preserve">Prenotazione con settimana che copre oggi (vedi tests/cleanup-test-data.mjs)</t>
  </si>
  <si>
    <t xml:space="preserve">Login genitore -&gt; apri Home nel giorno coperto dalla settimana di camp</t>
  </si>
  <si>
    <t xml:space="preserve">La card di check-in mostra un thumbnail (foto di copertina reale o gradiente+emoji) cliccabile verso il dettaglio attivita', con l'etichetta 'Questa settimana · Settimana N' sopra alla domanda '[bambino] e' arrivato/a a [attivita']?'</t>
  </si>
  <si>
    <t xml:space="preserve">NUOVA FUNZIONALITA' (Fabrizio: 'forse nella home bisogna evidenziare il camp della settimana in corso in maniera piu' evidente'). Il testo della domanda e' rimasto invariato di proposito per non rompere le regex gia' usate da TC-151/TC-152. Vedi CheckinPrompt.tsx e lib/data/checkin.ts.</t>
  </si>
  <si>
    <t xml:space="preserve">TC-168</t>
  </si>
  <si>
    <t xml:space="preserve">Le settimane scoperte/escluse nel Planner usano la stessa naming convention delle settimane coperte</t>
  </si>
  <si>
    <t xml:space="preserve">Bambino con almeno una settimana scoperta o esclusa ('Non mi serve')</t>
  </si>
  <si>
    <t xml:space="preserve">Apri Home -&gt; vista Planner -&gt; osserva una riga scoperta ed una esclusa</t>
  </si>
  <si>
    <t xml:space="preserve">Ogni riga mostra 'Settimana N · [intervallo date]' come riga principale (stesso formato usato per le settimane coperte), con lo stato ('scoperta' / 'non ti serve') come riga secondaria sotto</t>
  </si>
  <si>
    <t xml:space="preserve">NUOVA FUNZIONALITA' (Fabrizio: 'le settimane ripristinate o escluse devono avere la stessa naming convention Settimana X - Mese giornoinizio-giornofine'). Vedi PlannerView.tsx. Il testo di stato resta minuscolo per non rompere la regex gia' usata da TC-103.</t>
  </si>
  <si>
    <t xml:space="preserve">TC-169</t>
  </si>
  <si>
    <t xml:space="preserve">Filtro 'Tipo attivita'' selezionabile a mano e azzerabile con la X</t>
  </si>
  <si>
    <t xml:space="preserve">Apri Cerca -&gt; clicca il chip 'Tipo attivita'' -&gt; seleziona una categoria</t>
  </si>
  <si>
    <t xml:space="preserve">Il chip mostra 'Tipo attivita' (1)', la lista si filtra di conseguenza, e la X sul chip azzera solo questo filtro senza toccare gli altri</t>
  </si>
  <si>
    <t xml:space="preserve">NUOVA FUNZIONALITA' (Fabrizio: filtro 'tag' rinominato 'Tipo attivita'', gia' pre-filtrato con le preferenze del bambino ma ora esplicito e modificabile). Prima le preferenze del bambino filtravano la lista in modo invisibile (activeKidFilter); ora e' un filtro vero come gli altri, solo pre-selezionato quando si arriva con un bambino. Vedi SearchClient.tsx.</t>
  </si>
  <si>
    <t xml:space="preserve">TC-170</t>
  </si>
  <si>
    <t xml:space="preserve">La vista Mappa usa uno stile 'light' invece dello standard OSM</t>
  </si>
  <si>
    <t xml:space="preserve">Apri Cerca -&gt; passa alla vista 'Mappa'</t>
  </si>
  <si>
    <t xml:space="preserve">Le tile della mappa sono in stile 'light' (CartoDB Positron), non lo standard OpenStreetMap colorato</t>
  </si>
  <si>
    <t xml:space="preserve">NUOVA FUNZIONALITA' (Fabrizio: 'le mappe si possono mettere in versione light tipo maps standard per alleggerire la vista?'). Vedi ActivityMap.tsx (TileLayer CartoDB Positron al posto delle tile OSM standard, nessuna API key richiesta).</t>
  </si>
  <si>
    <t xml:space="preserve">TC-171</t>
  </si>
  <si>
    <t xml:space="preserve">'Modifica ritaglio' riapre il crop sulla foto profilo gia' caricata</t>
  </si>
  <si>
    <t xml:space="preserve">Genitore con una foto profilo gia' caricata (vedi TC-113)</t>
  </si>
  <si>
    <t xml:space="preserve">Apri Profilo -&gt; menu foto -&gt; 'Modifica ritaglio'</t>
  </si>
  <si>
    <t xml:space="preserve">Si riapre il modal di ritaglio partendo dalla foto gia' caricata (non richiede di sceglierne una nuova), con zoom e centratura disponibili come nel primo upload</t>
  </si>
  <si>
    <t xml:space="preserve">NUOVA FUNZIONALITA' (Fabrizio: 'nelle foto profilo deve essere possibile modificare anche la foto gia' caricata..zoom e centratura principalmente'). ImageCropModal.tsx ora accetta anche un URL remoto oltre a un File nuovo (crossOrigin="anonymous" per evitare l'errore 'tainted canvas' di canvas.toBlob() su immagini gia' su Supabase Storage). Vedi AvatarUploadButton.tsx.</t>
  </si>
  <si>
    <t xml:space="preserve">TC-172</t>
  </si>
  <si>
    <t xml:space="preserve">'Le mie prenotazioni' mostra l'elenco reale o lo stato vuoto</t>
  </si>
  <si>
    <t xml:space="preserve">Nessuna (gestisce anche il caso senza prenotazioni)</t>
  </si>
  <si>
    <t xml:space="preserve">Apri Profilo -&gt; 'Le mie prenotazioni'</t>
  </si>
  <si>
    <t xml:space="preserve">Si apre /prenotazioni con l'elenco reale delle prenotazioni (stato, settimane, bambini, prezzo con eventuale sconto barrato) oppure, se non ce ne sono, un messaggio di stato vuoto invece di una lista bianca</t>
  </si>
  <si>
    <t xml:space="preserve">NUOVA FUNZIONALITA' (Fabrizio: 'dobbiamo gia' attivarci per le mie prenotazioni... penso siano necessarie nella v1'). Prima era un MenuItem 'comingSoon' senza alcuna pagina dietro; ora e' una lista reale, sola lettura per la v1 (niente ancora cancellazione/modifica). Vedi lib/data/my-bookings.ts e app/(main)/prenotazioni/page.tsx.</t>
  </si>
  <si>
    <t xml:space="preserve">TC-173</t>
  </si>
  <si>
    <t xml:space="preserve">'Preferiti' nel profilo elenca le attivita' salvate</t>
  </si>
  <si>
    <t xml:space="preserve">Almeno un'attivita' salvata nei Preferiti (vedi TC-026)</t>
  </si>
  <si>
    <t xml:space="preserve">Salva un'attivita' dal cuore nel dettaglio -&gt; apri Profilo -&gt; 'Preferiti'</t>
  </si>
  <si>
    <t xml:space="preserve">L'attivita' salvata compare nella lista 'Preferiti'; se nessuna attivita' e' salvata, mostra lo stato vuoto invece di una lista bianca</t>
  </si>
  <si>
    <t xml:space="preserve">NUOVA FUNZIONALITA' (Fabrizio: 'dobbiamo gia' attivarci per... preferiti penso siano necessarie nella v1'). Il cuore nel dettaglio ora salva/rimuove davvero (vedi TC-026, tabella supabase/schema.sql#favorites NON ancora applicata sul deploy reale). Vedi lib/data/favorites.ts, app/actions/favorites.ts, app/(main)/preferiti/page.tsx.</t>
  </si>
  <si>
    <t xml:space="preserve">TC-174</t>
  </si>
  <si>
    <t xml:space="preserve">Lingua e Tema mostrano il badge 'Non ancora attivo'; le Notifiche sono dentro Preferenze</t>
  </si>
  <si>
    <t xml:space="preserve">Apri Profilo -&gt; Preferenze</t>
  </si>
  <si>
    <t xml:space="preserve">Le sezioni Lingua e Tema mostrano un badge 'Non ancora attivo' (i controlli restano funzionanti e salvano su DB, ma e' segnalato che non producono ancora un effetto reale in app); la sezione Notifiche (email/push/SMS) e' ora nella stessa pagina Preferenze invece che in una pagina separata</t>
  </si>
  <si>
    <t xml:space="preserve">NUOVA FUNZIONALITA' (Fabrizio: 'le preferenze lingua, tema non fanno alcuna modifica' + 'le notifiche le metterei dentro le preferenze, non pensi?'). Vedi ProfilePreferencesSection.tsx. Le vecchie pagine /profile/notifiche e /center/account/notifiche restano come redirect verso Preferenze (non eliminate, per non rompere vecchi link/segnalibri).</t>
  </si>
  <si>
    <t xml:space="preserve">TC-175</t>
  </si>
  <si>
    <t xml:space="preserve">Admin - Nuovi pannelli</t>
  </si>
  <si>
    <t xml:space="preserve">'Richieste (SLA)' mostra l'aggregato di tutti i centri</t>
  </si>
  <si>
    <t xml:space="preserve">Account Admin piattaforma di test</t>
  </si>
  <si>
    <t xml:space="preserve">Login Admin -&gt; 'Richieste (SLA)'</t>
  </si>
  <si>
    <t xml:space="preserve">Tabella con un centro per riga: totale richieste, aperte, tempo medio di risposta, eta' della richiesta aperta piu' vecchia; stato vuoto se non ci sono ancora richieste</t>
  </si>
  <si>
    <t xml:space="preserve">NUOVA FUNZIONALITA' (Fabrizio ha chiesto cosa manca lato Admin tra le funzionalita' aggiunte di recente e ha scelto tutte e 3 le proposte). Serve a controllare la qualita' del servizio dei centri (chi risponde poco/lentamente ai genitori). Vedi lib/data/admin-inquiries.ts.</t>
  </si>
  <si>
    <t xml:space="preserve">TC-176</t>
  </si>
  <si>
    <t xml:space="preserve">'Presenze' confronta il tasso di assenza/ritardo tra centri</t>
  </si>
  <si>
    <t xml:space="preserve">Login Admin -&gt; 'Presenze'</t>
  </si>
  <si>
    <t xml:space="preserve">Tabella con un centro per riga: giorni registrati, assenze, ritardi, tasso assenza/ritardo, scostamento dalla media piattaforma (evidenziato in rosso se molto sopra media); stato vuoto se non ci sono ancora presenze registrate</t>
  </si>
  <si>
    <t xml:space="preserve">NUOVA FUNZIONALITA' (Fabrizio ha chiesto cosa manca lato Admin tra le funzionalita' aggiunte di recente e ha scelto tutte e 3 le proposte). Non e' detto un tasso alto sia colpa del centro (puo' essere una registrazione poco accurata), ma e' un buon punto di partenza. Vedi lib/data/admin-attendance.ts.</t>
  </si>
  <si>
    <t xml:space="preserve">TC-177</t>
  </si>
  <si>
    <t xml:space="preserve">'Preferiti' elenca le attivita' con interesse alto e conversione bassa</t>
  </si>
  <si>
    <t xml:space="preserve">Login Admin -&gt; 'Preferiti'</t>
  </si>
  <si>
    <t xml:space="preserve">Tabella con attivita', centro, numero preferiti, numero prenotazioni ed etichetta 'Mai prenotata'/'Interesse alto' quando pertinente; stato vuoto se non ci sono ancora preferiti salvati</t>
  </si>
  <si>
    <t xml:space="preserve">NUOVA FUNZIONALITA' (Fabrizio ha chiesto cosa manca lato Admin tra le funzionalita' aggiunte di recente e ha scelto tutte e 3 le proposte). Utile per contattare i centri o pianificare promozioni mirate sulle attivita' molto salvate ma poco prenotate. Vedi lib/data/admin-favorites.ts.</t>
  </si>
  <si>
    <t xml:space="preserve">TC-178</t>
  </si>
  <si>
    <t xml:space="preserve">Pallino 'non letta' + selezione multipla + segna come letta/da leggere (genitore e gestore)</t>
  </si>
  <si>
    <t xml:space="preserve">Genitore invia una richiesta -&gt; gestore la vede con il pallino rosso -&gt; selezionala -&gt; 'Segna come lette' -&gt; gestore risponde -&gt; genitore vede la risposta col pallino rosso -&gt; selezionala -&gt; 'Segna come lette'</t>
  </si>
  <si>
    <t xml:space="preserve">Il pallino rosso indica una richiesta/risposta non ancora vista dal lato corrente; sparisce dopo 'Segna come lette' e riappare con 'Segna come da leggere'; 'Seleziona tutte' spunta tutte le righe in una volta</t>
  </si>
  <si>
    <t xml:space="preserve">NUOVA FUNZIONALITA' (Fabrizio: 'ci vuole la possibilita' di selezionarle tutte e segnare come gia' lette o da leggere' + 'deve essere notificato da entrambe le parti l'arrivo di un messaggio..con un pallino'). Vedi supabase/schema.sql#activity_inquiries (colonne read_by_parent/read_by_center), app/actions/inquiries.ts#markInquiriesReadAction, badge in app/center/layout.tsx e app/(main)/profile/page.tsx.</t>
  </si>
  <si>
    <t xml:space="preserve">TC-179</t>
  </si>
  <si>
    <t xml:space="preserve">La card di check-in si riduce a riepilogo dopo la risposta e si riapre per correggerla</t>
  </si>
  <si>
    <t xml:space="preserve">Prenotazione con settimana che copre oggi</t>
  </si>
  <si>
    <t xml:space="preserve">Rispondi al check-in dalla Home (es. 'Si') -&gt; osserva la card -&gt; tocca il riepilogo -&gt; cambia risposta</t>
  </si>
  <si>
    <t xml:space="preserve">Dopo la risposta la card grande si riduce a un riepilogo compatto (icona esito + nome bambino/attivita); toccando il riepilogo si riapre per correggere un errore di selezione, poi si richiude di nuovo con il nuovo esito</t>
  </si>
  <si>
    <t xml:space="preserve">NUOVA FUNZIONALITA' (Fabrizio: 'dopo il click pero' dovrebbero chiudersi in una finestra piccola con le info di massima e sparire...deve rimanere gestibile perche' magari uno sbaglia a selelzionare...pero' si deve ridurre'). Vedi components/CheckinPrompt.tsx (stato 'expanded' per card).</t>
  </si>
  <si>
    <t xml:space="preserve">TC-180</t>
  </si>
  <si>
    <t xml:space="preserve">La riga di una settimana coperta mostra una chevron che indica che e' cliccabile</t>
  </si>
  <si>
    <t xml:space="preserve">Almeno una settimana coperta nel Planner</t>
  </si>
  <si>
    <t xml:space="preserve">Home -&gt; Planner -&gt; osserva una riga di settimana coperta</t>
  </si>
  <si>
    <t xml:space="preserve">La riga mostra una chevron (&gt;) accanto al nome attivita' e reagisce al passaggio del mouse/tocco (hover/active), segnalando chiaramente che porta alla scheda del campus</t>
  </si>
  <si>
    <t xml:space="preserve">NUOVA FUNZIONALITA' (Fabrizio: 'nella selelzione nel pllanner delle settimane gia' prenotate manca un po' la UX che fa percepire il click che porta alla pagina di dettaglio del camp'). Vedi PlannerView.tsx (chevron + hover/active sulla riga).</t>
  </si>
  <si>
    <t xml:space="preserve">TC-181</t>
  </si>
  <si>
    <t xml:space="preserve">Vista 'Tutti' del Planner segnala quando i fratelli hanno campi diversi la stessa settimana</t>
  </si>
  <si>
    <t xml:space="preserve">Almeno 2 bambini, iscritti ad attivita' diverse nella stessa settimana di camp (dati di test da arricchire)</t>
  </si>
  <si>
    <t xml:space="preserve">Home -&gt; Planner -&gt; vista 'Tutti' -&gt; osserva una settimana in cui i bambini sono iscritti a campus diversi</t>
  </si>
  <si>
    <t xml:space="preserve">Sotto la riga della settimana compare una nota 'Campi diversi questa settimana: [Bambino] -&gt; [Attivita], [Bambino2] -&gt; [Attivita2]' invece di mostrare silenziosamente solo la prima attivita' trovata</t>
  </si>
  <si>
    <t xml:space="preserve">Risposta alla domanda di Fabrizio: 'se due bambini della stessa famiglia nella stessa settimana hanno 2 campus diversi cosa succede?'. Il dato era gia' corretto (coveredKids per bambino) ma la vista aggregata lo nascondeva. Vedi PlannerView.tsx#hasDifferentCamps. Test implementato come fixme: richiede dati di test piu' ricchi (secondo bambino con iscrizione diversa), stessa lacuna gia' segnalata in TC-107.</t>
  </si>
  <si>
    <t xml:space="preserve">TC-182</t>
  </si>
  <si>
    <t xml:space="preserve">'Le mie prenotazioni' raggruppa per settimana/bambino/campus, sempre in ordine cronologico</t>
  </si>
  <si>
    <t xml:space="preserve">Almeno una prenotazione</t>
  </si>
  <si>
    <t xml:space="preserve">Apri /prenotazioni -&gt; usa i pulsanti 'Raggruppa per: Settimana/Bambino/Campus'</t>
  </si>
  <si>
    <t xml:space="preserve">La lista mostra intestazioni di gruppo (mese/nome bambino/nome campus) secondo il criterio scelto; sia le prenotazioni dentro ogni gruppo sia l'ordine dei gruppi stessi seguono sempre la cronologia (mai l'alfabeto), senza errori</t>
  </si>
  <si>
    <t xml:space="preserve">AGGIORNATO (Fabrizio, dopo il primo giro: 'le vorrei raggruppate per filtro..ed ordinate sempre in ordine cronologico..più ordine'). Prima produceva solo una lista piatta riordinata; ora il criterio scelto crea vere intestazioni di gruppo. Vedi app/(main)/prenotazioni/PrenotazioniClient.tsx.</t>
  </si>
  <si>
    <t xml:space="preserve">TC-183</t>
  </si>
  <si>
    <t xml:space="preserve">Il profilo personale del gestore mostra 'Ruolo in azienda' invece di genere/data di nascita</t>
  </si>
  <si>
    <t xml:space="preserve">Login Gestore -&gt; 'Il mio account' -&gt; 'Modifica' -&gt; osserva i campi -&gt; scegli un ruolo in azienda -&gt; Salva -&gt; ricarica</t>
  </si>
  <si>
    <t xml:space="preserve">Non sono piu' presenti i campi Genere e Data di nascita (rilevanti solo per il genitore); e' presente 'Ruolo in azienda' (Titolare/Responsabile struttura/Amministrazione/Staff) che si salva e persiste dopo il reload; il profilo genitore resta invariato (continua a mostrare genere/data di nascita, non il ruolo in azienda)</t>
  </si>
  <si>
    <t xml:space="preserve">NUOVA FUNZIONALITA' (Fabrizio: 'nella scheda profilo gestore forse non serve avere genere e data di nascita ma altre info piu' legate al business'). Richiede la colonna profiles.business_role (vedi supabase/schema.sql, script ALTER da applicare su Supabase). Vedi components/ProfileHeaderClient.tsx (showPersonalDetails/showBusinessRole), lib/data/profile.ts, app/actions/profile.ts.</t>
  </si>
  <si>
    <t xml:space="preserve">TC-184</t>
  </si>
  <si>
    <t xml:space="preserve">'Le mie richieste' mostra un'intestazione di mese sopra le richieste (gestore e genitore)</t>
  </si>
  <si>
    <t xml:space="preserve">Almeno una richiesta esistente</t>
  </si>
  <si>
    <t xml:space="preserve">Login Gestore -&gt; 'Le mie richieste' -&gt; osserva le intestazioni sopra le sezioni 'Da rispondere'/'Storico'; login Genitore -&gt; 'Le mie richieste' -&gt; osserva le intestazioni sopra la lista</t>
  </si>
  <si>
    <t xml:space="preserve">Le richieste sono raggruppate per mese di creazione (es. 'LUGLIO 2026') con lo stesso stile del raggruppamento mensile gia' introdotto nel Registro presenze, sia lato gestore sia lato genitore</t>
  </si>
  <si>
    <t xml:space="preserve">NUOVA FUNZIONALITA' (Fabrizio: 'fai tutto..e lato richieste vanno anche quelle raggruppate con la stessa logia del registro'). Vedi app/(main)/richieste/RichiesteGenitoreClient.tsx e app/center/richieste/RichiesteClient.tsx (monthBuckets/useMonthBuckets), stesso pattern di AttendanceClient.tsx.</t>
  </si>
  <si>
    <t xml:space="preserve">TC-185</t>
  </si>
  <si>
    <t xml:space="preserve">'Le mie prenotazioni' ha un solo controllo per il bambino, non due</t>
  </si>
  <si>
    <t xml:space="preserve">Apri /prenotazioni -&gt; osserva i controlli sopra la lista</t>
  </si>
  <si>
    <t xml:space="preserve">Esiste un solo modo per organizzare la lista per bambino ('Raggruppa per: Bambino'); non c'e' piu' una riga di chip filtro separata ('Tutti i bambini/Nome1/Nome2') che duplicava lo stesso concetto</t>
  </si>
  <si>
    <t xml:space="preserve">BUG DI UX CORRETTO (Fabrizio: 'il filtro per bambino va bene uno solo non due volte' - chiarito via domanda diretta: troppi controlli bambino sulla stessa pagina). Rimossa la riga di chip filtro ridondante in PrenotazioniClient.tsx, resta solo il pulsante di raggruppamento.</t>
  </si>
  <si>
    <t xml:space="preserve">TC-186</t>
  </si>
  <si>
    <t xml:space="preserve">La settimana di oggi è selezionata di default e ha il badge 'Oggi'</t>
  </si>
  <si>
    <t xml:space="preserve">Login Gestore -&gt; Registro presenze</t>
  </si>
  <si>
    <t xml:space="preserve">La settimana/attività che copre la data odierna è già selezionata all'apertura della pagina (non serve cliccarla) ed è marcata con un badge 'Oggi' nella sidebar di sinistra</t>
  </si>
  <si>
    <t xml:space="preserve">BUG TROVATO+CORRETTO (Fabrizio: 'faccio il check-in lato genitori ma non si aggiorna lato gestore'). Causa reale: la settimana selezionata di default era la prima per nome+data (quasi mai quella di oggi), e l'etichetta 'Settimana N' usava il testo grezzo di activity_weeks invece del calcolo canonico (stesso bug già corretto in checkin.ts) - il gestore finiva a guardare la settimana sbagliata. Vedi lib/data/attendance.ts (isCurrentWeek, weekLabel canonico) e AttendanceClient.tsx.</t>
  </si>
  <si>
    <t xml:space="preserve">TC-187</t>
  </si>
  <si>
    <t xml:space="preserve">'Registro presenze' nel menu mostra un badge per i check-in del genitore da confermare</t>
  </si>
  <si>
    <t xml:space="preserve">Almeno un check-in fatto dal genitore</t>
  </si>
  <si>
    <t xml:space="preserve">Genitore fa un check-in dalla Home -&gt; Gestore apre il pannello (qualsiasi pagina) e osserva la voce di menu 'Registro presenze'</t>
  </si>
  <si>
    <t xml:space="preserve">La voce 'Registro presenze' mostra un pallino/badge numerico rosso col conteggio dei check-in fatti dal genitore non ancora confermati/corretti dal gestore, stesso stile del badge già esistente su 'Le mie richieste'</t>
  </si>
  <si>
    <t xml:space="preserve">NUOVA FUNZIONALITA' (Fabrizio: 'ci vuole il badge delle notifiche come sulle richieste su tutte le sezioni che prevedono una notifica da una parte all'altra'). Riusa la colonna esistente checked_in_by (nessuna nuova colonna DB): un record resta 'da confermare' finché il gestore non tocca esplicitamente lo stato (setAttendanceAction lo rimette a 'center'). Vedi lib/data/attendance.ts#getUnconfirmedParentCheckinsCount, app/center/layout.tsx.</t>
  </si>
  <si>
    <t xml:space="preserve">TC-188</t>
  </si>
  <si>
    <t xml:space="preserve">Genitori - Le mie prenotazioni</t>
  </si>
  <si>
    <t xml:space="preserve">Dashboard 'Le mie prenotazioni' con Vista Elenco/Copertura/Calendario, copertura e statistiche</t>
  </si>
  <si>
    <t xml:space="preserve">Nessuna (gestisce anche account senza prenotazioni)</t>
  </si>
  <si>
    <t xml:space="preserve">Login Genitore -&gt; Le mie prenotazioni</t>
  </si>
  <si>
    <t xml:space="preserve">In cima è visibile la striscia 'Copertura dell'estate' (settimane organizzate/da organizzare) e 3 card statistiche (Attività prenotate, Speso finora, Prossimo impegno). Sotto, un selettore Vista con Elenco/Copertura/Calendario (Calendario mostra badge 'Presto' e un placeholder, le altre due mostrano contenuto reale)</t>
  </si>
  <si>
    <t xml:space="preserve">REDESIGN COMPLETO (richiesta di Fabrizio): 'Ridisegna completamente la schermata Le mie prenotazioni trasformandola in una dashboard di pianificazione familiare, non in un semplice elenco'. Vista/Raggruppamento/Ordinamento tenuti volutamente separati come richiesto. Copertura riusa lib/data/planner.ts (stessa logica già corretta del Planner Home). Vista Calendario è un placeholder 'Prossimamente' per non abbassare la qualità delle altre due viste in questo giro. Vedi PrenotazioniClient.tsx.</t>
  </si>
  <si>
    <t xml:space="preserve">TC-189</t>
  </si>
  <si>
    <t xml:space="preserve">'Già prenotato per [bambino]' in Home apre Le mie prenotazioni filtrata su quel bambino</t>
  </si>
  <si>
    <t xml:space="preserve">Almeno un bambino con una prenotazione</t>
  </si>
  <si>
    <t xml:space="preserve">Login Genitore -&gt; Home -&gt; vista 'Per bambino' -&gt; click su una riga sotto 'Già prenotato per [nome]'</t>
  </si>
  <si>
    <t xml:space="preserve">Si apre /prenotazioni?kid=[id bambino], con il filtro rapido bambino già impostato su quel figlio (non più la scheda del campus)</t>
  </si>
  <si>
    <t xml:space="preserve">BUG DI UX CORRETTO (Fabrizio: 'i record sotto Già prenotato per Franca devono linkare a le mie prenotazioni con i filtri per il bambino selezionato, e non alla scheda del campus. Così a quel punto posso gestire (annullare, modificare ecc.)'). Vedi components/PerBambinoView.tsx.</t>
  </si>
  <si>
    <t xml:space="preserve">TC-190</t>
  </si>
  <si>
    <t xml:space="preserve">Azioni rapide (Dettagli/Modifica/Annulla/Contatta) rispettano la finestra di preavviso del centro</t>
  </si>
  <si>
    <t xml:space="preserve">Almeno una prenotazione confermata</t>
  </si>
  <si>
    <t xml:space="preserve">Login Genitore -&gt; Le mie prenotazioni -&gt; osserva le azioni rapide su una card</t>
  </si>
  <si>
    <t xml:space="preserve">'Dettagli' e 'Contatta il gestore' sempre visibili. Se entro la finestra di preavviso del centro (default 3 giorni, configurabile): 'Modifica' e 'Annulla' visibili e funzionanti. Se fuori dalla finestra: nota 'Fuori dai N giorni di preavviso - contatta il centro per modifiche' al posto dei due pulsanti</t>
  </si>
  <si>
    <t xml:space="preserve">Risposta alla domanda di Fabrizio: 'il processo di eventuale annullamento della prenotazione: entro quanto si può fare? Può essere una variabile gestibile da ciascun centro estivo?' - SI: centers.cancellation_window_days (default 3), configurabile dal Gestore in 'Il mio centro' (vedi TC-192). Nessuna nuova policy RLS necessaria: il genitore ha già CRUD completo sulle proprie prenotazioni. Vedi lib/data/my-bookings.ts (canCancelOrModify) e app/actions/bookings.ts.</t>
  </si>
  <si>
    <t xml:space="preserve">TC-191</t>
  </si>
  <si>
    <t xml:space="preserve">Pagina 'Modifica prenotazione' permette di cambiare le settimane e ricalcola il totale</t>
  </si>
  <si>
    <t xml:space="preserve">Prenotazione modificabile (entro la finestra di preavviso)</t>
  </si>
  <si>
    <t xml:space="preserve">Login Genitore -&gt; Le mie prenotazioni -&gt; 'Modifica' su una prenotazione -&gt; cambia le settimane selezionate -&gt; Salva modifiche</t>
  </si>
  <si>
    <t xml:space="preserve">La pagina mostra la griglia delle settimane con quelle attuali già selezionate, un'anteprima 'Nuovo totale stimato' che si aggiorna in tempo reale, e al salvataggio booking_weeks viene aggiornato e il totale ricalcolato con la stessa formula della prenotazione originale (sconto multi-settimana + sconto famiglia)</t>
  </si>
  <si>
    <t xml:space="preserve">NUOVA FUNZIONALITA' richiesta esplicitamente da Fabrizio: 'Possiamo aggiungere - SOLO PER TESTARE - la possibilità di modificare una prenotazione così posso verificare cosa succede lato gestore?' - implementata come funzionalità reale (non un placeholder finto), con il limite noto che lo sconto invito eventuale non viene riapplicato in fase di modifica (si applica una sola volta alla creazione). Vedi app/prenotazioni/[id]/modifica/ModificaPrenotazioneClient.tsx e app/actions/bookings.ts#updateBookingWeeksAction.</t>
  </si>
  <si>
    <t xml:space="preserve">TC-192</t>
  </si>
  <si>
    <t xml:space="preserve">Gestore - Il mio centro</t>
  </si>
  <si>
    <t xml:space="preserve">Il centro può configurare i giorni di preavviso per annullo/modifica prenotazione</t>
  </si>
  <si>
    <t xml:space="preserve">Login Gestore -&gt; Il mio centro -&gt; sezione 'Cancellazioni e modifiche' -&gt; modifica 'Giorni di preavviso richiesti' -&gt; Salva</t>
  </si>
  <si>
    <t xml:space="preserve">Il valore viene salvato su centers.cancellation_window_days e si applica subito lato genitore (Le mie prenotazioni) per decidere se Modifica/Annulla sono disponibili in autonomia oppure serve contattare il centro</t>
  </si>
  <si>
    <t xml:space="preserve">Risposta diretta alla domanda di Fabrizio sulla policy di cancellazione (vedi anche TC-190). Default 3 giorni se il gestore non personalizza nulla. Vedi app/center/profile/CenterProfileClient.tsx, app/actions/center.ts, supabase/schema.sql (centers.cancellation_window_days).</t>
  </si>
  <si>
    <t xml:space="preserve">TC-N01</t>
  </si>
  <si>
    <t xml:space="preserve">NEXTGEN - Setup</t>
  </si>
  <si>
    <t xml:space="preserve">/nextgen raggiungibile da un genitore autenticato</t>
  </si>
  <si>
    <t xml:space="preserve">Account genitore di test</t>
  </si>
  <si>
    <t xml:space="preserve">Login Genitore -&gt; vai su /nextgen</t>
  </si>
  <si>
    <t xml:space="preserve">La pagina si apre, mostra il badge 'NextGen' e i dati del genitore (bambini) letti tramite lo stesso layer dati di LEGACY</t>
  </si>
  <si>
    <t xml:space="preserve">SPRINT 0 (avvio V2 NEXTGEN, richiesta di Fabrizio: 'creare una Versione 2 parallela del frontend, mantenendo completamente intatta la Versione 1'). Nuovo namespace /nextgen/..., stesso backend/DB/auth/servizi di LEGACY (app/(main), app/center, app/admin — invariati). Vedi app/nextgen/layout.tsx, app/nextgen/page.tsx.</t>
  </si>
  <si>
    <t xml:space="preserve">TC-N02</t>
  </si>
  <si>
    <t xml:space="preserve">/nextgen/center raggiungibile da un gestore</t>
  </si>
  <si>
    <t xml:space="preserve">Account gestore di test collegato a un centro</t>
  </si>
  <si>
    <t xml:space="preserve">Login Gestore -&gt; vai su /nextgen/center</t>
  </si>
  <si>
    <t xml:space="preserve">La pagina si apre, mostra il badge 'NextGen' e il nome del centro collegato tramite lib/data/center-admin.ts (stesso layer di LEGACY)</t>
  </si>
  <si>
    <t xml:space="preserve">SPRINT 0. Vedi app/nextgen/center/layout.tsx, app/nextgen/center/page.tsx.</t>
  </si>
  <si>
    <t xml:space="preserve">TC-N03</t>
  </si>
  <si>
    <t xml:space="preserve">/nextgen/admin raggiungibile da un platform_admin</t>
  </si>
  <si>
    <t xml:space="preserve">Account platform_admin di test</t>
  </si>
  <si>
    <t xml:space="preserve">Login Admin -&gt; vai su /nextgen/admin</t>
  </si>
  <si>
    <t xml:space="preserve">La pagina si apre e mostra il badge 'NextGen'</t>
  </si>
  <si>
    <t xml:space="preserve">SPRINT 0. Vedi app/nextgen/admin/layout.tsx, app/nextgen/admin/page.tsx.</t>
  </si>
  <si>
    <t xml:space="preserve">TC-N04</t>
  </si>
  <si>
    <t xml:space="preserve">Un genitore non può accedere a /nextgen/center</t>
  </si>
  <si>
    <t xml:space="preserve">Account genitore di test (ruolo parent)</t>
  </si>
  <si>
    <t xml:space="preserve">Login Genitore -&gt; vai su /nextgen/center</t>
  </si>
  <si>
    <t xml:space="preserve">Redirect automatico a /nextgen, nessun contenuto Gestore mostrato</t>
  </si>
  <si>
    <t xml:space="preserve">SPRINT 0 - stesso schema di guard-per-ruolo di LEGACY (app/center/layout.tsx), replicato nel nuovo namespace.</t>
  </si>
  <si>
    <t xml:space="preserve">TC-N05</t>
  </si>
  <si>
    <t xml:space="preserve">Un genitore non può accedere a /nextgen/admin</t>
  </si>
  <si>
    <t xml:space="preserve">Login Genitore -&gt; vai su /nextgen/admin</t>
  </si>
  <si>
    <t xml:space="preserve">Redirect automatico a /nextgen, nessun contenuto Admin mostrato</t>
  </si>
  <si>
    <t xml:space="preserve">SPRINT 0.</t>
  </si>
  <si>
    <t xml:space="preserve">TC-N06</t>
  </si>
  <si>
    <t xml:space="preserve">Un utente non autenticato viene rediretto al login da /nextgen</t>
  </si>
  <si>
    <t xml:space="preserve">Nessuna sessione attiva</t>
  </si>
  <si>
    <t xml:space="preserve">Senza login, vai direttamente su /nextgen</t>
  </si>
  <si>
    <t xml:space="preserve">Redirect a /auth/login?next=/nextgen (stesso comportamento di LEGACY)</t>
  </si>
  <si>
    <t xml:space="preserve">TC-N07</t>
  </si>
  <si>
    <t xml:space="preserve">NEXTGEN - Dashboard Genitore</t>
  </si>
  <si>
    <t xml:space="preserve">La copertura dell'estate è il primo contenuto mostrato in home</t>
  </si>
  <si>
    <t xml:space="preserve">Prima di tutto (sopra prossimi impegni e statistiche) è visibile una card con la copertura delle settimane (organizzato/parzialmente/scoperto) e un messaggio di sintesi</t>
  </si>
  <si>
    <t xml:space="preserve">SPRINT 1 (redesign Dashboard Genitore NEXTGEN, richiesta di Fabrizio: la home deve rispondere a 'la mia famiglia è organizzata per le prossime settimane?' invece di 'quali prenotazioni ho?'). Riusa lib/data/planner.ts (stessa logica del Planner LEGACY). Vedi app/nextgen/page.tsx, app/nextgen/HomeDashboardClient.tsx.</t>
  </si>
  <si>
    <t xml:space="preserve">TC-N08</t>
  </si>
  <si>
    <t xml:space="preserve">L'elenco completo prenotazioni è secondario, collassato di default</t>
  </si>
  <si>
    <t xml:space="preserve">Login Genitore -&gt; /nextgen -&gt; scorri fino a 'Tutte le prenotazioni' -&gt; espandi</t>
  </si>
  <si>
    <t xml:space="preserve">Di default i controlli Raggruppa/Ordina non sono visibili (elenco collassato) - una volta espanso, appaiono i due controlli separati (Raggruppa: Settimana/Mese/Figlio/Attività/Stato; Ordina: Data/Prezzo/Nome) e un link 'Gestisci (modifica/annulla)' verso /prenotazioni</t>
  </si>
  <si>
    <t xml:space="preserve">SPRINT 1 - scelta di scope deliberata: le azioni di modifica/annullo restano su /prenotazioni (LEGACY) per questo sprint, che è focalizzato sulla sintesi non sulla gestione transazionale. Vista/Raggruppamento/Ordinamento tenuti separati come richiesto, ma volutamente a basso peso visivo (in fondo, collassati).</t>
  </si>
  <si>
    <t xml:space="preserve">TC-N09</t>
  </si>
  <si>
    <t xml:space="preserve">Statistiche sintetiche (confermate/in attesa/speso) sempre visibili</t>
  </si>
  <si>
    <t xml:space="preserve">3 tile compatte sempre visibili: numero prenotazioni Confermate, numero In attesa, Speso finora (€)</t>
  </si>
  <si>
    <t xml:space="preserve">SPRINT 1 - riepilogo pianificazione + stato prenotazioni unificati in un'unica riga di 3 tile, per non duplicare l'indicatore di copertura già mostrato in cima.</t>
  </si>
  <si>
    <t xml:space="preserve">TC-N10</t>
  </si>
  <si>
    <t xml:space="preserve">NEXTGEN - Ricerca e scoperta</t>
  </si>
  <si>
    <t xml:space="preserve">/nextgen/search mostra risultati ordinati con motivazioni, senza pannelli filtro multipli</t>
  </si>
  <si>
    <t xml:space="preserve">Login Genitore -&gt; /nextgen -&gt; 'Scopri attività'</t>
  </si>
  <si>
    <t xml:space="preserve">La pagina mostra: campo di ricerca testuale, pulsante 'Usa la mia posizione', chip bambino (se 2+ bambini) - NESSUN pannello età/prezzo/zona/tag/servizi separato. Ogni risultato mostra motivazioni leggibili (es. 'Piace a Piero', 'Vicino a te') sopra la card</t>
  </si>
  <si>
    <t xml:space="preserve">SPRINT 2 (richiesta di Fabrizio: 'ridurre i filtri, utilizzare maggiormente il contesto del genitore, introdurre suggerimenti intelligenti'). Nuovo motore lib/nextgen/smart-search.ts, riusa lib/matching.ts#matchPercentForKid (nessuna duplicazione dello scoring età/interessi/rating). Vedi app/nextgen/search/page.tsx, SearchDiscoveryClient.tsx.</t>
  </si>
  <si>
    <t xml:space="preserve">TC-N11</t>
  </si>
  <si>
    <t xml:space="preserve">Il link 'Scopri attività' nella Dashboard porta alla Ricerca NEXTGEN</t>
  </si>
  <si>
    <t xml:space="preserve">Login Genitore -&gt; /nextgen -&gt; click su 'Scopri attività' (accanto alla card di copertura)</t>
  </si>
  <si>
    <t xml:space="preserve">Naviga a /nextgen/search</t>
  </si>
  <si>
    <t xml:space="preserve">SPRINT 2 - unico punto di ingresso aggiunto alla Dashboard Sprint 1.</t>
  </si>
  <si>
    <t xml:space="preserve">TC-N12</t>
  </si>
  <si>
    <t xml:space="preserve">Il filtro testuale per nome riduce correttamente i risultati</t>
  </si>
  <si>
    <t xml:space="preserve">In /nextgen/search, scrivi un nome che non esiste in nessuna attività</t>
  </si>
  <si>
    <t xml:space="preserve">Messaggio 'Nessuna attività trovata.'</t>
  </si>
  <si>
    <t xml:space="preserve">SPRINT 2 - unico filtro manuale rimasto oltre al bambino e alla posizione, per scelta di scope (prezzo/servizi restano informazioni sulla card, non filtri, in questo sprint).</t>
  </si>
  <si>
    <t xml:space="preserve">TC-N13</t>
  </si>
  <si>
    <t xml:space="preserve">NEXTGEN - Planner</t>
  </si>
  <si>
    <t xml:space="preserve">/nextgen/planner mostra la timeline familiare completa (13 settimane)</t>
  </si>
  <si>
    <t xml:space="preserve">Login Genitore -&gt; /nextgen -&gt; 'Apri il planner completo' (o tab Planner)</t>
  </si>
  <si>
    <t xml:space="preserve">La pagina mostra: copertura (X di Y settimane coperte + barra), timeline con tutte le 13 settimane (Sett. 1...Sett. 13), stato per ciascuna (coperta/scoperta/non ti serve)</t>
  </si>
  <si>
    <t xml:space="preserve">SPRINT 3 (richiesta di Fabrizio: 'trasformare il Planner nella feature principale del prodotto... il cuore dell'esperienza'). Riusa getPlannerData (INVARIATO, gia' di Sprint 1). Vedi app/nextgen/planner/page.tsx, PlannerClient.tsx.</t>
  </si>
  <si>
    <t xml:space="preserve">TC-N14</t>
  </si>
  <si>
    <t xml:space="preserve">Sovrapposizioni reali (stesso bambino, 2 prenotazioni sulla stessa settimana) segnalate chiaramente</t>
  </si>
  <si>
    <t xml:space="preserve">Account genitore di test con un bambino prenotato 2 volte sulla stessa settimana fisica (dato di test)</t>
  </si>
  <si>
    <t xml:space="preserve">Login Genitore -&gt; /nextgen/planner</t>
  </si>
  <si>
    <t xml:space="preserve">Riquadro 'Sovrapposizioni da controllare' visibile, con nome bambino + settimana + le 2 attivita' coinvolte. Se non ci sono sovrapposizioni, il riquadro non appare.</t>
  </si>
  <si>
    <t xml:space="preserve">SPRINT 3 - nuova funzione lib/nextgen/planner-insights.ts#computeKidOverlaps, calcolata da MyBooking.weekIds/kidIds (nessuna nuova query). Scelta tecnica: NON riusa SeasonWeek.coveredKids (fa dedup per bambino/settimana, nasconderebbe la sovrapposizione) - vedi commento in planner-insights.ts.</t>
  </si>
  <si>
    <t xml:space="preserve">TC-N15</t>
  </si>
  <si>
    <t xml:space="preserve">Budget impegnato (totale + per bambino) sempre visibile</t>
  </si>
  <si>
    <t xml:space="preserve">Account genitore di test con almeno una prenotazione attiva</t>
  </si>
  <si>
    <t xml:space="preserve">Sezione 'Budget impegnato' con il totale (somma prenotazioni non annullate) e, se 2+ bambini, il dettaglio per bambino</t>
  </si>
  <si>
    <t xml:space="preserve">SPRINT 3 - lib/nextgen/planner-insights.ts#computeBudgetSummary. Limite dichiarato (in nota a UI): una prenotazione condivisa fra piu' bambini viene conteggiata per intero su ciascuno (nessuno split prezzo per figlio nel modello dati attuale).</t>
  </si>
  <si>
    <t xml:space="preserve">TC-N16</t>
  </si>
  <si>
    <t xml:space="preserve">Consigli mirati alla settimana prioritaria (stesso motore di Ricerca Sprint 2)</t>
  </si>
  <si>
    <t xml:space="preserve">Account genitore di test con almeno una settimana scoperta</t>
  </si>
  <si>
    <t xml:space="preserve">Login Genitore -&gt; /nextgen/planner, scorri fino a 'Per riempire la settimana N'</t>
  </si>
  <si>
    <t xml:space="preserve">Fino a 4 attivita' consigliate con motivazioni leggibili (stesse di /nextgen/search), mirate alla settimana 'prioritaria' (un buco fra due settimane coperte ha priorita' sulla prima scoperta in ordine)</t>
  </si>
  <si>
    <t xml:space="preserve">SPRINT 3 - riusa computeSmartMatches (Sprint 2, invariato) e lo stesso algoritmo 'settimana prioritaria' gia' in components/PlannerView.tsx (LEGACY), duplicato in planner-insights.ts#computePriorityWeekIndex per non toccare un componente client di LEGACY.</t>
  </si>
  <si>
    <t xml:space="preserve">TC-N17</t>
  </si>
  <si>
    <t xml:space="preserve">NextgenBottomNav permette di raggiungere Home/Planner/Scopri in un tocco</t>
  </si>
  <si>
    <t xml:space="preserve">Login Genitore -&gt; qualsiasi pagina /nextgen -&gt; tocca 'Planner' poi 'Scopri' poi 'Home' nella barra in basso</t>
  </si>
  <si>
    <t xml:space="preserve">Naviga rispettivamente a /nextgen/planner, /nextgen/search, /nextgen - la voce attiva e' evidenziata</t>
  </si>
  <si>
    <t xml:space="preserve">SPRINT 3 - nuovo componente components/nextgen/NextgenBottomNav.tsx (solo sotto /nextgen, non tocca components/BottomNav.tsx di LEGACY). Necessario ora che il Planner e' una destinazione di primo livello, non solo un link testuale. REBRAND TRAMA Sprint 1 - la voce 'Cerca' e' stata rinominata 'Scopri' per coerenza col mockup (stessa rotta /nextgen/search).</t>
  </si>
  <si>
    <t xml:space="preserve">Manifest NEXTGEN distinto da quello LEGACY (stesso host)</t>
  </si>
  <si>
    <t xml:space="preserve">Login Genitore -&gt; apri '/' poi '/nextgen' -&gt; ispeziona &lt;link rel='manifest'&gt; in entrambe</t>
  </si>
  <si>
    <t xml:space="preserve">'/' -&gt; /manifest-family.json (o partner/admin secondo tenant), '/nextgen' -&gt; /manifest-nextgen.json - DIVERSI, con scope/start_url/id '/nextgen' per NEXTGEN</t>
  </si>
  <si>
    <t xml:space="preserve">SPRINT 3 - richiesta di Fabrizio: poter installare LEGACY e NEXTGEN come DUE app separate sullo stesso telefono. app/nextgen/layout.tsx esporta un metadata statico (manifest/icone/titolo dedicati) che sovrascrive quello dinamico di app/layout.tsx SOLO sotto /nextgen.</t>
  </si>
  <si>
    <t xml:space="preserve">Installazione DOPPIA: LEGACY e NEXTGEN come app separate, senza banner sovrapposti</t>
  </si>
  <si>
    <t xml:space="preserve">Chrome Android o desktop, cache/service worker puliti</t>
  </si>
  <si>
    <t xml:space="preserve">Installa da '/' (LEGACY), poi vai su '/nextgen' e installa anche quella</t>
  </si>
  <si>
    <t xml:space="preserve">Due icone separate in home screen/launcher ('BuddyKids' e 'BuddyKids NextGen', icone diverse). Su '/nextgen' NON appare mai il banner 'Installa BuddyKids' di LEGACY insieme a quello NEXTGEN.</t>
  </si>
  <si>
    <t xml:space="preserve">SPRINT 3 - components/InstallPrompt.tsx ha una nuova prop 'routeExclude': l'istanza storica (app/layout.tsx) passa routeExclude='/nextgen' e si autodisattiva li'; l'istanza NEXTGEN (app/nextgen/layout.tsx) ha appName/tema propri, quindi chiave di dismiss in localStorage separata. ESCLUSO dall'automazione: beforeinstallprompt/installazione reale richiedono un device/browser reale.</t>
  </si>
  <si>
    <t xml:space="preserve">TC-N18</t>
  </si>
  <si>
    <t xml:space="preserve">NEXTGEN - Home (rifinitura)</t>
  </si>
  <si>
    <t xml:space="preserve">La Hero Card comunica stato, settimane mancanti e prossimo impegno con una CTA</t>
  </si>
  <si>
    <t xml:space="preserve">Login Genitore -&gt; /nextgen</t>
  </si>
  <si>
    <t xml:space="preserve">Prima card, sfondo caldo distinto, testo 'Organizzata al N%', settimane mancanti nominate ('Settimana X, Settimana Y'), prossimo impegno con data leggibile, pulsante 'Continua a pianificare' -&gt; /nextgen/planner</t>
  </si>
  <si>
    <t xml:space="preserve">SPRINT CORRETTIVO (richiesta di Fabrizio: 'la Home deve essere un centro di controllo, capibile in meno di 3 secondi'). Stesso dato di Sprint 1 (getPlannerData), cambia solo la resa visiva/testuale in HomeDashboardClient.tsx.</t>
  </si>
  <si>
    <t xml:space="preserve">TC-N19</t>
  </si>
  <si>
    <t xml:space="preserve">Il check-in di oggi (se presente) appare in Home NEXTGEN, con badge codice visivo</t>
  </si>
  <si>
    <t xml:space="preserve">Account genitore di test con una prenotazione attiva OGGI</t>
  </si>
  <si>
    <t xml:space="preserve">Sezione 'Oggi' con la card di check-in (foto attività, domanda, badge 'Codice check-in'). Prima non compariva affatto in NEXTGEN.</t>
  </si>
  <si>
    <t xml:space="preserve">SPRINT CORRETTIVO ('ripristinare e valorizzare il check-in... non una funzione secondaria'). Nuovo components/nextgen/NextgenCheckinCard.tsx, riusa getTodayCheckinsForParent/parentCheckinAction (INVARIATI, stessi di LEGACY CheckinPrompt). Nota di scope: il badge codice NON e' ancora scansionabile (nessuno scanner lato Gestore oggi).</t>
  </si>
  <si>
    <t xml:space="preserve">TC-N20</t>
  </si>
  <si>
    <t xml:space="preserve">Rispondere al check-in mostra un feedback positivo (toast) non invasivo</t>
  </si>
  <si>
    <t xml:space="preserve">Account genitore di test con check-in disponibile oggi</t>
  </si>
  <si>
    <t xml:space="preserve">Login Genitore -&gt; /nextgen -&gt; tocca 'Sì' sulla card di check-in</t>
  </si>
  <si>
    <t xml:space="preserve">Toast in basso con 'registrato con successo', si chiude da solo dopo ~2.6s, nessun popup modale da chiudere manualmente</t>
  </si>
  <si>
    <t xml:space="preserve">SPRINT CORRETTIVO ('aumentare i micro-feedback positivi... evitare popup invasivi'). Nuovo components/nextgen/NextgenToastProvider.tsx (Context+hook), montato in app/nextgen/layout.tsx.</t>
  </si>
  <si>
    <t xml:space="preserve">TC-N21</t>
  </si>
  <si>
    <t xml:space="preserve">'Prossimo appuntamento' mostra una sola card visuale (non piu' una lista di 3)</t>
  </si>
  <si>
    <t xml:space="preserve">Account genitore di test con almeno una prenotazione futura</t>
  </si>
  <si>
    <t xml:space="preserve">Sezione 'Prossimo appuntamento' con UNA card (foto, figlio, periodo, badge stato, azione) - le altre prenotazioni sono in 'Prenotazioni' piu' sotto, non ripetute qui</t>
  </si>
  <si>
    <t xml:space="preserve">SPRINT CORRETTIVO - prima erano 'Prossimi impegni' (plurale, fino a 3): ridotto a un solo elemento per diminuire le decisioni da prendere in Home (richiesta esplicita di riduzione del carico cognitivo).</t>
  </si>
  <si>
    <t xml:space="preserve">TC-N22</t>
  </si>
  <si>
    <t xml:space="preserve">Le statistiche sintetiche sono in fondo alla pagina, dopo Prenotazioni</t>
  </si>
  <si>
    <t xml:space="preserve">Account genitore di test con almeno una prenotazione</t>
  </si>
  <si>
    <t xml:space="preserve">Login Genitore -&gt; /nextgen -&gt; scorri la pagina</t>
  </si>
  <si>
    <t xml:space="preserve">L'ordine e': Hero Card, Check-in (se oggi), Prossimo appuntamento, Consigliati, Planner sintetico, Prenotazioni, Statistiche (ultime, ridotte)</t>
  </si>
  <si>
    <t xml:space="preserve">SPRINT CORRETTIVO - prima le statistiche erano a meta' pagina con lo stesso peso visivo della card di copertura. Nessuna gerarchia visiva marcata: ora la Hero Card e' l'unica card con sfondo caldo/dimensione maggiore, le statistiche sono le piu' piccole e ultime.</t>
  </si>
  <si>
    <t xml:space="preserve">TC-N23</t>
  </si>
  <si>
    <t xml:space="preserve">Il Planner, a copertura completa, mostra un messaggio di rassicurazione</t>
  </si>
  <si>
    <t xml:space="preserve">Account genitore di test con tutte le settimane utili coperte</t>
  </si>
  <si>
    <t xml:space="preserve">Sotto la barra di copertura al 100%, testo 'Tutto sotto controllo per questa estate.' con icona di conferma verde</t>
  </si>
  <si>
    <t xml:space="preserve">SPRINT CORRETTIVO ('ogni schermata va valutata anche per la sua temperatura emotiva'). Prima, a copertura completa, la card restava solo numerica (nessun messaggio). Anche uniformata la dicitura 'Sett. N' -&gt; 'Settimana N' in tutta la timeline (coerenza con 'Le mie prenotazioni').</t>
  </si>
  <si>
    <t xml:space="preserve">TC-N24</t>
  </si>
  <si>
    <t xml:space="preserve">Le etichette 'Settimana 12'/'Settimana 13' nel Planner non vanno a capo</t>
  </si>
  <si>
    <t xml:space="preserve">Login Genitore -&gt; /nextgen/planner -&gt; osserva le righe Settimana 12 e Settimana 13</t>
  </si>
  <si>
    <t xml:space="preserve">L'etichetta resta su una riga sola, come tutte le altre settimane (1-11) - non si spezza su due righe</t>
  </si>
  <si>
    <t xml:space="preserve">BUG segnalato da Fabrizio dopo lo sprint correttivo: colonna a larghezza fissa (84px) troppo stretta per 'Settimana 12'/'Settimana 13' (12 caratteri, piu' larghi di 'Settimana 1'..'Settimana 9'). Fix: colonna a larghezza automatica + whitespace-nowrap in PlannerClient.tsx.</t>
  </si>
  <si>
    <t xml:space="preserve">TC-N25</t>
  </si>
  <si>
    <t xml:space="preserve">'Consigliati per voi' rappresenta più di un figlio quando la famiglia ne ha più di uno</t>
  </si>
  <si>
    <t xml:space="preserve">Account genitore di test con 2+ bambini e settimane scoperte</t>
  </si>
  <si>
    <t xml:space="preserve">Login Genitore -&gt; /nextgen, osserva le didascalie 'Per {figlio}' sotto 'Consigliati per voi'</t>
  </si>
  <si>
    <t xml:space="preserve">Se ci sono 2+ figli, l'elenco (fino a 3 attività) mostra almeno un consiglio per ciascun figlio quando possibile, non solo per quello con il punteggio piu' alto in assoluto</t>
  </si>
  <si>
    <t xml:space="preserve">BUG segnalato da Fabrizio: 'i consigliati per voi sono solo per Piero, come mai?'. Causa: si prendevano le 3 attivita' col punteggio piu' alto in assoluto, senza garantire diversita' tra figli. Fix in app/nextgen/page.tsx: un pick garantito a testa (se 2+ figli), poi si riempiono i posti restanti col punteggio migliore assoluto.</t>
  </si>
  <si>
    <t xml:space="preserve">TC-N26</t>
  </si>
  <si>
    <t xml:space="preserve">I gruppi in 'Tutte le prenotazioni' si possono comprimere ed espandere singolarmente</t>
  </si>
  <si>
    <t xml:space="preserve">Account genitore di test con 2+ prenotazioni in gruppi diversi</t>
  </si>
  <si>
    <t xml:space="preserve">Login Genitore -&gt; /nextgen -&gt; apri 'Tutte le prenotazioni' -&gt; tocca l'intestazione di un gruppo</t>
  </si>
  <si>
    <t xml:space="preserve">Il gruppo toccato si chiude/apre singolarmente (icona chevron su/giu), gli altri gruppi restano invariati</t>
  </si>
  <si>
    <t xml:space="preserve">Richiesta di Fabrizio: 'mi piacerebbe ci fosse modo per comprimere i gruppi o espanderli'. Nessun gruppo collassato di default (comprimere e' un'azione esplicita).</t>
  </si>
  <si>
    <t xml:space="preserve">TC-N27</t>
  </si>
  <si>
    <t xml:space="preserve">'Mancano ancora' e 'Prossimo impegno' nella Hero Card hanno un'icona distintiva</t>
  </si>
  <si>
    <t xml:space="preserve">Login Genitore -&gt; /nextgen -&gt; osserva la Hero Card</t>
  </si>
  <si>
    <t xml:space="preserve">Icona calendario/allerta accanto a 'Mancano ancora', icona pin accanto a 'Prossimo impegno' - le due righe sono blocchi etichetta+valore distinti, non piu' una frase unica</t>
  </si>
  <si>
    <t xml:space="preserve">Richiesta di Fabrizio: 'forse ci vuole una iconcina distintiva?'. Ristrutturazione risolve anche il rischio di andare a capo a meta' frase su schermi stretti (titolo Hero ridotto da 30 a 28px).</t>
  </si>
  <si>
    <t xml:space="preserve">TC-N28</t>
  </si>
  <si>
    <t xml:space="preserve">Versione LEGACY/NEXTGEN - Toggle</t>
  </si>
  <si>
    <t xml:space="preserve">Il toggle su '/' porta a NEXTGEN e ricorda la scelta</t>
  </si>
  <si>
    <t xml:space="preserve">Login Genitore -&gt; '/' -&gt; tocca il pulsante 'Passa a NextGen' in alto a destra -&gt; torna su '/'</t>
  </si>
  <si>
    <t xml:space="preserve">Naviga a /nextgen. Tornando su '/' in un secondo momento, si viene rimandati automaticamente a /nextgen (preferenza ricordata)</t>
  </si>
  <si>
    <t xml:space="preserve">Richiesta di Fabrizio: 'un toggle che mi permetta di switchare da versione legacy a nextgen, coerente su tutta l'app'. Nuovo components/VersionToggle.tsx + lib/version-preference.ts (cookie bk_version). Convive con le due PWA installabili separatamente (TC-098/TC-099).</t>
  </si>
  <si>
    <t xml:space="preserve">TC-N29</t>
  </si>
  <si>
    <t xml:space="preserve">Il toggle su /nextgen porta a LEGACY e ricorda la scelta</t>
  </si>
  <si>
    <t xml:space="preserve">Login Genitore -&gt; /nextgen -&gt; tocca 'Torna a V1' -&gt; torna su /nextgen</t>
  </si>
  <si>
    <t xml:space="preserve">Naviga a '/'. Tornando su /nextgen in un secondo momento, si viene rimandati automaticamente a '/' (preferenza ricordata)</t>
  </si>
  <si>
    <t xml:space="preserve">Stesso meccanismo di TC-N28, direzione opposta.</t>
  </si>
  <si>
    <t xml:space="preserve">TC-N30</t>
  </si>
  <si>
    <t xml:space="preserve">Il toggle non appare nei portali Gestore/Admin</t>
  </si>
  <si>
    <t xml:space="preserve">Account gestore/admin di test</t>
  </si>
  <si>
    <t xml:space="preserve">Login Gestore -&gt; /center (e Admin -&gt; /admin)</t>
  </si>
  <si>
    <t xml:space="preserve">Nessun pulsante 'Passa a NextGen'/'Torna a V1' visibile - NEXTGEN oggi non ha equivalenti per Gestore/Admin (restano per gli Sprint 4/7/8 futuri)</t>
  </si>
  <si>
    <t xml:space="preserve">VersionToggle.tsx si nasconde su /center, /admin, /nextgen/center, /nextgen/admin, /auth.</t>
  </si>
  <si>
    <t xml:space="preserve">TC-N31</t>
  </si>
  <si>
    <t xml:space="preserve">Aprire un'icona installata ignora sempre la preferenza del toggle</t>
  </si>
  <si>
    <t xml:space="preserve">Entrambe le PWA (LEGACY e NEXTGEN) installate sullo stesso telefono, preferenza toggle impostata su una delle due</t>
  </si>
  <si>
    <t xml:space="preserve">Apri l'icona 'BuddyKids' installata sulla home, poi l'icona 'BuddyKids NextGen'</t>
  </si>
  <si>
    <t xml:space="preserve">'BuddyKids' apre sempre LEGACY, 'BuddyKids NextGen' apre sempre NEXTGEN - a prescindere dall'ultima preferenza scelta nel browser normale</t>
  </si>
  <si>
    <t xml:space="preserve">ESCLUSO dall'automazione: richiede 'display-mode: standalone', non simulabile in Playwright. Fondamentale per non rompere la richiesta precedente delle due app separate: il redirect automatico del toggle e' disattivato quando isStandaloneDisplay() e' vero.</t>
  </si>
  <si>
    <t xml:space="preserve">TC-N614</t>
  </si>
  <si>
    <t xml:space="preserve">Il toggle non appare sulla shell TRAMA ONE Parent ('/one')</t>
  </si>
  <si>
    <t xml:space="preserve">Login Genitore -&gt; /one -&gt; osserva l'header e l'angolo dove appare normalmente il toggle</t>
  </si>
  <si>
    <t xml:space="preserve">Nessun pulsante 'Passa a NextGen'/'Torna a V1' visibile - la shell TRAMA ONE Parent ha gia' una propria freccia indietro verso /nextgen nell'header, con cui il toggle globale si sovrapponeva visivamente al titolo</t>
  </si>
  <si>
    <t xml:space="preserve">Bug reale trovato da uno screenshot manuale: il toggle globale si sovrapponeva visivamente alla freccia indietro/titolo dell'header nella shell TRAMA ONE Parent ('/one'). Corretto aggiungendo '/one' alla lista HIDDEN_PREFIXES in components/VersionToggle.tsx. Test in tests/nextgen/version-toggle.spec.ts, dentro test.describe("Versione LEGACY/NEXTGEN - Toggle").</t>
  </si>
  <si>
    <t xml:space="preserve">TC-N32</t>
  </si>
  <si>
    <t xml:space="preserve">NEXTGEN - Community</t>
  </si>
  <si>
    <t xml:space="preserve">Da Planner (scheda 'Gruppi') si raggiunge /nextgen/community</t>
  </si>
  <si>
    <t xml:space="preserve">Login Genitore -&gt; /nextgen/planner -&gt; tocca la scheda 'Gruppi' -&gt; tocca 'Vedi tutte' (o 'Crea o entra' se nessuna community)</t>
  </si>
  <si>
    <t xml:space="preserve">Naviga a /nextgen/community, mostra l'elenco delle community di cui si fa parte (o lo stato vuoto con 'Crea community'/'Entra con codice')</t>
  </si>
  <si>
    <t xml:space="preserve">REBRAND TRAMA Sprint 1 - NextgenBottomNav e' passata a 5 voci (Home/Planner/Scopri/Prenotazioni/Profilo); 'Community' esce dalla barra e resta raggiungibile da Planner -&gt; Gruppi (PlannerGroupsView.tsx, gia' Sprint 5.6). Percorso di test aggiornato di conseguenza.</t>
  </si>
  <si>
    <t xml:space="preserve">TC-N33</t>
  </si>
  <si>
    <t xml:space="preserve">Creare una community mostra subito il codice invito nel dettaglio</t>
  </si>
  <si>
    <t xml:space="preserve">/nextgen/community -&gt; 'Crea community' -&gt; inserisci nome -&gt; 'Crea'</t>
  </si>
  <si>
    <t xml:space="preserve">Si apre il dettaglio della nuova community, con il codice invito visibile in alto e il creatore gia' iscritto come membro con ruolo Creatore</t>
  </si>
  <si>
    <t xml:space="preserve">createCommunityAction: crea la riga in communities + la riga in community_members con ruolo 'creatore', codice invito generato con lo stesso pattern di app/actions/invites.ts (niente 0/O/1/I).</t>
  </si>
  <si>
    <t xml:space="preserve">TC-N34</t>
  </si>
  <si>
    <t xml:space="preserve">Un codice invito non valido mostra un errore leggibile</t>
  </si>
  <si>
    <t xml:space="preserve">/nextgen/community -&gt; 'Entra con codice' -&gt; inserisci un codice inesistente -&gt; 'Entra'</t>
  </si>
  <si>
    <t xml:space="preserve">Messaggio 'Codice non valido. Controlla e riprova.' - nessuna adesione creata</t>
  </si>
  <si>
    <t xml:space="preserve">joinCommunityByCodeAction restituisce error se il codice non corrisponde a nessuna community.</t>
  </si>
  <si>
    <t xml:space="preserve">TC-N35</t>
  </si>
  <si>
    <t xml:space="preserve">Entrare con un codice invito valido aggiunge il genitore alla community</t>
  </si>
  <si>
    <t xml:space="preserve">Un codice invito valido di una community esistente, genitore non ancora membro</t>
  </si>
  <si>
    <t xml:space="preserve">/nextgen/community -&gt; 'Entra con codice' -&gt; inserisci il codice -&gt; 'Entra'</t>
  </si>
  <si>
    <t xml:space="preserve">Il genitore viene aggiunto come membro (ruolo 'membro') e viene portato al dettaglio della community</t>
  </si>
  <si>
    <t xml:space="preserve">Stesso pattern di join-by-link dei Gruppi esistenti (chiunque conosca il codice puo' unirsi).</t>
  </si>
  <si>
    <t xml:space="preserve">TC-N36</t>
  </si>
  <si>
    <t xml:space="preserve">Proporre un'attivita' la mostra in 'Le attivita' della community'</t>
  </si>
  <si>
    <t xml:space="preserve">Account genitore di test, membro di una community, almeno un'attivita' a catalogo</t>
  </si>
  <si>
    <t xml:space="preserve">Dettaglio community -&gt; 'Proponi' -&gt; scegli un'attivita' -&gt; 'Condividi proposta'</t>
  </si>
  <si>
    <t xml:space="preserve">La proposta compare nell'elenco 'Le attivita' della community' con nome attivita', centro e pulsante 'Mi interessa'</t>
  </si>
  <si>
    <t xml:space="preserve">proposeActivityAction inserisce in community_activity_proposals, legata a un'attivita' reale del catalogo (nessuna duplicazione dati).</t>
  </si>
  <si>
    <t xml:space="preserve">TC-N37</t>
  </si>
  <si>
    <t xml:space="preserve">Esprimere interesse aggiorna il contatore e lo stato del pulsante</t>
  </si>
  <si>
    <t xml:space="preserve">Una proposta esistente nella community</t>
  </si>
  <si>
    <t xml:space="preserve">Dettaglio community -&gt; tocca 'Mi interessa' su una proposta</t>
  </si>
  <si>
    <t xml:space="preserve">Il pulsante diventa 'Interessato' (evidenziato) e il contatore accanto aumenta di 1; ritoccando si ritira l'interesse</t>
  </si>
  <si>
    <t xml:space="preserve">Un solo segnale per genitore+proposta (unifica 'interessato' e 'voto', community_activity_interest).</t>
  </si>
  <si>
    <t xml:space="preserve">TC-N38</t>
  </si>
  <si>
    <t xml:space="preserve">'Famiglie gia' iscritte' riflette le prenotazioni reali dei membri</t>
  </si>
  <si>
    <t xml:space="preserve">Almeno un membro della community con una prenotazione attiva sull'attivita' proposta</t>
  </si>
  <si>
    <t xml:space="preserve">Dettaglio community -&gt; osserva il badge sulla proposta</t>
  </si>
  <si>
    <t xml:space="preserve">Badge 'N famiglie gia' iscritte' con N pari al numero di membri della community con una prenotazione non annullata su quell'attivita'</t>
  </si>
  <si>
    <t xml:space="preserve">Calcolato in lettura incrociando bookings con i membri della community (lib/data/communities.ts) - nessuna tabella/duplicazione dedicata, come richiesto da Fabrizio.</t>
  </si>
  <si>
    <t xml:space="preserve">TC-N39</t>
  </si>
  <si>
    <t xml:space="preserve">'Genera Gruppo' (solo Creatore/Admin) crea un gruppo collegato alla community</t>
  </si>
  <si>
    <t xml:space="preserve">Ruolo Creatore o Admin nella community, una proposta con almeno un interesse</t>
  </si>
  <si>
    <t xml:space="preserve">Dettaglio community -&gt; proposta con interesse -&gt; 'Genera Gruppo'</t>
  </si>
  <si>
    <t xml:space="preserve">Viene creato un vero Gruppo (public.groups) collegato all'attivita' della proposta e alla community (community_id), visibile poi in /groups con lo stesso flusso di Richiesta Gruppo/accompagnamento gia' esistente</t>
  </si>
  <si>
    <t xml:space="preserve">Relazione richiesta da Fabrizio con il vecchio concetto 'Gruppi': 'a patto che mantenga relazione'. community_id nullable su groups, nessuna riga esistente cambia comportamento.</t>
  </si>
  <si>
    <t xml:space="preserve">TC-N40</t>
  </si>
  <si>
    <t xml:space="preserve">Il segnale sociale in Home compare solo se c'e' una proposta con interesse attivo</t>
  </si>
  <si>
    <t xml:space="preserve">Account genitore di test, membro di almeno una community</t>
  </si>
  <si>
    <t xml:space="preserve">Login Genitore -&gt; /nextgen (senza aver espresso ne' ricevuto alcun interesse) poi con un interesse espresso da un membro</t>
  </si>
  <si>
    <t xml:space="preserve">Senza interesse: nessun banner in Home. Con almeno un interesse su una proposta: piccolo banner 'N famiglie di [community] stanno valutando [attivita']', non invasivo, con link al dettaglio</t>
  </si>
  <si>
    <t xml:space="preserve">Richiesta di Fabrizio: 'Home deve mostrare piccoli elementi sociali'. getCommunityHomeSignal() in lib/data/communities.ts, mostrato in HomeDashboardClient solo se non-null.</t>
  </si>
  <si>
    <t xml:space="preserve">TC-193</t>
  </si>
  <si>
    <t xml:space="preserve">'Le mie prenotazioni' (LEGACY): i gruppi si comprimono/espandono singolarmente</t>
  </si>
  <si>
    <t xml:space="preserve">Almeno 2 prenotazioni in gruppi diversi</t>
  </si>
  <si>
    <t xml:space="preserve">Login Genitore -&gt; /prenotazioni -&gt; tocca l'intestazione di un gruppo</t>
  </si>
  <si>
    <t xml:space="preserve">Il gruppo toccato si chiude/apre singolarmente (icona chevron su/giu), gli altri gruppi restano invariati - stessa funzionalita' gia' presente nella Home NEXTGEN</t>
  </si>
  <si>
    <t xml:space="preserve">Segnalazione di Fabrizio: 'il raggruppamento non funziona'. Causa reale: il comprimi/espandi gruppo esisteva SOLO nella Home NEXTGEN (task #108), non qui - probabile schermata testata da Fabrizio. Aggiunta la stessa funzionalita' anche qui, con chiave prefissata dal criterio di raggruppamento per evitare collisioni tra etichette di criteri diversi.</t>
  </si>
  <si>
    <t xml:space="preserve">TC-194</t>
  </si>
  <si>
    <t xml:space="preserve">Prenotare la stessa settimana su un'altra attivita' mostra un avviso non bloccante</t>
  </si>
  <si>
    <t xml:space="preserve">Il bambino ha gia' una prenotazione attiva su un'altra attivita' in una settimana che si sovrappone a quella che si sta per prenotare</t>
  </si>
  <si>
    <t xml:space="preserve">Login Genitore -&gt; prenota un'attivita' -&gt; scegli una settimana gia' impegnata dallo stesso bambino su un'altra attivita' -&gt; 'Conferma e paga'</t>
  </si>
  <si>
    <t xml:space="preserve">Compare un avviso 'Attenzione: settimana gia' impegnata' con nome bambino, altra attivita' e settimana in conflitto, con pulsanti 'Prosegui comunque'/'Annulla' - la prenotazione NON viene creata finche' non si conferma esplicitamente</t>
  </si>
  <si>
    <t xml:space="preserve">Richiesta di Fabrizio: 'bisogna aggiungere un controllo sulle prenotazioni per evitare di farne multiple su diverse attivita' nella stessa settimana..un pop up di alert sarebbe ottimo'. Scelta confermata da Fabrizio tra le opzioni proposte: avviso con conferma, NON blocco rigido (alcune famiglie vogliono davvero due attivita' nella stessa settimana, es. mattina/pomeriggio). Implementato una sola volta in app/booking/[id]/actions.ts (createBookingAction), condiviso da LEGACY e NEXTGEN (stesso flusso di prenotazione).</t>
  </si>
  <si>
    <t xml:space="preserve">TC-195</t>
  </si>
  <si>
    <t xml:space="preserve">'Prosegui comunque' nell'avviso di sovrapposizione completa la prenotazione</t>
  </si>
  <si>
    <t xml:space="preserve">Come TC-194, avviso di sovrapposizione gia' mostrato</t>
  </si>
  <si>
    <t xml:space="preserve">Dall'avviso di sovrapposizione, tocca 'Prosegui comunque'</t>
  </si>
  <si>
    <t xml:space="preserve">La prenotazione viene creata normalmente (redirect a schermata di successo) - il controllo non si ripresenta una seconda volta per la stessa richiesta</t>
  </si>
  <si>
    <t xml:space="preserve">createBookingAction viene richiamata con confirmOverlap:true, che salta il controllo ed esegue l'insert come nel flusso normale.</t>
  </si>
  <si>
    <t xml:space="preserve">TC-N41</t>
  </si>
  <si>
    <t xml:space="preserve">NEXTGEN - Family Planner (5.1)</t>
  </si>
  <si>
    <t xml:space="preserve">Home mostra 'Attivita da confermare' solo per le prenotazioni in stato pending</t>
  </si>
  <si>
    <t xml:space="preserve">Account genitore di test con almeno una prenotazione in stato 'In attesa'</t>
  </si>
  <si>
    <t xml:space="preserve">Login Genitore -&gt; /nextgen -&gt; osserva la sezione 'Attivita da confermare'</t>
  </si>
  <si>
    <t xml:space="preserve">Compaiono solo le prenotazioni con status='pending' (non le confermate/annullate); link 'Gestisci tutte le prenotazioni' porta a /prenotazioni</t>
  </si>
  <si>
    <t xml:space="preserve">Sostituisce l'elenco 'Prenotazioni' con raggruppa/ordina, rimosso da Home (Sprint 5.1 - 'Home ridotta a sola sintesi').</t>
  </si>
  <si>
    <t xml:space="preserve">TC-N42</t>
  </si>
  <si>
    <t xml:space="preserve">Home non mostra piu timeline completa, budget dettagliato o mappa (solo sintesi)</t>
  </si>
  <si>
    <t xml:space="preserve">Login Genitore -&gt; /nextgen -&gt; verifica assenza di 'Timeline della stagione', 'Budget estate', 'Per categoria'</t>
  </si>
  <si>
    <t xml:space="preserve">Nessuna delle sezioni di dettaglio e presente in Home; e visibile una CTA 'Apri Planner' in fondo alla pagina</t>
  </si>
  <si>
    <t xml:space="preserve">Richiesta esplicita di Fabrizio (PRD Family Planner): 'HOME... Stop. Niente timeline completa. Niente budget dettagliato. Niente mappa. Solo sintesi.'</t>
  </si>
  <si>
    <t xml:space="preserve">TC-N43</t>
  </si>
  <si>
    <t xml:space="preserve">Il Planner mostra le 5 modalita Organizzazione/Calendario/Mappa/Budget/Gruppi</t>
  </si>
  <si>
    <t xml:space="preserve">Login Genitore -&gt; /nextgen/planner -&gt; osserva il selettore di modalita sotto l'intestazione</t>
  </si>
  <si>
    <t xml:space="preserve">Sono visibili 5 pulsanti: Organizzazione, Calendario, Mappa, Budget, Gruppi; Organizzazione e selezionata di default</t>
  </si>
  <si>
    <t xml:space="preserve">Componente PlannerModeTabs, nuovo in Sprint 5.1.</t>
  </si>
  <si>
    <t xml:space="preserve">TC-N44</t>
  </si>
  <si>
    <t xml:space="preserve">Le modalita Mappa/Gruppi mostrano 'in arrivo' (non ancora implementate)</t>
  </si>
  <si>
    <t xml:space="preserve">Nel Planner, tocca in sequenza Mappa, Gruppi (Calendario e ora implementato, vedi TC-N50..N55)</t>
  </si>
  <si>
    <t xml:space="preserve">Ognuna mostra un placeholder 'Vista ... in arrivo' con una breve descrizione, nessun errore applicativo</t>
  </si>
  <si>
    <t xml:space="preserve">SPRINT 5.2: Calendario implementato per davvero, rimosso da questo TC. Implementazione prevista nelle fasi 5.4 (Mappa)/5.6 (Gruppi).</t>
  </si>
  <si>
    <t xml:space="preserve">TC-N45</t>
  </si>
  <si>
    <t xml:space="preserve">Modalita Budget: senza un tetto impostato, il primo accesso forza l'inserimento</t>
  </si>
  <si>
    <t xml:space="preserve">Account genitore di test SENZA season_budget_target gia impostato</t>
  </si>
  <si>
    <t xml:space="preserve">Nel Planner, tocca 'Budget'</t>
  </si>
  <si>
    <t xml:space="preserve">Il campo di inserimento importo e vuoto (nessun valore precompilato/fake) e in modalita modifica</t>
  </si>
  <si>
    <t xml:space="preserve">Richiesta esplicita di Fabrizio: 'nessun default fasullo precompilato', il genitore imposta il proprio tetto.</t>
  </si>
  <si>
    <t xml:space="preserve">TC-N46</t>
  </si>
  <si>
    <t xml:space="preserve">Modalita Budget: impostare il tetto lo salva e mostra la percentuale utilizzata</t>
  </si>
  <si>
    <t xml:space="preserve">Nel Planner -&gt; Budget -&gt; inserisci un importo -&gt; 'Salva budget'</t>
  </si>
  <si>
    <t xml:space="preserve">Toast di conferma 'Budget stagionale salvato!'; la card mostra 'Budget pianificato' vs 'Speso finora' con barra di progresso e percentuale</t>
  </si>
  <si>
    <t xml:space="preserve">setSeasonBudgetTargetAction su profiles.season_budget_target; barra arancione se si supera il tetto.</t>
  </si>
  <si>
    <t xml:space="preserve">TC-N47</t>
  </si>
  <si>
    <t xml:space="preserve">Missioni: messaggio motivazionale quando manca una sola settimana per completare un mese</t>
  </si>
  <si>
    <t xml:space="preserve">Account genitore di test con esattamente una settimana scoperta in un mese della stagione</t>
  </si>
  <si>
    <t xml:space="preserve">Login Genitore -&gt; /nextgen/planner (modalita Organizzazione)</t>
  </si>
  <si>
    <t xml:space="preserve">Compare un messaggio tipo 'Ti manca solo la Settimana N per completare {Mese}.' con emoji dedicata, non invasivo</t>
  </si>
  <si>
    <t xml:space="preserve">lib/nextgen/missions.ts - esplicitamente 'non gamification, messaggi che riducono l'ansia' (richiesta di Fabrizio).</t>
  </si>
  <si>
    <t xml:space="preserve">TC-N48</t>
  </si>
  <si>
    <t xml:space="preserve">Copertura per bambino: visibile solo con piu di un figlio, con rassicurazione a copertura completa</t>
  </si>
  <si>
    <t xml:space="preserve">Account genitore di test con 2+ bambini</t>
  </si>
  <si>
    <t xml:space="preserve">Nel Planner (Organizzazione), osserva la card 'Copertura per bambino'</t>
  </si>
  <si>
    <t xml:space="preserve">Una riga per figlio con percentuale di copertura; un figlio con copertura completa mostra 'Tutto organizzato! (celebrativo)' invece del semplice conteggio</t>
  </si>
  <si>
    <t xml:space="preserve">computePerKidCoverage in lib/nextgen/planner-insights.ts; non mostrata con un solo figlio (doppione della card di copertura generale).</t>
  </si>
  <si>
    <t xml:space="preserve">TC-N49</t>
  </si>
  <si>
    <t xml:space="preserve">Home non ha un centro notifiche dedicato (gap noto, da verificare con Fabrizio)</t>
  </si>
  <si>
    <t xml:space="preserve">Login Genitore -&gt; /nextgen -&gt; verifica che non esista una sezione 'Notifiche' separata</t>
  </si>
  <si>
    <t xml:space="preserve">Nessuna sezione dedicata; i segnali equivalenti (Check-in, Attivita da confermare, segnale Community) coprono per ora questo ruolo</t>
  </si>
  <si>
    <t xml:space="preserve">ASSUNZIONE DA CONFERMARE CON FABRIZIO: il PRD elenca 'Notifiche' come voce a se stante; non esiste ancora un centro notifiche/push reale. Candidato per una fase futura (5.4 - promemoria intelligenti - o oltre).</t>
  </si>
  <si>
    <t xml:space="preserve">TC-N50</t>
  </si>
  <si>
    <t xml:space="preserve">NEXTGEN - Planner Calendario (5.2)</t>
  </si>
  <si>
    <t xml:space="preserve">La modalita Calendario mostra la Vista Mese di default, con selettore Mese/Settimana</t>
  </si>
  <si>
    <t xml:space="preserve">Nel Planner, tocca 'Calendario'</t>
  </si>
  <si>
    <t xml:space="preserve">Compare una griglia mensile con selettore 'Mese'/'Settimana' (Mese selezionato di default) e navigazione mese precedente/successivo</t>
  </si>
  <si>
    <t xml:space="preserve">Sostituisce il placeholder 'Vista Calendario in arrivo' di Sprint 5.1.</t>
  </si>
  <si>
    <t xml:space="preserve">TC-N51</t>
  </si>
  <si>
    <t xml:space="preserve">Vista Mese: la griglia mostra le intestazioni dei giorni della settimana (L M M G V S D)</t>
  </si>
  <si>
    <t xml:space="preserve">Nel Planner -&gt; Calendario, osserva l'intestazione della griglia</t>
  </si>
  <si>
    <t xml:space="preserve">7 colonne Lun-Dom; i weekend restano sempre vuoti (i centri operano Lun-Ven)</t>
  </si>
  <si>
    <t xml:space="preserve">lib/nextgen/calendar-weeks.ts - limite di dati dichiarato: nessuna granularita giornaliera reale, solo settimane intere Lun-Ven.</t>
  </si>
  <si>
    <t xml:space="preserve">TC-N52</t>
  </si>
  <si>
    <t xml:space="preserve">Vista Mese: i giorni delle settimane prenotate mostrano un pallino colorato per bambino</t>
  </si>
  <si>
    <t xml:space="preserve">Account genitore di test con 2+ bambini e almeno una settimana coperta nel mese corrente</t>
  </si>
  <si>
    <t xml:space="preserve">Nel Planner -&gt; Calendario (Vista Mese), osserva i giorni feriali di una settimana prenotata</t>
  </si>
  <si>
    <t xml:space="preserve">Ogni giorno feriale della settimana mostra un pallino colorato per ciascun bambino coperto (colore coerente con la legenda in cima); le settimane con sovrapposizione mostrano anche un'icona di avviso</t>
  </si>
  <si>
    <t xml:space="preserve">Colore per bambino: kid.accentColor o hash deterministico dal nome (stessa tecnica di accentColorForName), duplicata in calendar-weeks.ts.</t>
  </si>
  <si>
    <t xml:space="preserve">TC-N53</t>
  </si>
  <si>
    <t xml:space="preserve">Toccare un giorno prenotato apre il riepilogo della settimana</t>
  </si>
  <si>
    <t xml:space="preserve">Account genitore di test con almeno una settimana coperta</t>
  </si>
  <si>
    <t xml:space="preserve">Nel Planner -&gt; Calendario (Vista Mese), tocca un giorno feriale colorato</t>
  </si>
  <si>
    <t xml:space="preserve">Si apre un riepilogo con l'etichetta della settimana, i bambini coinvolti e l'attivita; se c'e' una sovrapposizione, un avviso invita a controllare il dettaglio in Organizzazione</t>
  </si>
  <si>
    <t xml:space="preserve">TC-N54</t>
  </si>
  <si>
    <t xml:space="preserve">Vista Settimana: elenca le 13 settimane stagionali con pallini per bambino e avviso di sovrapposizione</t>
  </si>
  <si>
    <t xml:space="preserve">Nel Planner -&gt; Calendario, tocca 'Settimana'</t>
  </si>
  <si>
    <t xml:space="preserve">Compaiono 13 righe (Sett. 1..Sett. 13), ciascuna con i pallini colorati dei bambini coperti o 'Scoperta'/'Non ti serve'; le sovrapposizioni mostrano un'icona di avviso</t>
  </si>
  <si>
    <t xml:space="preserve">Vista compatta alternativa alla griglia mensile, stessi dati (planner.weeks + overlaps).</t>
  </si>
  <si>
    <t xml:space="preserve">TC-N55</t>
  </si>
  <si>
    <t xml:space="preserve">Il selettore Mese precedente/successivo naviga tra i mesi della stagione</t>
  </si>
  <si>
    <t xml:space="preserve">Nel Planner -&gt; Calendario (Vista Mese), tocca le frecce precedente/successivo</t>
  </si>
  <si>
    <t xml:space="preserve">La griglia si aggiorna al mese corrispondente; le frecce si disabilitano ai confini della stagione (primo/ultimo mese)</t>
  </si>
  <si>
    <t xml:space="preserve">TC-N56</t>
  </si>
  <si>
    <t xml:space="preserve">NEXTGEN - Family Planner (5.3)</t>
  </si>
  <si>
    <t xml:space="preserve">Il link 'Indirizzi di famiglia' e' raggiungibile dal Planner e apre 4 schede indirizzo</t>
  </si>
  <si>
    <t xml:space="preserve">Nel Planner (qualsiasi modalita'), tocca 'Indirizzi di famiglia'</t>
  </si>
  <si>
    <t xml:space="preserve">Si apre /nextgen/planner/indirizzi con 4 schede: Casa, Lavoro Genitore 1, Lavoro Genitore 2, Altro</t>
  </si>
  <si>
    <t xml:space="preserve">TC-N57</t>
  </si>
  <si>
    <t xml:space="preserve">Salvare un indirizzo mostra una conferma e il link 'Apri in Maps'</t>
  </si>
  <si>
    <t xml:space="preserve">Account genitore di test, pagina Indirizzi</t>
  </si>
  <si>
    <t xml:space="preserve">Scrivi un indirizzo in una scheda (es. Casa) -&gt; Salva</t>
  </si>
  <si>
    <t xml:space="preserve">Toast 'Indirizzo salvato!'; la scheda mostra l'indirizzo in sola lettura con un pulsante 'Apri in Maps' che apre Google Maps con l'indirizzo</t>
  </si>
  <si>
    <t xml:space="preserve">TC-N58</t>
  </si>
  <si>
    <t xml:space="preserve">Rimuovere un indirizzo salvato torna alla modalita' di modifica</t>
  </si>
  <si>
    <t xml:space="preserve">Account genitore di test con almeno un indirizzo gia' salvato</t>
  </si>
  <si>
    <t xml:space="preserve">Nella scheda indirizzo, tocca l'icona Rimuovi</t>
  </si>
  <si>
    <t xml:space="preserve">Toast 'Indirizzo rimosso'; la scheda torna in modalita' di modifica con il campo vuoto</t>
  </si>
  <si>
    <t xml:space="preserve">TC-N59</t>
  </si>
  <si>
    <t xml:space="preserve">NEXTGEN - Family Planner (5.3 + correttivo)</t>
  </si>
  <si>
    <t xml:space="preserve">Nel riepilogo settimana del Calendario, 'Chi fa cosa?' mostra una griglia Lun-Ven x Andata/Ritorno per bambino</t>
  </si>
  <si>
    <t xml:space="preserve">Nel Planner -&gt; Calendario, apri il riepilogo di una settimana coperta</t>
  </si>
  <si>
    <t xml:space="preserve">Per ogni bambino coinvolto compare una griglia con intestazioni Lun/Mar/Mer/Gio/Ven e due righe Andata/Ritorno; le celle non assegnate mostrano un segnaposto neutro</t>
  </si>
  <si>
    <t xml:space="preserve">TC-N60</t>
  </si>
  <si>
    <t xml:space="preserve">'Chi fa cosa?': assegnare un'opzione predefinita (es. Partner) a una singola cella giorno/momento aggiorna subito quella cella</t>
  </si>
  <si>
    <t xml:space="preserve">Nel riepilogo settimana, tocca una cella libera della griglia (es. Lun/Andata) -&gt; scegli 'Partner'</t>
  </si>
  <si>
    <t xml:space="preserve">Toast 'Assegnato!'; solo quella cella (quel giorno e momento) mostra l'emoji/etichetta di Partner, le altre celle restano invariate</t>
  </si>
  <si>
    <t xml:space="preserve">TC-N61</t>
  </si>
  <si>
    <t xml:space="preserve">'Chi fa cosa?': l'opzione 'Altro' richiede un testo libero prima di confermare</t>
  </si>
  <si>
    <t xml:space="preserve">Tocca una cella della griglia 'Chi fa cosa?' -&gt; lascia vuoto il campo 'Altro' -&gt; osserva il pulsante OK</t>
  </si>
  <si>
    <t xml:space="preserve">Il pulsante OK resta disabilitato finche' il campo testo e' vuoto; digitando un nome si abilita</t>
  </si>
  <si>
    <t xml:space="preserve">TC-N62</t>
  </si>
  <si>
    <t xml:space="preserve">Vista Mese: 'Condividi {mese}' apre il pannello di creazione link e mostra l'URL dopo la conferma</t>
  </si>
  <si>
    <t xml:space="preserve">Account genitore di test con almeno una settimana in stagione nel mese visualizzato</t>
  </si>
  <si>
    <t xml:space="preserve">Nel Planner -&gt; Calendario (Vista Mese), tocca 'Condividi {mese}' -&gt; tocca 'Crea link'</t>
  </si>
  <si>
    <t xml:space="preserve">Si apre il pannello 'Condividi piano'; dopo la conferma compare l'URL del link pubblico con un pulsante 'Copia'</t>
  </si>
  <si>
    <t xml:space="preserve">TC-N63</t>
  </si>
  <si>
    <t xml:space="preserve">Un link creato compare in 'I tuoi link condivisi' e puo' essere revocato</t>
  </si>
  <si>
    <t xml:space="preserve">Account genitore di test, almeno un link di condivisione creato in questa sessione</t>
  </si>
  <si>
    <t xml:space="preserve">Dopo aver creato un link (vedi TC-N62), tocca 'Fatto' -&gt; individua la sezione 'I tuoi link condivisi' -&gt; tocca 'Revoca'</t>
  </si>
  <si>
    <t xml:space="preserve">Il link compare nell'elenco con etichetta e periodo; dopo 'Revoca' scompare dall'elenco e appare il toast 'Link revocato'</t>
  </si>
  <si>
    <t xml:space="preserve">TC-N64</t>
  </si>
  <si>
    <t xml:space="preserve">La pagina pubblica di condivisione con un token inesistente mostra 'Link non disponibile', senza richiedere login</t>
  </si>
  <si>
    <t xml:space="preserve">Nessun account necessario</t>
  </si>
  <si>
    <t xml:space="preserve">Vai su /share/planner/token-inesistente-di-prova senza essere autenticato</t>
  </si>
  <si>
    <t xml:space="preserve">La pagina mostra 'Link non disponibile' e non reindirizza al login (route pubblica, RPC security definer get_shared_plan_meta)</t>
  </si>
  <si>
    <t xml:space="preserve">TC-N65</t>
  </si>
  <si>
    <t xml:space="preserve">'Chi fa cosa?': giorni diversi della stessa settimana possono avere responsabili diversi</t>
  </si>
  <si>
    <t xml:space="preserve">Account genitore di test con almeno una settimana coperta e almeno 2 celle libere nella griglia</t>
  </si>
  <si>
    <t xml:space="preserve">Assegna una cella (es. Lun/Andata) a 'Partner' -&gt; assegna un'altra cella (es. Mer/Ritorno) a 'Nonno'</t>
  </si>
  <si>
    <t xml:space="preserve">Le due celle mostrano etichette/emoji diverse e indipendenti; nessuna delle due sovrascrive l'altra</t>
  </si>
  <si>
    <t xml:space="preserve">TC-N66</t>
  </si>
  <si>
    <t xml:space="preserve">NEXTGEN - Family Planner (5.4)</t>
  </si>
  <si>
    <t xml:space="preserve">Vista Mappa: con attivita' prenotate mostra 'Le tue attivita' con distanza stimata</t>
  </si>
  <si>
    <t xml:space="preserve">Nel Planner, tocca 'Mappa'</t>
  </si>
  <si>
    <t xml:space="preserve">Compare la mappa (pin reali dai centri, quando hanno coordinate) e sotto l'elenco 'Le tue attivita'' con etichetta 'distanza stimata' per ciascuna riga</t>
  </si>
  <si>
    <t xml:space="preserve">TC-N67</t>
  </si>
  <si>
    <t xml:space="preserve">Vista Mappa: senza prenotazioni attive mostra lo stato vuoto</t>
  </si>
  <si>
    <t xml:space="preserve">Account genitore di test senza prenotazioni attive</t>
  </si>
  <si>
    <t xml:space="preserve">Compare il messaggio 'Prenota un'attivita' per vederla qui sulla mappa...' invece di una mappa vuota</t>
  </si>
  <si>
    <t xml:space="preserve">TC-N68</t>
  </si>
  <si>
    <t xml:space="preserve">Vista Mappa: toccare un'attivita' nell'elenco apre la scheda attivita'</t>
  </si>
  <si>
    <t xml:space="preserve">Nel Planner -&gt; Mappa, tocca una riga dell'elenco 'Le tue attivita''</t>
  </si>
  <si>
    <t xml:space="preserve">Si apre la scheda dell'attivita' corrispondente (/activity/[slug])</t>
  </si>
  <si>
    <t xml:space="preserve">TC-N69</t>
  </si>
  <si>
    <t xml:space="preserve">Promemoria: quando presenti, appaiono in Organizzazione sopra le Missioni, senza superare 4 elementi</t>
  </si>
  <si>
    <t xml:space="preserve">Apri il Planner in modalita' Organizzazione</t>
  </si>
  <si>
    <t xml:space="preserve">Se ci sono scadenze reali vicine (finestra di cancellazione, attivita' in arrivo, settimana prioritaria, sovrapposizione, budget vicino al target), compaiono come Promemoria sopra le Missioni, al massimo 4, senza errori di rendering</t>
  </si>
  <si>
    <t xml:space="preserve">TC-N70</t>
  </si>
  <si>
    <t xml:space="preserve">'Applica a tutta la settimana' assegna tutte le celle (5 giorni x andata/ritorno) in un colpo solo</t>
  </si>
  <si>
    <t xml:space="preserve">Nel riepilogo settimana del Calendario, tocca 'Applica a tutta la settimana' -&gt; scegli un'opzione (es. Nonna)</t>
  </si>
  <si>
    <t xml:space="preserve">Toast 'Assegnato a tutta la settimana!'; tutte le 10 celle (5 giorni x 2 momenti) del bambino risultano assegnate, nessuna resta 'Nessuno assegnato'</t>
  </si>
  <si>
    <t xml:space="preserve">TC-N71</t>
  </si>
  <si>
    <t xml:space="preserve">'Applica a tutta la settimana': deselezionare un bambino lo esclude dall'assegnazione rapida</t>
  </si>
  <si>
    <t xml:space="preserve">Account genitore di test con almeno 2 bambini coperti nella stessa settimana</t>
  </si>
  <si>
    <t xml:space="preserve">Nel riepilogo settimana, deseleziona un bambino dai chip sopra 'Applica a tutta la settimana' -&gt; scegli un'opzione</t>
  </si>
  <si>
    <t xml:space="preserve">L'assegnazione rapida si applica solo ai bambini rimasti selezionati; il bambino deselezionato non viene toccato</t>
  </si>
  <si>
    <t xml:space="preserve">TC-N72</t>
  </si>
  <si>
    <t xml:space="preserve">'Applica a tutta la settimana': deselezionando 'Ritorno' assegna solo Andata, lasciando Ritorno libero</t>
  </si>
  <si>
    <t xml:space="preserve">Account genitore di test con almeno una settimana coperta e celle libere</t>
  </si>
  <si>
    <t xml:space="preserve">Nel pannello 'Applica a tutta la settimana', deseleziona il chip 'Ritorno' -&gt; scegli un'opzione (es. Nonno)</t>
  </si>
  <si>
    <t xml:space="preserve">Toast 'Assegnato a tutta la settimana... (solo Andata)!'; solo le celle Andata (5 giorni) vengono assegnate, le celle Ritorno restano 'Nessuno assegnato'</t>
  </si>
  <si>
    <t xml:space="preserve">TC-N73</t>
  </si>
  <si>
    <t xml:space="preserve">NEXTGEN - Family Planner 5.5 (Profilo Famiglia)</t>
  </si>
  <si>
    <t xml:space="preserve">Il link 'Famiglia' e' raggiungibile dal Planner (Organizzazione)</t>
  </si>
  <si>
    <t xml:space="preserve">Da /nextgen/planner tocca il link 'Famiglia'</t>
  </si>
  <si>
    <t xml:space="preserve">Si apre /nextgen/planner/famiglia con la schermata crea/entra (o la famiglia gia' esistente)</t>
  </si>
  <si>
    <t xml:space="preserve">TC-N74</t>
  </si>
  <si>
    <t xml:space="preserve">Creare una famiglia mostra nome, codice invito e se stessi come 'Creatore'</t>
  </si>
  <si>
    <t xml:space="preserve">Account genitore di test senza famiglia</t>
  </si>
  <si>
    <t xml:space="preserve">Su /nextgen/planner/famiglia, inserisci un nome -&gt; 'Crea famiglia'</t>
  </si>
  <si>
    <t xml:space="preserve">Toast 'Famiglia creata!'; la pagina mostra il nome, un codice invito e il genitore come 'Creatore' con badge '(Tu)'</t>
  </si>
  <si>
    <t xml:space="preserve">TC-N75</t>
  </si>
  <si>
    <t xml:space="preserve">Un codice invito non valido mostra un errore chiaro</t>
  </si>
  <si>
    <t xml:space="preserve">Su /nextgen/planner/famiglia, inserisci un codice inesistente (es. ZZZZZZ) -&gt; 'Entra nella famiglia'</t>
  </si>
  <si>
    <t xml:space="preserve">Messaggio 'Codice non valido. Controlla e riprova.'; nessuna famiglia viene creata/associata</t>
  </si>
  <si>
    <t xml:space="preserve">TC-N76</t>
  </si>
  <si>
    <t xml:space="preserve">Copiare il codice invito mostra la conferma 'Copiato!'</t>
  </si>
  <si>
    <t xml:space="preserve">Account genitore di test gia' in una famiglia</t>
  </si>
  <si>
    <t xml:space="preserve">Su /nextgen/planner/famiglia, tocca 'Copia' accanto al codice invito</t>
  </si>
  <si>
    <t xml:space="preserve">Il pulsante mostra 'Copiato!' per qualche secondo e il codice e' negli appunti</t>
  </si>
  <si>
    <t xml:space="preserve">TC-N77</t>
  </si>
  <si>
    <t xml:space="preserve">Uscire dalla famiglia richiede conferma e torna alla schermata crea/entra</t>
  </si>
  <si>
    <t xml:space="preserve">Su /nextgen/planner/famiglia, tocca 'Esci dalla famiglia' -&gt; conferma 'Si, esci'</t>
  </si>
  <si>
    <t xml:space="preserve">Toast 'Hai lasciato la famiglia'; la pagina torna a mostrare 'Crea famiglia'/'Entra con un codice invito'</t>
  </si>
  <si>
    <t xml:space="preserve">TC-N78</t>
  </si>
  <si>
    <t xml:space="preserve">NEXTGEN - Family Planner 5.6 (Vista Gruppi)</t>
  </si>
  <si>
    <t xml:space="preserve">La scheda 'Gruppi' del Planner mostra le sezioni Community e Gruppi sconto</t>
  </si>
  <si>
    <t xml:space="preserve">Da /nextgen/planner tocca la scheda 'Gruppi'</t>
  </si>
  <si>
    <t xml:space="preserve">Sono visibili le due sezioni 'Le tue Community' e 'I tuoi Gruppi sconto'</t>
  </si>
  <si>
    <t xml:space="preserve">TC-N79</t>
  </si>
  <si>
    <t xml:space="preserve">Senza Community ne' Gruppi, la scheda mostra gli stati vuoti con CTA</t>
  </si>
  <si>
    <t xml:space="preserve">Account genitore di test senza Community e senza Gruppi</t>
  </si>
  <si>
    <t xml:space="preserve">Messaggio di stato vuoto per Community con CTA 'Crea o entra' -&gt; /nextgen/community</t>
  </si>
  <si>
    <t xml:space="preserve">TC-N80</t>
  </si>
  <si>
    <t xml:space="preserve">Toccare una card Community apre il suo dettaglio reale</t>
  </si>
  <si>
    <t xml:space="preserve">Account genitore di test gia' in almeno una Community</t>
  </si>
  <si>
    <t xml:space="preserve">Nella scheda 'Gruppi', tocca una card sotto 'Le tue Community'</t>
  </si>
  <si>
    <t xml:space="preserve">Si apre /nextgen/community/[id], il dettaglio reale della Community</t>
  </si>
  <si>
    <t xml:space="preserve">TC-N81</t>
  </si>
  <si>
    <t xml:space="preserve">Una Community con proposte attive mostra il badge 'pronta per un Gruppo'</t>
  </si>
  <si>
    <t xml:space="preserve">Account genitore di test in una Community con almeno una proposta attiva</t>
  </si>
  <si>
    <t xml:space="preserve">Nella scheda 'Gruppi', osserva la card della Community con proposte</t>
  </si>
  <si>
    <t xml:space="preserve">E' visibile un badge tipo 'N proposta/e pronta/e per un Gruppo'</t>
  </si>
  <si>
    <t xml:space="preserve">TC-N82</t>
  </si>
  <si>
    <t xml:space="preserve">NEXTGEN - Ricerca 5.7 (filtri + Vista Mappa)</t>
  </si>
  <si>
    <t xml:space="preserve">Il pannello 'Prezzo' e' raggiungibile e il tetto massimo riduce i risultati</t>
  </si>
  <si>
    <t xml:space="preserve">Account genitore di test, almeno un'attivita' con prezzo &gt; 50/settimana</t>
  </si>
  <si>
    <t xml:space="preserve">Da /nextgen/search tocca il chip 'Prezzo' -&gt; trascina lo slider al minimo (50)</t>
  </si>
  <si>
    <t xml:space="preserve">Il conteggio 'X attivita' trovate' cambia rispetto a prima; il pulsante 'Azzera' diventa attivo</t>
  </si>
  <si>
    <t xml:space="preserve">TC-N83</t>
  </si>
  <si>
    <t xml:space="preserve">Il filtro Servizi 'Bar nel centro' mostra solo centri con bar</t>
  </si>
  <si>
    <t xml:space="preserve">Da /nextgen/search tocca il chip 'Servizi' -&gt; seleziona 'Bar nel centro'</t>
  </si>
  <si>
    <t xml:space="preserve">Il pulsante 'Azzera' diventa attivo; il conteggio risultati e' coerente col filtro</t>
  </si>
  <si>
    <t xml:space="preserve">TC-N84</t>
  </si>
  <si>
    <t xml:space="preserve">Selezionare una categoria in 'Tipo attivita' aggiorna il conteggio nel chip</t>
  </si>
  <si>
    <t xml:space="preserve">Da /nextgen/search tocca il chip 'Tipo attivita' -&gt; seleziona una categoria</t>
  </si>
  <si>
    <t xml:space="preserve">Il chip mostra 'Tipo attivita (1)'; il pulsante 'Azzera' diventa attivo</t>
  </si>
  <si>
    <t xml:space="preserve">TC-N85</t>
  </si>
  <si>
    <t xml:space="preserve">Selezionare una settimana nel pannello 'Data' aggiorna l'etichetta del chip</t>
  </si>
  <si>
    <t xml:space="preserve">Da /nextgen/search tocca il chip 'Date' -&gt; seleziona 'Settimana 1'</t>
  </si>
  <si>
    <t xml:space="preserve">Il chip mostra 'Settimana 1'; il pulsante 'Azzera' diventa attivo</t>
  </si>
  <si>
    <t xml:space="preserve">TC-N86</t>
  </si>
  <si>
    <t xml:space="preserve">'Azzera' ripristina il conteggio non filtrato</t>
  </si>
  <si>
    <t xml:space="preserve">Applica il filtro Prezzo al minimo -&gt; tocca 'Azzera'</t>
  </si>
  <si>
    <t xml:space="preserve">Il conteggio risultati torna uguale a quello iniziale (prima di applicare il filtro)</t>
  </si>
  <si>
    <t xml:space="preserve">TC-N87</t>
  </si>
  <si>
    <t xml:space="preserve">Il toggle 'Mappa' mostra la vista mappa al posto della lista</t>
  </si>
  <si>
    <t xml:space="preserve">Da /nextgen/search tocca il toggle 'Mappa' in alto a destra</t>
  </si>
  <si>
    <t xml:space="preserve">Si vede la mappa (o il messaggio 'Nessuna attivita con coordinate' se nessuna ha lat/lng); tornando su 'Lista' si rivede il conteggio</t>
  </si>
  <si>
    <t xml:space="preserve">TC-196</t>
  </si>
  <si>
    <t xml:space="preserve">Il dettaglio attivita mostra il badge 'Accesso disabili' coerente col centro</t>
  </si>
  <si>
    <t xml:space="preserve">Attivita di test il cui centro abbia accessible=true</t>
  </si>
  <si>
    <t xml:space="preserve">Apri /activity/[slug] di un'attivita il cui centro e' accessibile</t>
  </si>
  <si>
    <t xml:space="preserve">Il badge 'Accesso disabili' compare colorato/attivo tra i Servizi disponibili</t>
  </si>
  <si>
    <t xml:space="preserve">test.fixme - richiede seed con centers.accessible=true, non garantito dal seed attuale</t>
  </si>
  <si>
    <t xml:space="preserve">TC-197</t>
  </si>
  <si>
    <t xml:space="preserve">Il dettaglio attivita mostra le chips 'Diete e intolleranze gestite' quando presenti</t>
  </si>
  <si>
    <t xml:space="preserve">Attivita di test con dietary_options non vuoto</t>
  </si>
  <si>
    <t xml:space="preserve">Apri /activity/[slug] di un'attivita con diete/intolleranze dichiarate</t>
  </si>
  <si>
    <t xml:space="preserve">Sotto i Servizi disponibili compare la sezione 'Diete e intolleranze gestite' con una chip per ciascuna dieta; sezione assente se l'elenco e' vuoto</t>
  </si>
  <si>
    <t xml:space="preserve">test.fixme - richiede seed con activities.dietary_options non vuoto, non garantito dal seed attuale</t>
  </si>
  <si>
    <t xml:space="preserve">TC-198</t>
  </si>
  <si>
    <t xml:space="preserve">Il gestore puo' flaggare 'Accesso disabili' e le diete/intolleranze gestite</t>
  </si>
  <si>
    <t xml:space="preserve">Account Gestore collegato a un centro</t>
  </si>
  <si>
    <t xml:space="preserve">Apri /center/activities -&gt; Modifica scheda -&gt; spunta 'Il centro e' accessibile alle persone con disabilita'' + una dieta -&gt; Salva</t>
  </si>
  <si>
    <t xml:space="preserve">Il salvataggio scrive su centers.accessible/accessible_note e activities.dietary_options; messaggio 'Salvato su Supabase' visibile</t>
  </si>
  <si>
    <t xml:space="preserve">TC-199</t>
  </si>
  <si>
    <t xml:space="preserve">Il gestore puo' flaggare 'Accessibilita' dal Profilo centro</t>
  </si>
  <si>
    <t xml:space="preserve">Vai su /center/profile -&gt; sezione 'Accessibilita' -&gt; spunta il checkbox -&gt; Salva</t>
  </si>
  <si>
    <t xml:space="preserve">Il valore centers.accessible=true si riflette nel badge 'Accesso disabili' lato genitore (vedi TC-196)</t>
  </si>
  <si>
    <t xml:space="preserve">TC-200</t>
  </si>
  <si>
    <t xml:space="preserve">Il gestore puo' inviare una richiesta di Certificazione servizio</t>
  </si>
  <si>
    <t xml:space="preserve">Apri /center/activities -&gt; Modifica scheda -&gt; sezione 'Certificazioni servizio' -&gt; scrivi un'etichetta libera -&gt; Invia richiesta</t>
  </si>
  <si>
    <t xml:space="preserve">La richiesta compare nell'elenco con stato 'In verifica'; resta pending finche' un Admin piattaforma non la revisiona (vedi TC-201)</t>
  </si>
  <si>
    <t xml:space="preserve">TC-201</t>
  </si>
  <si>
    <t xml:space="preserve">Admin - Certificazioni servizio</t>
  </si>
  <si>
    <t xml:space="preserve">L'Admin approva una richiesta di Certificazione servizio</t>
  </si>
  <si>
    <t xml:space="preserve">Almeno una richiesta di Certificazione in stato 'pending' (vedi TC-200)</t>
  </si>
  <si>
    <t xml:space="preserve">Login Admin -&gt; /admin/certifications -&gt; 'Approva' sulla richiesta di test</t>
  </si>
  <si>
    <t xml:space="preserve">La richiesta passa in 'Approvata' e sparisce dalla sezione 'In attesa'; da quel momento il badge compare nel dettaglio attivita lato genitore (vedi TC-202)</t>
  </si>
  <si>
    <t xml:space="preserve">test.fixme - richiede orchestrare due ruoli/sessioni diversi nello stesso test</t>
  </si>
  <si>
    <t xml:space="preserve">TC-202</t>
  </si>
  <si>
    <t xml:space="preserve">Il dettaglio attivita mostra solo le Certificazioni approvate</t>
  </si>
  <si>
    <t xml:space="preserve">Attivita con almeno una Certificazione servizio con status='approved' (vedi TC-200/TC-201)</t>
  </si>
  <si>
    <t xml:space="preserve">Apri /activity/[slug] dell'attivita certificata</t>
  </si>
  <si>
    <t xml:space="preserve">Compare la sezione 'Certificazioni' con un badge per etichetta; le richieste ancora 'pending' o 'rejected' NON compaiono</t>
  </si>
  <si>
    <t xml:space="preserve">test.fixme - richiede una certificazione gia' approvata, non garantita dal seed attuale</t>
  </si>
  <si>
    <t xml:space="preserve">TC-203</t>
  </si>
  <si>
    <t xml:space="preserve">L'Admin rifiuta una richiesta con una nota motivazionale</t>
  </si>
  <si>
    <t xml:space="preserve">Come TC-201</t>
  </si>
  <si>
    <t xml:space="preserve">Login Admin -&gt; /admin/certifications -&gt; scrivi una nota nel campo facoltativo -&gt; 'Rifiuta'</t>
  </si>
  <si>
    <t xml:space="preserve">La richiesta passa in 'Rifiutata'; la nota inserita compare poi nello Storico lato Gestore (ActivityEditForm.tsx mostra 'Motivo: ...' solo per status=rejected)</t>
  </si>
  <si>
    <t xml:space="preserve">test.fixme - stesso limite di TC-201</t>
  </si>
  <si>
    <t xml:space="preserve">TC-N88</t>
  </si>
  <si>
    <t xml:space="preserve">NextgenBottomNav include Prenotazioni e Profilo (pagine LEGACY condivise)</t>
  </si>
  <si>
    <t xml:space="preserve">Login Genitore -&gt; qualsiasi pagina /nextgen -&gt; tocca 'Prenotazioni' poi torna su /nextgen e tocca 'Profilo' nella barra in basso</t>
  </si>
  <si>
    <t xml:space="preserve">'Prenotazioni' naviga a /prenotazioni; 'Profilo' naviga a /profile (entrambe pagine LEGACY condivise, non ancora duplicate sotto /nextgen)</t>
  </si>
  <si>
    <t xml:space="preserve">REBRAND TRAMA Sprint 1 - bottom nav NEXTGEN passata da 3/4 a 5 voci (Home/Planner/Scopri/Prenotazioni/Profilo) per allinearsi al mockup TRAMA (Dev Handoff sez. 11.4a). Le ultime due puntano a rotte LEGACY esistenti - tradeoff concordato con Fabrizio finche' non avranno una schermata NEXTGEN dedicata.</t>
  </si>
  <si>
    <t xml:space="preserve">TC-204</t>
  </si>
  <si>
    <t xml:space="preserve">TRAMA - Login</t>
  </si>
  <si>
    <t xml:space="preserve">L'header animato e i campi email/password compaiono sulla stessa schermata</t>
  </si>
  <si>
    <t xml:space="preserve">Nessuna (prima visita di /auth/login nella sessione browser, tenant famiglia)</t>
  </si>
  <si>
    <t xml:space="preserve">Apri /auth/login per la prima volta in questa sessione</t>
  </si>
  <si>
    <t xml:space="preserve">Compaiono in sequenza i 5 fili intrecciati, il wordmark TRAMA, la tagline 'Organizing childhood. Together.' e SUBITO SOTTO, sulla stessa schermata, i campi email/password e il bottone 'Accedi'</t>
  </si>
  <si>
    <t xml:space="preserve">REBRAND TRAMA Sprint 2 (rivisto) - components/TramaLoginHeader.tsx, montato da LoginForm.tsx solo per tenant 'family'. Corretto rispetto alla prima versione: niente più uno step 'intro' separato con CTA proprie, i campi sono sempre sulla stessa pagina (richiesta di Fabrizio, con screenshot).</t>
  </si>
  <si>
    <t xml:space="preserve">TC-205</t>
  </si>
  <si>
    <t xml:space="preserve">L'animazione di ingresso riparte a ogni visita di /auth/login, non solo la prima</t>
  </si>
  <si>
    <t xml:space="preserve">Come TC-204</t>
  </si>
  <si>
    <t xml:space="preserve">Visita /auth/login una prima volta (nota la classe CSS 'trama-mark-in' sul logo), poi rivisita /auth/login nella stessa sessione browser</t>
  </si>
  <si>
    <t xml:space="preserve">In entrambe le visite il logo/wordmark/tagline si animano di nuovo dall'inizio (classe 'trama-mark-in' presente ogni volta); il form resta comunque subito interagibile</t>
  </si>
  <si>
    <t xml:space="preserve">REBRAND TRAMA Sprint 2 (rivisto 2 volte) - su richiesta di Fabrizio l'animazione NON e' piu' 'una tantum per sessione' (si discosta qui dal Dev Handoff sez. 9): riparte a ogni caricamento della pagina. LoginForm.tsx#animateHeader e' ora un valore derivato da tenant, non piu' stato/sessionStorage.</t>
  </si>
  <si>
    <t xml:space="preserve">TC-206</t>
  </si>
  <si>
    <t xml:space="preserve">Passando a 'Registrati' l'header animato resta sopra i campi, sulla stessa schermata</t>
  </si>
  <si>
    <t xml:space="preserve">Tocca 'Non hai un account? Registrati' in fondo al form</t>
  </si>
  <si>
    <t xml:space="preserve">Il form di registrazione compare (campo 'Codice invito (opzionale)', bottone 'Registrati'), con l'header TRAMA sempre visibile sopra, senza cambio di pagina</t>
  </si>
  <si>
    <t xml:space="preserve">REBRAND TRAMA Sprint 2 - il toggle login/registrazione e' comportamento preesistente, qui verificato in combinazione con l'header TRAMA.</t>
  </si>
  <si>
    <t xml:space="preserve">TC-207</t>
  </si>
  <si>
    <t xml:space="preserve">Un link con ?invite= mostra subito il form di registrazione, con l'header sopra</t>
  </si>
  <si>
    <t xml:space="preserve">Un codice invito (anche non valido, non serve verificarlo qui)</t>
  </si>
  <si>
    <t xml:space="preserve">Apri /auth/login?invite=CODICE</t>
  </si>
  <si>
    <t xml:space="preserve">Il form di registrazione (con 'Registrati') compare subito, con l'header TRAMA (wordmark) sopra, tutto sulla stessa schermata</t>
  </si>
  <si>
    <t xml:space="preserve">REBRAND TRAMA Sprint 2 - coerente con TC-127 (tests/gestore/invites.spec.ts), gia' verificato che ?invite= mostra subito 'Crea un account'.</t>
  </si>
  <si>
    <t xml:space="preserve">TC-208</t>
  </si>
  <si>
    <t xml:space="preserve">Le card di lista/ricerca mostrano il badge di Certificazione servizio</t>
  </si>
  <si>
    <t xml:space="preserve">Apri Cerca/Home con l'attivita certificata tra i risultati</t>
  </si>
  <si>
    <t xml:space="preserve">La card mostra il badge di certificazione (icona + etichetta su ActivityCard, icona su ActivityCardHorizontal)</t>
  </si>
  <si>
    <t xml:space="preserve">Segnalazione di Fabrizio ('non vedo ancora i badge di certificazione sulle schede dei centri') - getActivities() ora carica in blocco le certificazioni approvate e ActivityCard/ActivityCardHorizontal mostrano il badge. test.fixme - come TC-202, richiede una certificazione gia' approvata, non garantita dal seed attuale.</t>
  </si>
  <si>
    <t xml:space="preserve">TC-209</t>
  </si>
  <si>
    <t xml:space="preserve">Le card di lista/ricerca mostrano il badge Accesso disabili</t>
  </si>
  <si>
    <t xml:space="preserve">Attivita il cui centro abbia accessible=true (vedi TC-196)</t>
  </si>
  <si>
    <t xml:space="preserve">Apri Cerca/Home con l'attivita tra i risultati</t>
  </si>
  <si>
    <t xml:space="preserve">La card mostra il badge "Accesso disabili" (etichetta su ActivityCard, icona sedia a rotelle su ActivityCardHorizontal)</t>
  </si>
  <si>
    <t xml:space="preserve">Segnalazione di Fabrizio (screenshot): badge disabili assente dalla card - dato gia' presente in Activity (centerAccessible), mancava solo il rendering. test.fixme - come TC-196, richiede seed con centers.accessible=true, non garantito dal seed attuale.</t>
  </si>
  <si>
    <t xml:space="preserve">TC-210</t>
  </si>
  <si>
    <t xml:space="preserve">Le card di lista/ricerca mostrano il badge Diete gestite</t>
  </si>
  <si>
    <t xml:space="preserve">Attivita con dietary_options non vuoto (vedi TC-197)</t>
  </si>
  <si>
    <t xml:space="preserve">La card mostra il badge "Diete gestite" (etichetta su ActivityCard, icona insalata su ActivityCardHorizontal)</t>
  </si>
  <si>
    <t xml:space="preserve">Segnalazione di Fabrizio (screenshot): badge diete assente dalla card - dato gia' presente in Activity (dietaryOptions), mancava solo il rendering. test.fixme - come TC-197, richiede seed con activities.dietary_options non vuoto, non garantito dal seed attuale.</t>
  </si>
  <si>
    <t xml:space="preserve">TC-211</t>
  </si>
  <si>
    <t xml:space="preserve">Un tag selezionato dal gestore compare come pill su card e dettaglio lato genitore</t>
  </si>
  <si>
    <t xml:space="preserve">Login Gestore + Login Genitore (stesso account di test)</t>
  </si>
  <si>
    <t xml:space="preserve">Da Gestore, seleziona un tag sulla scheda attivita di test e salva -&gt; da Genitore, apri la card/dettaglio della stessa attivita</t>
  </si>
  <si>
    <t xml:space="preserve">Il tag scelto compare come pill colorata sia sulla card (Cerca/Home) sia nel dettaglio attivita</t>
  </si>
  <si>
    <t xml:space="preserve">Segnalazione di Fabrizio (screenshot): i tag scelti nell'editor non comparivano ne' in card ne' in dettaglio - causa: i pill leggevano da colonna 'pills' mai popolata, scollegata dal vero selettore Tag (activity_tags). Ora costruiti dal join reale coi colori hex dei tag; dettaglio attivita aveva la sezione mancante del tutto. test.fixme - richiede due ruoli/sessioni nello stesso test, come TC-201/TC-202.</t>
  </si>
  <si>
    <t xml:space="preserve">TC-212</t>
  </si>
  <si>
    <t xml:space="preserve">Invio richiesta di Certificazione con documento allegato non fallisce per RLS</t>
  </si>
  <si>
    <t xml:space="preserve">Account Gestore collegato a un centro, bucket storage buddykids-certifications creato</t>
  </si>
  <si>
    <t xml:space="preserve">In /center/activities/[id], compila etichetta, allega un documento (PDF/JPG/PNG/WEBP), clicca Invia richiesta</t>
  </si>
  <si>
    <t xml:space="preserve">La richiesta viene creata (badge "In verifica"), nessun errore "new row violates row-level security policy"</t>
  </si>
  <si>
    <t xml:space="preserve">BUG CORRETTO: activity.centerId (passato come cartella del path storage) e' lo SLUG del centro, non l'uuid reale richiesto dalla policy RLS del bucket buddykids-certifications (confronta storage.foldername(name)[1] con public.current_center_id(), un uuid) - falliva sempre allegando un file. Fix: nuovo campo Activity.centerDbId (uuid reale, lib/types.ts + lib/data/activities.ts), usato ora da ActivityEditForm al posto di centerId. test.fixme - come TC-117, richiede un browser reale per l'input file.</t>
  </si>
  <si>
    <t xml:space="preserve">TC-213</t>
  </si>
  <si>
    <t xml:space="preserve">Home NEXTGEN dopo il restyle TRAMA mostra ancora tutte le sezioni chiave</t>
  </si>
  <si>
    <t xml:space="preserve">La pagina mostra ancora Hero Card ('Organizzata al N%') e CTA 'Apri Planner', nessun 'Application error'</t>
  </si>
  <si>
    <t xml:space="preserve">TRAMA Sprint 3: restyle SOLO visivo (colori/font ai token trama-* su Hero Card, sezione 'Oggi', 'Prossimo appuntamento', segnale community, 'Consigliati per voi', 'Attivita da confermare', CTA Planner, Match% su ActivityCard, NextgenBottomNav) - nessun testo/struttura cambiato. Test non verifica colori pixel (fragile in Playwright), solo che le sezioni chiave continuino a renderizzare senza errori.</t>
  </si>
  <si>
    <t xml:space="preserve">TC-214</t>
  </si>
  <si>
    <t xml:space="preserve">Titolo e sottotitolo della Dashboard Admin sono leggibili sullo sfondo navy</t>
  </si>
  <si>
    <t xml:space="preserve">Login Admin -&gt; /admin</t>
  </si>
  <si>
    <t xml:space="preserve">"Dashboard piattaforma" e il sottotitolo sono chiaramente leggibili (testo chiaro su sfondo navy), non piu' dello stesso colore dello sfondo</t>
  </si>
  <si>
    <t xml:space="preserve">REGRESSIONE segnalata da Fabrizio con screenshot (testo visibile solo selezionandolo): text-ink (#1A1D2E) sui titoli di TUTTE le pagine Admin coincideva esattamente con bg-navy (#1A1D2E) del pannello - stesso colore, testo invisibile. Bug limitato ai blocchi titolo/sottotitolo in cima a ogni pagina (fuori dalle card bg-white, dove text-ink resta corretto): app/admin/page.tsx, activities, bookings, presenze, richieste, preferiti, group-requests, analytics, centers, centers/[id], tags/TagsClient, certifications/CertificationsAdminClient, partner-offers/PartnerOffersAdminClient. Fix: text-white per i titoli, text-navy-text2 per i sottotitoli.</t>
  </si>
  <si>
    <t xml:space="preserve">TC-215</t>
  </si>
  <si>
    <t xml:space="preserve">TRAMA - Branding</t>
  </si>
  <si>
    <t xml:space="preserve">Sidebar Partner mostra il vero logo TRAMA (variante NAVY) al posto dell'emoji</t>
  </si>
  <si>
    <t xml:space="preserve">Account Gestore centro di test</t>
  </si>
  <si>
    <t xml:space="preserve">Login Gestore -&gt; /center, osserva l'header della sidebar (desktop)</t>
  </si>
  <si>
    <t xml:space="preserve">Compare il marchio TRAMA (immagine, variante navy) accanto a "Partner", non piu' l'emoji "🏫"</t>
  </si>
  <si>
    <t xml:space="preserve">Richiesta di Fabrizio con tavola brand kit ufficiale (loghi NAVY/WHITE ON NAVY): sul sito partner va usata la variante navy del logo, su admin quella white on navy. Asset generati da public/brand/trama-logo-mark.png (ricolorazione della sagoma, stessa forma/proporzioni) - vedi trama-logo-mark-navy.png/trama-logo-mark-white.png. Header emoji+testo sostituito in DashboardLayout.tsx (componente BrandMark), condiviso da sidebar desktop/barra mobile/drawer per Partner e Admin.</t>
  </si>
  <si>
    <t xml:space="preserve">TC-216</t>
  </si>
  <si>
    <t xml:space="preserve">Sidebar Admin mostra il vero logo TRAMA (variante WHITE) al posto dell'emoji</t>
  </si>
  <si>
    <t xml:space="preserve">Login Admin -&gt; /admin, osserva l'header della sidebar (desktop)</t>
  </si>
  <si>
    <t xml:space="preserve">Compare il marchio TRAMA (immagine, variante bianca) accanto a "Admin", leggibile sullo sfondo navy della sidebar, non piu' l'emoji "🛠️"</t>
  </si>
  <si>
    <t xml:space="preserve">Stesso fix di TC-215, variante white (leggibile su sfondo navy) invece di navy. Stesso logo usato anche nel badge di /auth/login (Partner/Admin) e nel widget demo RoleSwitcher.</t>
  </si>
  <si>
    <t xml:space="preserve">TC-217</t>
  </si>
  <si>
    <t xml:space="preserve">Lo spinner di caricamento e' monocromatico coerente col logo del pannello (Partner/Admin)</t>
  </si>
  <si>
    <t xml:space="preserve">Login Gestore o Admin</t>
  </si>
  <si>
    <t xml:space="preserve">Naviga cosi' da attivare la Suspense fallback (loading.tsx) di /center o /admin</t>
  </si>
  <si>
    <t xml:space="preserve">Lo spinner TRAMA e' navy (non a colori) su Partner; bianco su sfondo navy (senza disco bianco di appoggio) su Admin</t>
  </si>
  <si>
    <t xml:space="preserve">Richiesta di Fabrizio dopo il giro loghi Partner/Admin: lo spinner (prima sempre a colori, public/brand/trama-logo-mark.png) deve seguire il colore del marchio del pannello in cui compare. Nuova prop TramaSpinner.tone (color/navy/white). Ampliata anche l'escursione dell'animazione zoom+dissolvenza (0.7-&gt;1.15 invece di 0.88-&gt;1.08) su richiesta esplicita di uno zoom piu' marcato. test.fixme - loading.tsx e' una Suspense fallback transitoria, difficile da catturare in modo affidabile in Playwright senza throttling di rete.</t>
  </si>
  <si>
    <t xml:space="preserve">TC-218</t>
  </si>
  <si>
    <t xml:space="preserve">Colori viola/arancio allineati alla palette ufficiale (trama-violet/trama-orange) su tutte le schermate</t>
  </si>
  <si>
    <t xml:space="preserve">Apri Planner/Community/Famiglia NEXTGEN e le pagine Richieste/Gruppo Gestore+Admin</t>
  </si>
  <si>
    <t xml:space="preserve">Nessuna schermata usa piu' i vecchi colori pre-rebrand #5B4FE9 (viola) o #d4622a (arancio); tutte le pagine continuano a renderizzare correttamente</t>
  </si>
  <si>
    <t xml:space="preserve">Cambio puramente cromatico (nessuna modifica a struttura/testo), quindi niente nuovo test dedicato: la copertura esiste gia' nei test di rendering delle pagine toccate (tests/nextgen/planner.spec.ts, community.spec.ts, family-planner-5-*.spec.ts, tests/gestore/richieste.spec.ts, tests/admin/nuovi-pannelli.spec.ts - controllano che le pagine carichino senza 'Application error', sufficiente a intercettare un errore di build o una classe Tailwind rotta introdotta dalla sostituzione).</t>
  </si>
  <si>
    <t xml:space="preserve">TC-219</t>
  </si>
  <si>
    <t xml:space="preserve">Il manifest famiglia resta accessibile senza sessione (installabilita' PWA)</t>
  </si>
  <si>
    <t xml:space="preserve">Nessuna (deliberatamente NON autenticato)</t>
  </si>
  <si>
    <t xml:space="preserve">Richiedi /manifest-family.json senza sessione (es. Chrome che valuta l'installabilita' della PWA prima che l'utente abbia un account)</t>
  </si>
  <si>
    <t xml:space="preserve">Risposta 200 con JSON valido, NON un redirect a /auth/login</t>
  </si>
  <si>
    <t xml:space="preserve">BUG CORRETTO (segnalato da Fabrizio: "app genitori non gira il manifest, non riesco a installarla come app"): il gate di autenticazione del tenant famiglia in proxy.ts non escludeva /manifest*.json (a differenza del gate di ruolo per partner./admin., che lo fa gia') - un utente senza sessione otteneva un redirect HTML al login al posto del manifest JSON, e Chrome marcava la PWA come non installabile. Aggiunta la stessa esclusione anche al gate famiglia (+ /sw.js).</t>
  </si>
  <si>
    <t xml:space="preserve">TC-220</t>
  </si>
  <si>
    <t xml:space="preserve">Il marchio TRAMA e' centrato ovunque (Login/Home, spinner, icone PWA)</t>
  </si>
  <si>
    <t xml:space="preserve">Apri Login famiglia, uno spinner di caricamento, e le icone PWA (192/512) di famiglia/partner/admin</t>
  </si>
  <si>
    <t xml:space="preserve">Il disegno del marchio e' visivamente centrato nel proprio contenitore/canvas; icona Partner in tono navy su bianco, icona Admin in tono bianco su navy</t>
  </si>
  <si>
    <t xml:space="preserve">BUG CORRETTO (segnalato da Fabrizio con screenshot): il file sorgente public/brand/trama-logo-mark.png aveva il disegno NON centrato nel proprio canvas (margine sinistro 32px vs destro 61px) - un difetto del file esportato dal brand kit, non del codice. Qualunque componente che lo mostrasse 'centrato' (flex justify-center, calcolo icone PWA) risultava quindi visivamente decentrato. Fix: ritagliato il contenuto reale e reincollato centrato nello stesso canvas; tutte le varianti derivate (navy/white, icone PWA, favicon) rigenerate dal master corretto. Icone PWA Partner/Admin passate da 'a colori' a monocromatiche (navy/white) per coerenza con sidebar/spinner, su richiesta di Fabrizio. Verifica visiva: nessun test Playwright dedicato (colori/centratura pixel, fragile in Playwright).</t>
  </si>
  <si>
    <t xml:space="preserve">TC-221</t>
  </si>
  <si>
    <t xml:space="preserve">"Le presenze" e' una sezione a se in Profilo, separata da "Attivita"</t>
  </si>
  <si>
    <t xml:space="preserve">Apri /profile -&gt; osserva le sezioni sotto la testata</t>
  </si>
  <si>
    <t xml:space="preserve">Esiste una sezione "Presenze" distinta da "Attivita" (che contiene Le mie prenotazioni/Preferiti/Navetta), con la voce "Le presenze" che porta a /presenze</t>
  </si>
  <si>
    <t xml:space="preserve">Segnalazione di Fabrizio ("le presenze non ha senso nelle prenotazioni, nel nuovo tab specifico"): la nuova voce NON va messa nel gruppo "Attivita" insieme a Le mie prenotazioni (le prenotazioni sono il piano futuro, le presenze sono lo storico di cosa e' successo davvero) - ora e' una sezione a se, vedi app/(main)/profile/page.tsx e app/(main)/presenze/page.tsx.</t>
  </si>
  <si>
    <t xml:space="preserve">TC-222</t>
  </si>
  <si>
    <t xml:space="preserve">Genitori - Le presenze</t>
  </si>
  <si>
    <t xml:space="preserve">La pagina Le presenze mostra andamento nel tempo e riepilogo per bambino</t>
  </si>
  <si>
    <t xml:space="preserve">Login genitore, almeno un giorno di camp gia' trascorso per un figlio prenotato</t>
  </si>
  <si>
    <t xml:space="preserve">Apri /presenze</t>
  </si>
  <si>
    <t xml:space="preserve">Se ci sono giorni gia' trascorsi: grafico "Andamento nel tempo" + "Riepilogo per bambino" (presenze/ritardi/assenze e % per ciascun figlio); se nessun giorno e' trascorso: messaggio informativo. MAI la sezione "Ritardatari abituali" (quella e' solo lato Gestore, non ha senso per un genitore vedere il proprio figlio segnalato in quel modo, e non deve vedere altre famiglie).</t>
  </si>
  <si>
    <t xml:space="preserve">Versione GENITORE del Report presenze gia' esistente lato Gestore (TC-165/166), "opportunamente rivisto" su richiesta di Fabrizio: via il tasso per attivita' dell'intero centro e i ritardatari abituali (strumenti del gestore su ALTRE famiglie), al loro posto un riepilogo per figlio. Vedi lib/data/attendance-report.ts#getAttendanceReportForParent.</t>
  </si>
  <si>
    <t xml:space="preserve">TC-223</t>
  </si>
  <si>
    <t xml:space="preserve">Il banner di check-in sparisce del tutto (non solo si riduce) circa 3 ore dopo la risposta del genitore</t>
  </si>
  <si>
    <t xml:space="preserve">Prenotazione con settimana che copre oggi, check-in gia' risposto da almeno 3 ore</t>
  </si>
  <si>
    <t xml:space="preserve">Rispondi al check-in in Home, attendi 3 ore (CHECKIN_HIDE_AFTER_HOURS), ricarica la Home</t>
  </si>
  <si>
    <t xml:space="preserve">La card non compare piu' affatto in Home (prima si riduceva solo a un chip compatto e restava visibile tutto il giorno)</t>
  </si>
  <si>
    <t xml:space="preserve">Segnalazione di Fabrizio ("dopo un tot va tolto il banner"): getTodayCheckinsForParent() ora filtra via isCheckinStillVisible() (lib/data/checkin.ts) gli item risposti da piu' di CHECKIN_HIDE_AFTER_HOURS=3 ore, usando attendance_records.checkin_at (scritto solo da parentCheckinAction, mai dal gestore). TC-151/TC-179 restano validi: verificano SUBITO dopo la risposta, quindi ben dentro la soglia. Test Playwright ESCLUSO dall'automazione (test.fixme): richiederebbe attendere 3 ore reali o manipolare l'orologio contro un deploy reale, non affidabile - la soglia e' in una funzione pura, verificabile a colpo d'occhio nel codice.</t>
  </si>
  <si>
    <t xml:space="preserve">TC-224</t>
  </si>
  <si>
    <t xml:space="preserve">NEXTGEN - Restyle</t>
  </si>
  <si>
    <t xml:space="preserve">Il marchio TRAMA compare in alto a sinistra su ogni pagina NEXTGEN</t>
  </si>
  <si>
    <t xml:space="preserve">Apri /nextgen (Home: icona accanto a "Ciao [Nome]"), poi /nextgen/planner, /nextgen/search, /nextgen/community, /nextgen/planner/famiglia, /nextgen/planner/indirizzi (icona accanto al titolo pagina)</t>
  </si>
  <si>
    <t xml:space="preserve">In ogni pagina, accanto al titolo/saluto, e' visibile il marchio TRAMA A COLORI (non navy) — NON una barra fissa separata; il layout della pagina resta invariato sotto l'icona</t>
  </si>
  <si>
    <t xml:space="preserve">CORRETTO dopo il primo giro: il tentativo iniziale (barra fissa persistente, NextgenTopBar) e' stato SCARTATO da Fabrizio ("non voglio un banner fisso..vorrei una icona magari di fianco a 'Ciao Nome'") — componente rimosso, sostituito con l'icona inline accanto al titolo di ogni pagina (Home: dentro l'h1 in HomeDashboardClient.tsx; Planner/Ricerca/Famiglia/Indirizzi: components/PageHeader.tsx#showBrandIcon, opt-in cosi' LEGACY e l'account Gestore che condividono lo stesso componente restano invariati; Community: inline nell'h1, non usa PageHeader). REGOLA DI COLORE fissata da Fabrizio per tutti gli sprint successivi: icona A COLORI lato genitore (qui, /brand/trama-logo-mark.png — la prima versione usava per errore la variante -navy), navy lato gestore, bianca su navy lato admin (vedi DashboardLayout.tsx#BrandMark).</t>
  </si>
  <si>
    <t xml:space="preserve">TC-225</t>
  </si>
  <si>
    <t xml:space="preserve">Planner, Community e Ricerca usano la palette e la tipografia del rebrand TRAMA (non piu' solo la Home)</t>
  </si>
  <si>
    <t xml:space="preserve">Apri /nextgen/planner (tutte le 5 modalita': Organizzazione/Budget/Calendario/Mappa/Gruppi), /nextgen/community (lista e dettaglio), /nextgen/search — osserva titoli di sezione e pulsanti principali</t>
  </si>
  <si>
    <t xml:space="preserve">I titoli di sezione usano il font Poppins (come la Home dalla Sprint 3) e i pulsanti/azioni primarie (Salva, Crea, Entra, Condividi, Genera Gruppo, Mese/Settimana, ecc.) usano il viola del brand (trama-violet) invece del vecchio nero/ink; le legende multi-colore per bambino (Calendario) e i colori semantici (in ritardo/assente) NON sono stati toccati — servono a distinguere, non sono elementi di brand</t>
  </si>
  <si>
    <t xml:space="preserve">Segnalazione di Fabrizio ("procedi col resto", riferito al restyle sezioni rimanenti dopo la Home): solo la Home aveva ricevuto il trattamento Sprint 3 (Poppins + palette trama-*) — Planner e le sue 5 sotto-viste (PlannerClient/PlannerBudgetView/PlannerCalendarView/PlannerGroupsView), Community (lista+dettaglio) e Ricerca (SearchDiscoveryClient, la piu' indietro: 0 riferimenti trama-* prima di questo sprint) usavano ancora bg-ink/sky/orange/purple per CTA e titoli. Migrati: CTA primari bg-ink -&gt; bg-trama-violet (Salva budget, Crea/Entra community, Condividi proposta, Genera Gruppo, Crea link, OK assegnazione Chi-fa-cosa, ecc.), stato selezionato Mese/Settimana e filtri attivi in Ricerca sky -&gt; trama-violet, warning budget superato orange -&gt; trama-orange; titoli di sezione con font-poppins. VOLUTAMENTE non toccati: DOT_BG (legenda colori per bambino in PlannerCalendarView, kid.accentColor) e gli stati semantici presente/ritardo/assente (CheckinPrompt, NextgenCheckinCard) — sono codifica funzionale multi-colore, non elementi di brand, e rimapparli richiederebbe una decisione di design separata (rischio di rompere la distinguibilita' tra bambini/stati).</t>
  </si>
  <si>
    <t xml:space="preserve">TC-226</t>
  </si>
  <si>
    <t xml:space="preserve">I tab modalita del Planner mostrano una sfumatura quando ci sono altre modalita fuori schermo (es. Budget tagliato)</t>
  </si>
  <si>
    <t xml:space="preserve">Login genitore, viewport stretto (es. 375px)</t>
  </si>
  <si>
    <t xml:space="preserve">Apri /nextgen/planner, osserva la riga dei 5 tab modalita senza scorrere, poi scorrila fino in fondo</t>
  </si>
  <si>
    <t xml:space="preserve">Con contenuto fuori schermo compare una sfumatura sul bordo destro (e sinistro se scorso); la sfumatura sparisce quando non c e piu nulla da scorrere in quella direzione</t>
  </si>
  <si>
    <t xml:space="preserve">TC-227</t>
  </si>
  <si>
    <t xml:space="preserve">NEXTGEN - Planner Budget</t>
  </si>
  <si>
    <t xml:space="preserve">Superare il tetto di budget colora barra e testo di rosso (non piu arancione)</t>
  </si>
  <si>
    <t xml:space="preserve">Login genitore, tetto budget impostato e spesa reale sopra il tetto</t>
  </si>
  <si>
    <t xml:space="preserve">Apri /nextgen/planner, modalita Budget</t>
  </si>
  <si>
    <t xml:space="preserve">La barra di progresso e il testo "hai superato il budget" sono rossi (red-500), non piu arancione (trama-orange)</t>
  </si>
  <si>
    <t xml:space="preserve">TC-228</t>
  </si>
  <si>
    <t xml:space="preserve">PWA - Icone</t>
  </si>
  <si>
    <t xml:space="preserve">Le icone PWA (home screen) mostrano il marchio piu grande e prominente rispetto al riquadro</t>
  </si>
  <si>
    <t xml:space="preserve">Nessuna (verifica visuale statica degli asset)</t>
  </si>
  <si>
    <t xml:space="preserve">Ispezionare public/icon-*.png, icon-partner-*.png, icon-admin-*.png, apple-touch-icon*.png</t>
  </si>
  <si>
    <t xml:space="preserve">Il marchio occupa circa il 78% del riquadro (prima ~55%), stesso colore/sfondo per tenant di prima (colorato su bianco genitori, navy su bianco partner, bianco su navy admin)</t>
  </si>
  <si>
    <t xml:space="preserve">TC-229</t>
  </si>
  <si>
    <t xml:space="preserve">Login - Sfondo bianco</t>
  </si>
  <si>
    <t xml:space="preserve">Login genitori e Login partner hanno sfondo bianco puro dietro icona/claim; Login admin resta navy con il claim visibile</t>
  </si>
  <si>
    <t xml:space="preserve">Nessun login richiesto</t>
  </si>
  <si>
    <t xml:space="preserve">Apri /auth/login su tenant famiglia (default)</t>
  </si>
  <si>
    <t xml:space="preserve">Sfondo bianco puro (bg-white, rgb(255,255,255)) dietro l'header animato; il claim "Organizing childhood. Together." e' visibile. Partner/Admin verificati a livello di codice (LoginForm.tsx) - vedi TC-209 (fixme, richiede hostname multipli)</t>
  </si>
  <si>
    <t xml:space="preserve">TC-230</t>
  </si>
  <si>
    <t xml:space="preserve">PWA - Splash screen iOS</t>
  </si>
  <si>
    <t xml:space="preserve">Ogni tenant (genitori/NEXTGEN/partner/admin) ha uno splash screen iOS personalizzato con icona, wordmark e claim</t>
  </si>
  <si>
    <t xml:space="preserve">Nessuno (verifica statica + tag link nello head)</t>
  </si>
  <si>
    <t xml:space="preserve">Ispezionare public/splash/*.png e i tag apple-touch-startup-image generati da lib/tenant.ts (splashLinks) in ogni layout</t>
  </si>
  <si>
    <t xml:space="preserve">Sfondo bianco (genitori/NEXTGEN/partner) o navy (admin) con icona, wordmark TRAMA e claim centrati; 6 dimensioni per tenant coprono i modelli iPhone piu diffusi; Android non supporta uno splash personalizzato equivalente (solo icona+colore da manifest, gia impostato)</t>
  </si>
  <si>
    <t xml:space="preserve">TC-231</t>
  </si>
  <si>
    <t xml:space="preserve">NEXTGEN - Planner Logistica</t>
  </si>
  <si>
    <t xml:space="preserve">Il Planner mostra un solo link 'Logistica &amp; Famiglia' invece dei 3 link separati ripetuti sotto ogni modalita</t>
  </si>
  <si>
    <t xml:space="preserve">Apri /nextgen/planner in una qualsiasi modalita (Organizzazione/Calendario/Mappa/Budget/Gruppi)</t>
  </si>
  <si>
    <t xml:space="preserve">In fondo compare solo il link 'Logistica &amp; Famiglia' (icona bussola); i vecchi link 'Indirizzi di famiglia'/'Famiglia'/'Gestisci prenotazioni' non compaiono piu qui</t>
  </si>
  <si>
    <t xml:space="preserve">TC-232</t>
  </si>
  <si>
    <t xml:space="preserve">NEXTGEN - Hub Logistica</t>
  </si>
  <si>
    <t xml:space="preserve">L'hub /nextgen/planner/logistica mostra 4 card verso Indirizzi, Famiglia, Condivisione piano e Le tue prenotazioni</t>
  </si>
  <si>
    <t xml:space="preserve">Apri /nextgen/planner/logistica</t>
  </si>
  <si>
    <t xml:space="preserve">4 card visibili con titolo e sottotitolo esplicativo; ognuna porta alla pagina corretta (Indirizzi/Famiglia -&gt; pagine esistenti; Condivisione piano -&gt; /nextgen/planner?mode=calendario; Le tue prenotazioni -&gt; /prenotazioni)</t>
  </si>
  <si>
    <t xml:space="preserve">TC-233</t>
  </si>
  <si>
    <t xml:space="preserve">NEXTGEN - Deep link modalita Planner</t>
  </si>
  <si>
    <t xml:space="preserve">Aprire /nextgen/planner?mode=calendario seleziona direttamente la modalita Calendario</t>
  </si>
  <si>
    <t xml:space="preserve">Apri /nextgen/planner/logistica, clicca 'Condivisione piano'</t>
  </si>
  <si>
    <t xml:space="preserve">Si apre /nextgen/planner?mode=calendario e la vista mostra subito il selettore Mese/Settimana del Calendario, senza dover ricliccare il tab</t>
  </si>
  <si>
    <t xml:space="preserve">TC-234</t>
  </si>
  <si>
    <t xml:space="preserve">NEXTGEN - Planner Organizzazione</t>
  </si>
  <si>
    <t xml:space="preserve">Promemoria e Missioni mostrano un solo avviso di default (il piu urgente), con 'Mostra tutti' per il resto</t>
  </si>
  <si>
    <t xml:space="preserve">Login genitore, con almeno 2 avvisi (promemoria+missioni) attivi</t>
  </si>
  <si>
    <t xml:space="preserve">Apri /nextgen/planner in modalita Organizzazione</t>
  </si>
  <si>
    <t xml:space="preserve">E' visibile un solo banner avviso + link 'Mostra tutti (N)'; cliccandolo compaiono tutti gli avvisi e il link diventa 'Mostra meno'</t>
  </si>
  <si>
    <t xml:space="preserve">TC-235</t>
  </si>
  <si>
    <t xml:space="preserve">La barra di copertura di un bambino, cliccata, mostra il dettaglio settimana per settimana di quel bambino</t>
  </si>
  <si>
    <t xml:space="preserve">Login genitore, 2+ bambini</t>
  </si>
  <si>
    <t xml:space="preserve">Apri /nextgen/planner, clicca la barra di un bambino in 'Copertura per bambino'</t>
  </si>
  <si>
    <t xml:space="preserve">Si apre un riquadro con un chip per ogni settimana stagionale (verde se coperta per quel bambino, grigio se no); ricliccando la barra il riquadro si richiude</t>
  </si>
  <si>
    <t xml:space="preserve">TC-236</t>
  </si>
  <si>
    <t xml:space="preserve">'Stato per settimana' (striscia colorata) e' visibile e cliccabile in Organizzazione</t>
  </si>
  <si>
    <t xml:space="preserve">Apri /nextgen/planner, individua la sezione 'Stato per settimana', clicca una barra</t>
  </si>
  <si>
    <t xml:space="preserve">La pagina scorre fino alla riga di quella settimana nella Timeline sottostante e la evidenzia per circa 1.5s con un anello viola</t>
  </si>
  <si>
    <t xml:space="preserve">TC-237</t>
  </si>
  <si>
    <t xml:space="preserve">NEXTGEN - Planner, Calendario collassato</t>
  </si>
  <si>
    <t xml:space="preserve">Il Planner ha 4 modalita (non piu 5): Calendario e' un riquadro pieghevole dentro Organizzazione</t>
  </si>
  <si>
    <t xml:space="preserve">Apri /nextgen/planner: osserva la barra dei tab in alto, poi clicca il riquadro 'Calendario' dentro Organizzazione</t>
  </si>
  <si>
    <t xml:space="preserve">La barra tab mostra solo Organizzazione/Mappa/Budget/Gruppi; il riquadro 'Calendario' (stesso nome del vecchio tab) si espande mostrando Mese/Settimana/Chi fa cosa/Condivisione piano invariati, senza cambiare modalita</t>
  </si>
  <si>
    <t xml:space="preserve">TC-238</t>
  </si>
  <si>
    <t xml:space="preserve">NEXTGEN - Planner Mappa</t>
  </si>
  <si>
    <t xml:space="preserve">La mappa e' piu piccola (200px) e il pin cliccato viene evidenziato (viola, piu grande)</t>
  </si>
  <si>
    <t xml:space="preserve">Login genitore, attivita prenotate con coordinate</t>
  </si>
  <si>
    <t xml:space="preserve">Apri /nextgen/planner, modalita Mappa, clicca un pin</t>
  </si>
  <si>
    <t xml:space="preserve">La mappa occupa un riquadro compatto (~200px); il pin cliccato diventa un cerchio viola piu grande degli altri pin</t>
  </si>
  <si>
    <t xml:space="preserve">TC-239</t>
  </si>
  <si>
    <t xml:space="preserve">Selezionare un'attivita (da mappa o da lista) mostra una scheda sintetica con Apri scheda/Avvia navigazione</t>
  </si>
  <si>
    <t xml:space="preserve">Login genitore, attivita prenotate con coordinate e indirizzo</t>
  </si>
  <si>
    <t xml:space="preserve">Apri /nextgen/planner, modalita Mappa, clicca un'attivita nella lista</t>
  </si>
  <si>
    <t xml:space="preserve">Sotto la mappa compare una scheda con nome, indirizzo, distanza stimata e i due pulsanti 'Apri scheda' e 'Avvia navigazione' (quest'ultimo solo se c'e un indirizzo)</t>
  </si>
  <si>
    <t xml:space="preserve">TC-240</t>
  </si>
  <si>
    <t xml:space="preserve">Senza selezione, la lista di tutte le attivita resta visibile sotto la mappa</t>
  </si>
  <si>
    <t xml:space="preserve">Login genitore, attivita prenotate</t>
  </si>
  <si>
    <t xml:space="preserve">Apri /nextgen/planner, modalita Mappa (nessun pin ancora cliccato), poi chiudi una scheda con la X</t>
  </si>
  <si>
    <t xml:space="preserve">Di default (o dopo aver chiuso la scheda) e' visibile la lista 'Le tue attivita' con distanza stimata per riga</t>
  </si>
  <si>
    <t xml:space="preserve">TC-241</t>
  </si>
  <si>
    <t xml:space="preserve">NEXTGEN - Scopri (Ricerca), Filtri Servizi</t>
  </si>
  <si>
    <t xml:space="preserve">Il filtro Servizi 'Accesso disabili' mostra solo le attivita con centro accessibile</t>
  </si>
  <si>
    <t xml:space="preserve">Login genitore, almeno un centro con accesso disabili flaggato e uno senza</t>
  </si>
  <si>
    <t xml:space="preserve">Apri /nextgen/search, apri il pannello Servizi, seleziona 'Accesso disabili'</t>
  </si>
  <si>
    <t xml:space="preserve">Il conteggio risultati si aggiorna escludendo le attivita il cui centro non ha accesso disabili; 'Azzera' torna abilitato</t>
  </si>
  <si>
    <t xml:space="preserve">TC-242</t>
  </si>
  <si>
    <t xml:space="preserve">Il filtro Servizi 'Diete gestite' mostra solo le attivita con opzioni dietetiche gestite</t>
  </si>
  <si>
    <t xml:space="preserve">Login genitore, almeno un'attivita con dietaryOptions valorizzato e una senza</t>
  </si>
  <si>
    <t xml:space="preserve">Apri /nextgen/search, apri il pannello Servizi, seleziona 'Diete gestite'</t>
  </si>
  <si>
    <t xml:space="preserve">Il conteggio risultati si aggiorna escludendo le attivita senza opzioni dietetiche gestite; naming coerente col badge 'Diete gestite' su ActivityCard</t>
  </si>
  <si>
    <t xml:space="preserve">TC-243</t>
  </si>
  <si>
    <t xml:space="preserve">NEXTGEN - Profilo</t>
  </si>
  <si>
    <t xml:space="preserve">/nextgen/profile ha PageHeader con icona brand colorata e titolo 'Profilo' (non piu' header gradiente LEGACY)</t>
  </si>
  <si>
    <t xml:space="preserve">Apri /nextgen/profile</t>
  </si>
  <si>
    <t xml:space="preserve">In alto e' visibile una PageHeader con freccia indietro, icona TRAMA a colori e titolo 'Profilo'; sotto, dati profilo e bambini in card bianche stondate</t>
  </si>
  <si>
    <t xml:space="preserve">TC-244</t>
  </si>
  <si>
    <t xml:space="preserve">La bottom nav NEXTGEN porta 'Profilo' a /nextgen/profile (non piu' a /profile LEGACY)</t>
  </si>
  <si>
    <t xml:space="preserve">Apri /nextgen, clicca 'Profilo' nella bottom nav</t>
  </si>
  <si>
    <t xml:space="preserve">Si atterra su /nextgen/profile (non su /profile)</t>
  </si>
  <si>
    <t xml:space="preserve">TC-245</t>
  </si>
  <si>
    <t xml:space="preserve">La card 'Condivisione piano' in Profilo porta al Calendario del Planner</t>
  </si>
  <si>
    <t xml:space="preserve">Apri /nextgen/profile, sezione 'Piano condiviso', clicca 'Condivisione piano'</t>
  </si>
  <si>
    <t xml:space="preserve">Si atterra su /nextgen/planner con la modalita' Calendario gia' aperta (stesso link della card equivalente nell'hub Logistica)</t>
  </si>
  <si>
    <t xml:space="preserve">TC-246</t>
  </si>
  <si>
    <t xml:space="preserve">Le card di accesso rapido (Prenotazioni/Preferiti/Presenze/Richieste) portano alle pagine corrette</t>
  </si>
  <si>
    <t xml:space="preserve">Apri /nextgen/profile, clicca ciascuna card in 'Attivita' e 'Supporto'</t>
  </si>
  <si>
    <t xml:space="preserve">'Le mie prenotazioni' -&gt; /prenotazioni, 'Preferiti' -&gt; /preferiti, 'Le presenze' -&gt; /presenze, 'Le mie richieste' -&gt; /richieste (con badge se ci sono risposte non lette)</t>
  </si>
  <si>
    <t xml:space="preserve">TC-247</t>
  </si>
  <si>
    <t xml:space="preserve">NEXTGEN - Planner Mappa (BUGFIX)</t>
  </si>
  <si>
    <t xml:space="preserve">La Mappa non crasha piu' al primo apertura (icon undefined sovrascriveva il marker di default in Leaflet)</t>
  </si>
  <si>
    <t xml:space="preserve">Login genitore, almeno un'attivita' prenotata con coordinate</t>
  </si>
  <si>
    <t xml:space="preserve">Apri /nextgen/planner, clicca 'Mappa' (nessun pin ancora selezionato)</t>
  </si>
  <si>
    <t xml:space="preserve">La mappa si carica normalmente con i marker visibili, nessun errore 'Application error'/pagina bianca; prima del fix crashava sempre (segnalato da Fabrizio, riproducibile sia su web che su PWA)</t>
  </si>
  <si>
    <t xml:space="preserve">TC-248</t>
  </si>
  <si>
    <t xml:space="preserve">NEXTGEN - Profilo, sezione Famiglia (Sprint 7)</t>
  </si>
  <si>
    <t xml:space="preserve">Profilo mostra le card 'Indirizzi di famiglia' e 'Famiglia' con i link corretti</t>
  </si>
  <si>
    <t xml:space="preserve">Apri /nextgen/profile, sezione 'Famiglia'</t>
  </si>
  <si>
    <t xml:space="preserve">Sono visibili 'Indirizzi di famiglia' (-&gt; /nextgen/planner/indirizzi) e 'Famiglia' (-&gt; /nextgen/planner/famiglia)</t>
  </si>
  <si>
    <t xml:space="preserve">TC-249</t>
  </si>
  <si>
    <t xml:space="preserve">NEXTGEN - ex hub Logistica (Sprint 7)</t>
  </si>
  <si>
    <t xml:space="preserve">Il Planner non mostra piu' il link 'Logistica &amp; Famiglia' in fondo alla pagina</t>
  </si>
  <si>
    <t xml:space="preserve">Apri /nextgen/planner, scorri fino in fondo</t>
  </si>
  <si>
    <t xml:space="preserve">Non compare piu' nessun link 'Logistica &amp; Famiglia' (Indirizzi/Famiglia/Condivisione piano sono ora in Profilo)</t>
  </si>
  <si>
    <t xml:space="preserve">TC-250</t>
  </si>
  <si>
    <t xml:space="preserve">/nextgen/planner/logistica reindirizza a /nextgen/profile invece di essere un vicolo cieco</t>
  </si>
  <si>
    <t xml:space="preserve">Naviga direttamente a /nextgen/planner/logistica (es. da un bookmark vecchio)</t>
  </si>
  <si>
    <t xml:space="preserve">Si viene reindirizzati a /nextgen/profile</t>
  </si>
  <si>
    <t xml:space="preserve">TC-251</t>
  </si>
  <si>
    <t xml:space="preserve">NEXTGEN - Indirizzi/Famiglia (Sprint 7)</t>
  </si>
  <si>
    <t xml:space="preserve">Il tasto 'Indietro' da Indirizzi e da Famiglia torna a Profilo (non piu' all'hub Logistica eliminato)</t>
  </si>
  <si>
    <t xml:space="preserve">Apri /nextgen/profile, entra in 'Indirizzi di famiglia', premi Indietro; ripeti per 'Famiglia'</t>
  </si>
  <si>
    <t xml:space="preserve">Il tasto Indietro riporta a /nextgen/profile in entrambi i casi</t>
  </si>
  <si>
    <t xml:space="preserve">TC-252</t>
  </si>
  <si>
    <t xml:space="preserve">Login - Sfondo splash/status-bar (BUGFIX)</t>
  </si>
  <si>
    <t xml:space="preserve">Il meta theme-color e il manifest (tenant famiglia) sono bianchi, non azzurri</t>
  </si>
  <si>
    <t xml:space="preserve">Apri /auth/login (tenant famiglia), ispeziona &lt;meta name="theme-color"&gt; e /manifest-family.json</t>
  </si>
  <si>
    <t xml:space="preserve">theme-color e manifest.background_color/theme_color sono #FFFFFF; prima erano #4DAFEF (azzurro), colore dipinto dal browser dietro al logo prima del render della pagina (segnalato da Fabrizio: 'quando viene presentato il logo lo sfondo e' ancora sbagliato, azzurro invece che bianco')</t>
  </si>
  <si>
    <t xml:space="preserve">TC-253</t>
  </si>
  <si>
    <t xml:space="preserve">Il manifest del tenant partner e' bianco, non verde</t>
  </si>
  <si>
    <t xml:space="preserve">Ispeziona /manifest-partner.json (background_color/theme_color)</t>
  </si>
  <si>
    <t xml:space="preserve">Entrambi i campi sono #FFFFFF; prima erano #1FA88E (verde), stesso bug del tenant famiglia. Il tenant admin resta invariato (navy #1A1D2E, corretto)</t>
  </si>
  <si>
    <t xml:space="preserve">TC-254</t>
  </si>
  <si>
    <t xml:space="preserve">NEXTGEN - Profilo, back-nav pagine condivise (BUGFIX)</t>
  </si>
  <si>
    <t xml:space="preserve">Da Profilo NEXTGEN, il tasto Indietro dalle pagine condivise (Le presenze, Preferiti, Le mie prenotazioni, Le mie richieste, Sicurezza, Preferenze, Privacy) torna a Profilo NEXTGEN e non al profilo legacy</t>
  </si>
  <si>
    <t xml:space="preserve">Apri /nextgen/profile, entra in 'Le presenze' (o una delle altre pagine condivise), premi il tasto Indietro dell'header</t>
  </si>
  <si>
    <t xml:space="preserve">Si torna a /nextgen/profile (non a /profile legacy). Le stesse pagine raggiunte dal profilo legacy tornano invece a /profile: il tasto Indietro usa la cronologia del browser (router.back()) invece di un backHref fisso a /profile (segnalato da Fabrizio su 'Le presenze')</t>
  </si>
  <si>
    <t xml:space="preserve">TC-255</t>
  </si>
  <si>
    <t xml:space="preserve">NEXTGEN - Profilo, Famiglia: invito via email</t>
  </si>
  <si>
    <t xml:space="preserve">Il form 'Invita per email' e' visibile per il creatore/admin della famiglia, in aggiunta al codice manuale</t>
  </si>
  <si>
    <t xml:space="preserve">Login genitore, creatore/admin di una famiglia</t>
  </si>
  <si>
    <t xml:space="preserve">Apri /nextgen/profile -&gt; Famiglia -&gt; Indirizzi/Famiglia, osserva la sezione Famiglia</t>
  </si>
  <si>
    <t xml:space="preserve">E' visibile il form 'Invita per email' (campo email + bottone 'Invia invito') SOPRA il box del codice invito, che resta comunque disponibile come alternativa manuale (scelta di Fabrizio: tenere entrambe le strade)</t>
  </si>
  <si>
    <t xml:space="preserve">TC-256</t>
  </si>
  <si>
    <t xml:space="preserve">Inviare un invito per email crea una riga 'In attesa di risposta' e (se Resend configurato) invia l'email</t>
  </si>
  <si>
    <t xml:space="preserve">Compila 'Email dell'altro genitore' con un'email di test, clicca 'Invia invito'</t>
  </si>
  <si>
    <t xml:space="preserve">Toast di conferma ('Invito inviato!' o 'Invito creato' se l'email non e' configurata), l'email compare nella lista 'In attesa di risposta' con lo stato corretto (Email inviata / In attesa)</t>
  </si>
  <si>
    <t xml:space="preserve">TC-257</t>
  </si>
  <si>
    <t xml:space="preserve">Aprire un link di invito con token non valido/scaduto mostra un errore chiaro, non un crash</t>
  </si>
  <si>
    <t xml:space="preserve">Login genitore (qualsiasi)</t>
  </si>
  <si>
    <t xml:space="preserve">Apri /nextgen/planner/famiglia?accept=TOKEN_INESISTENTE</t>
  </si>
  <si>
    <t xml:space="preserve">Compare il messaggio 'Questo invito non e' (piu') valido...' invece di un errore applicativo; il resto della pagina Famiglia funziona normalmente</t>
  </si>
  <si>
    <t xml:space="preserve">TC-258</t>
  </si>
  <si>
    <t xml:space="preserve">Accettare un invito valido (stessa email dell'account loggato) aggiunge l'utente alla famiglia</t>
  </si>
  <si>
    <t xml:space="preserve">Un genitore A ha invitato l'email del genitore B (account reale, non l'unico account di test disponibile); NON automatizzabile con un solo account di test</t>
  </si>
  <si>
    <t xml:space="preserve">Genitore B apre il link ricevuto via email, arriva su /auth/login?next=/nextgen/planner/famiglia%3Faccept%3DTOKEN, effettua login/registrazione con la STESSA email invitata, vede il prompt 'X ti ha invitato...', clicca 'Accetta l'invito'</t>
  </si>
  <si>
    <t xml:space="preserve">Il genitore B diventa membro della famiglia (ruolo 'membro'); l'invito passa a stato 'accepted'; se l'email dell'account non corrisponde a quella invitata, viene mostrato l'errore 'Questo invito e' per un'altra email'. VERIFICARE MANUALMENTE con due account reali prima del rilascio (stessa limitazione già nota di TC-N73..77)</t>
  </si>
  <si>
    <t xml:space="preserve">Verifica manuale richiesta: ambiente di test ha un solo account genitore promosso</t>
  </si>
  <si>
    <t xml:space="preserve">TC-259</t>
  </si>
  <si>
    <t xml:space="preserve">L'invito mostra un link copiabile (WhatsApp, SMS, ecc.), non solo l'invio email automatico</t>
  </si>
  <si>
    <t xml:space="preserve">Invia un invito per email, poi clicca 'Copia link invito (WhatsApp, SMS...)'; ricarica la pagina e clicca 'Copia link' sulla riga dell'invito in 'In attesa di risposta'</t>
  </si>
  <si>
    <t xml:space="preserve">In entrambi i casi il link viene copiato negli appunti (toast 'Link copiato!'); il link porta a /auth/login?next=/nextgen/planner/famiglia%3Faccept%3DTOKEN e mostra il prompt di accettazione</t>
  </si>
  <si>
    <t xml:space="preserve">TC-260</t>
  </si>
  <si>
    <t xml:space="preserve">Branding - Icone da SVG vettoriali</t>
  </si>
  <si>
    <t xml:space="preserve">Tutte le icone PWA/favicon/splash/logo inline sono nitide (rigenerate da SVG vettoriali, non piu' da un PNG raster a bassa risoluzione)</t>
  </si>
  <si>
    <t xml:space="preserve">Fabrizio ha fornito TRAMA_PWA_SVG_icons.zip (simbolo colorato/navy/bianco-su-navy, viewBox 600x600)</t>
  </si>
  <si>
    <t xml:space="preserve">Apri /auth/login (genitore/partner/admin), /nextgen/* (icona inline nell'header), e ispeziona manifest-*.json/icon-*.png/apple-touch-icon*.png/favicon.ico</t>
  </si>
  <si>
    <t xml:space="preserve">Icona nitida ad ogni dimensione (192/512/apple-touch/favicon/splash), rispetta la regola di brand (colorata=genitori, navy=gestori/partner, bianca su navy=admin); nessuna sgranatura visibile rispetto al vecchio PNG 345x225</t>
  </si>
  <si>
    <t xml:space="preserve">SVG sorgente salvati in public/brand/svg/ per rigenerazioni future</t>
  </si>
  <si>
    <t xml:space="preserve">TC-261</t>
  </si>
  <si>
    <t xml:space="preserve">Branding - Favicon per-tenant</t>
  </si>
  <si>
    <t xml:space="preserve">La favicon nella scheda del browser e' quella corretta per ciascun tenant (colorata=genitori, navy=partner, bianca su navy=admin), non identica per tutti e tre</t>
  </si>
  <si>
    <t xml:space="preserve">Nessuna (bug gia' presente nel deploy live, segnalato da Fabrizio con screenshot delle 3 schede browser identiche)</t>
  </si>
  <si>
    <t xml:space="preserve">Apri in 3 schede diverse: trama.app/auth/login, partner.trama.app/auth/login, admin.trama.app/auth/login; osserva l'icona nella scheda del browser di ciascuna</t>
  </si>
  <si>
    <t xml:space="preserve">Ogni scheda mostra l'icona del proprio tenant (icon-192.png/icon-partner-192.png/icon-admin-192.png), non piu' un'unica favicon.ico generica identica per tutti</t>
  </si>
  <si>
    <t xml:space="preserve">Causa: app/favicon.ico (convenzione statica Next.js, non sensibile all'host) veniva iniettato sempre come primo &lt;link rel=icon&gt;, prima delle icone per-tenant di generateMetadata(). Fix: rimosso app/favicon.ico. Verificato con next build pulito (nessun favicon.ico nell'output) + tsc/eslint puliti. Verifica visiva sulle 3 schede da fare da Fabrizio dopo il deploy.</t>
  </si>
  <si>
    <t xml:space="preserve">TC-262</t>
  </si>
  <si>
    <t xml:space="preserve">Branding - Icone: ripristino disegno precedente</t>
  </si>
  <si>
    <t xml:space="preserve">Il simbolo dell'icona (mark) e' quello storico, non il nuovo disegno da SVG (Fabrizio: 'l'icona, proprio il disegno, e' quello sbagliato')</t>
  </si>
  <si>
    <t xml:space="preserve">TC-260/TC-261 avevano introdotto un nuovo disegno del mark da TRAMA_PWA_SVG_icons.zip; Fabrizio ha chiesto di ripristinare il disegno precedente pur mantenendo la differenziazione per tenant</t>
  </si>
  <si>
    <t xml:space="preserve">Apri /auth/login (genitore/partner/admin) e /nextgen/* (icona inline nell'header); ispeziona icon-192/512.png, icon-{partner,admin,nextgen}-192/512.png, apple-touch-icon*.png, splash screens, trama-logo-mark*.png</t>
  </si>
  <si>
    <t xml:space="preserve">Il disegno del mark e' quello storico (pre TRAMA_PWA_SVG_icons.zip), non il nuovo; resta pero' corretta la regola di brand (colorata=genitori, navy=gestori/partner, bianca su navy=admin) e la favicon per-tenant (TC-261, non regredita: app/favicon.ico resta rimosso)</t>
  </si>
  <si>
    <t xml:space="preserve">Ripristinati (git checkout dal commit precedente 43de44f) i 39 PNG toccati dal commit 15ae8ba (icon-*, apple-touch-icon*, brand/trama-logo-mark*, splash/*); NON ripristinato app/favicon.ico (resta cancellato, e' il fix di TC-261). Verificato con next build + tsc puliti.</t>
  </si>
  <si>
    <t xml:space="preserve">TC-263</t>
  </si>
  <si>
    <t xml:space="preserve">NEXTGEN - Planner Organizzazione, sprint correttivo</t>
  </si>
  <si>
    <t xml:space="preserve">Badge 'Beta' nell'angolo (ribbon) al posto del pill 'NextGen'</t>
  </si>
  <si>
    <t xml:space="preserve">Apri /nextgen/planner (o qualsiasi pagina NEXTGEN)</t>
  </si>
  <si>
    <t xml:space="preserve">Nell'angolo in alto a destra compare un ribbon diagonale 'Beta'; il vecchio pill nero 'NextGen' non c'e' piu'</t>
  </si>
  <si>
    <t xml:space="preserve">TC-264</t>
  </si>
  <si>
    <t xml:space="preserve">'Budget impegnato' non e' piu' duplicato nel tab Organizzazione</t>
  </si>
  <si>
    <t xml:space="preserve">Apri /nextgen/planner, tab Organizzazione, poi tab Budget</t>
  </si>
  <si>
    <t xml:space="preserve">Il tab Organizzazione non mostra piu' la card 'Budget impegnato' (resta solo nel tab Budget dedicato)</t>
  </si>
  <si>
    <t xml:space="preserve">TC-265</t>
  </si>
  <si>
    <t xml:space="preserve">I banner (Promemoria/Missioni) con un'azione mostrano una freccia e portano da qualche parte</t>
  </si>
  <si>
    <t xml:space="preserve">Account con almeno un promemoria/missione azionabile</t>
  </si>
  <si>
    <t xml:space="preserve">Apri /nextgen/planner, osserva i banner in alto, clicca su uno con la freccia</t>
  </si>
  <si>
    <t xml:space="preserve">Il click scorre alla settimana in Timeline, cambia tab (es. Budget) o naviga alla pagina pertinente, senza errori</t>
  </si>
  <si>
    <t xml:space="preserve">TC-266</t>
  </si>
  <si>
    <t xml:space="preserve">Sezione 'Promemoria e avvisi' raggiungibile da Profilo, segnata come anteprima</t>
  </si>
  <si>
    <t xml:space="preserve">Profilo -&gt; 'Promemoria e avvisi'</t>
  </si>
  <si>
    <t xml:space="preserve">Si apre /nextgen/planner/promemoria con badge 'Anteprima', toggle 'Promemoria attivo' funzionante (stato locale, nessun salvataggio reale dichiarato in UI)</t>
  </si>
  <si>
    <t xml:space="preserve">TC-267</t>
  </si>
  <si>
    <t xml:space="preserve">NEXTGEN - Prenotazione, check sovrapposizione stesso bambino</t>
  </si>
  <si>
    <t xml:space="preserve">Conflitto sullo stesso bambino offre 'Mantieni entrambe' o 'Annulla l'altra e prenota questa' invece del generico 'Prosegui comunque'</t>
  </si>
  <si>
    <t xml:space="preserve">Bambino con una prenotazione ATTIVA; nuova prenotazione su un'altra attivita' che copre la stessa settimana per lo stesso bambino</t>
  </si>
  <si>
    <t xml:space="preserve">Prova a prenotare la seconda attivita' per la stessa settimana/bambino</t>
  </si>
  <si>
    <t xml:space="preserve">Il box 'Attenzione: settimana gia' impegnata' mostra due scelte esplicite: 'Mantieni entrambe' (procede comunque) e 'Annulla l'altra e prenota questa' (annulla la vecchia se ancora nella finestra di cancellazione, poi prenota la nuova; altrimenti mostra l'errore e non prenota)</t>
  </si>
  <si>
    <t xml:space="preserve">Verifica manuale richiesta: serve creare due prenotazioni reali sovrapposte, non fixturabile con l'account di test unico</t>
  </si>
  <si>
    <t xml:space="preserve">TC-268</t>
  </si>
  <si>
    <t xml:space="preserve">NEXTGEN - Planner Organizzazione, bugfix copertura</t>
  </si>
  <si>
    <t xml:space="preserve">'X di Y settimane coperte' non supera mai Y anche con una settimana coperta E marcata 'non ti serve'</t>
  </si>
  <si>
    <t xml:space="preserve">Una settimana con prenotazione attiva, poi marcata 'non mi serve' senza annullare la prenotazione</t>
  </si>
  <si>
    <t xml:space="preserve">Osserva il rapporto 'X di Y settimane coperte' in Organizzazione e il triangolo di sovrapposizione sulla riga Timeline di quella settimana</t>
  </si>
  <si>
    <t xml:space="preserve">X non supera mai Y (coveredNeededCount esclude le settimane dismissed anche al numeratore); la riga Timeline mostra 'Non ti serve' senza triangolo, anche se l'overlap resta segnalato nel box 'Sovrapposizioni da controllare' sopra</t>
  </si>
  <si>
    <t xml:space="preserve">Verifica manuale richiesta: scenario limite (dismissed dopo una prenotazione attiva) non riproducibile deterministicamente con l'account di test condiviso</t>
  </si>
  <si>
    <t xml:space="preserve">TC-269</t>
  </si>
  <si>
    <t xml:space="preserve">NEXTGEN - Promemoria e avvisi (anteprima)</t>
  </si>
  <si>
    <t xml:space="preserve">Il toggle 'Promemoria attivo' mostra il pallino a sinistra quando spento e a destra quando acceso</t>
  </si>
  <si>
    <t xml:space="preserve">Profilo -&gt; Promemoria e avvisi, osservare il toggle, poi cliccarlo</t>
  </si>
  <si>
    <t xml:space="preserve">Il pallino bianco e' visibilmente a sinistra su sfondo grigio (spento) e si sposta a destra su sfondo verde (acceso); prima del fix restava sempre a destra indipendentemente dallo stato (mancava l'ancora 'left' esplicita nel CSS)</t>
  </si>
  <si>
    <t xml:space="preserve">TC-270</t>
  </si>
  <si>
    <t xml:space="preserve">'Partenza consigliata' permette di scegliere l'indirizzo di partenza tra quelli salvati in famiglia</t>
  </si>
  <si>
    <t xml:space="preserve">Almeno un indirizzo di famiglia compilato (Indirizzi di famiglia)</t>
  </si>
  <si>
    <t xml:space="preserve">Profilo -&gt; Promemoria e avvisi -&gt; espandi 'Partenza consigliata'</t>
  </si>
  <si>
    <t xml:space="preserve">Compare 'Da dove parti?' con un chip per ogni indirizzo compilato (Casa/Lavoro Genitore 1/Lavoro Genitore 2/Altro); di default e' selezionato 'Casa' se presente, altrimenti il primo disponibile; cliccando un altro chip cambia la selezione e l'indirizzo mostrato sotto. Senza alcun indirizzo compilato, mostra invece un invito ad aggiungerne uno con link a Indirizzi di famiglia</t>
  </si>
  <si>
    <t xml:space="preserve">TC-271</t>
  </si>
  <si>
    <t xml:space="preserve">NEXTGEN - Planner Organizzazione, Sprint 2 (Timeline mensile)</t>
  </si>
  <si>
    <t xml:space="preserve">La Timeline della stagione e' raggruppata per mese, pieghevole</t>
  </si>
  <si>
    <t xml:space="preserve">Apri /nextgen/planner, scorri fino a 'Timeline della stagione'</t>
  </si>
  <si>
    <t xml:space="preserve">Il titolo mostra 'Timeline della stagione — Estiva {anno}'; sotto compaiono intestazioni di mese (es. Giugno, Luglio) pieghevoli con contatore X/Y coperte; il mese con la settimana prioritaria o la prima scoperta e' aperto di default</t>
  </si>
  <si>
    <t xml:space="preserve">TC-272</t>
  </si>
  <si>
    <t xml:space="preserve">Cliccando una barra di 'Stato per settimana' si apre il mese giusto, si evidenzia la riga e si vedono le date</t>
  </si>
  <si>
    <t xml:space="preserve">Apri /nextgen/planner, clicca una barra della striscia 'Stato per settimana'</t>
  </si>
  <si>
    <t xml:space="preserve">Il mese che contiene quella settimana si apre automaticamente (se era chiuso); la riga corrispondente nella Timeline scorre in vista ed e' evidenziata con un anello viola per ~1.6s; accanto al titolo 'Stato per settimana' compare 'Settimana N · date' per la stessa durata</t>
  </si>
  <si>
    <t xml:space="preserve">TC-273</t>
  </si>
  <si>
    <t xml:space="preserve">Una riga Timeline con attivita' reale (slug) e' cliccabile e apre la scheda attivita'</t>
  </si>
  <si>
    <t xml:space="preserve">Almeno una settimana coperta da una prenotazione con attivita' reale (slug)</t>
  </si>
  <si>
    <t xml:space="preserve">Apri /nextgen/planner, espandi il mese con una settimana coperta, clicca sulla riga</t>
  </si>
  <si>
    <t xml:space="preserve">La riga ha feedback hover/active (stesso pattern di components/PlannerView.tsx LEGACY) e una freccina; il click apre /activity/{slug} senza errori. L'icona di stato (spunta verde o triangolo sovrapposizione) resta visibile accanto alla freccina, non sostituita</t>
  </si>
  <si>
    <t xml:space="preserve">TC-274</t>
  </si>
  <si>
    <t xml:space="preserve">NEXTGEN - Profilo, consolidamento hub card</t>
  </si>
  <si>
    <t xml:space="preserve">La sezione 'Famiglia' in Profilo mostra un solo ingresso 'Famiglia e logistica' invece di 4 righe</t>
  </si>
  <si>
    <t xml:space="preserve">Apri /nextgen/profile, guarda la sezione 'Famiglia'</t>
  </si>
  <si>
    <t xml:space="preserve">Sotto l'header 'Famiglia' compare una sola card 'Famiglia e logistica' (sottotitolo 'Indirizzi, condivisione piano, promemoria'); cliccandola si apre /nextgen/profile/famiglia con le 4 card originali (Indirizzi di famiglia, Famiglia, Condivisione piano, Promemoria e avvisi), link invariati</t>
  </si>
  <si>
    <t xml:space="preserve">TC-275</t>
  </si>
  <si>
    <t xml:space="preserve">La sezione 'Impostazioni' in Profilo mostra un solo ingresso 'Impostazioni' invece di 4 righe</t>
  </si>
  <si>
    <t xml:space="preserve">Apri /nextgen/profile, guarda la sezione 'Impostazioni'</t>
  </si>
  <si>
    <t xml:space="preserve">Sotto l'header 'Impostazioni' compare una sola card 'Impostazioni' (sottotitolo 'Sicurezza, preferenze, privacy'); cliccandola si apre /nextgen/profile/impostazioni con le 4 card originali (Sicurezza, Preferenze, Metodi di pagamento, Privacy e account), link invariati</t>
  </si>
  <si>
    <t xml:space="preserve">TC-276</t>
  </si>
  <si>
    <t xml:space="preserve">Il tasto 'Indietro' dalle pagine dentro 'Famiglia e logistica' torna all'hub, non direttamente al Profilo</t>
  </si>
  <si>
    <t xml:space="preserve">Profilo -&gt; Famiglia e logistica -&gt; Indirizzi di famiglia -&gt; Indietro</t>
  </si>
  <si>
    <t xml:space="preserve">Il tasto Indietro riporta a /nextgen/profile/famiglia (l'hub), non a /nextgen/profile direttamente; stesso comportamento per 'Famiglia' (invito) e 'Promemoria e avvisi'</t>
  </si>
  <si>
    <t xml:space="preserve">TC-277</t>
  </si>
  <si>
    <t xml:space="preserve">Le sezioni 'Attività' e 'Supporto' in Profilo restano invariate (non consolidate)</t>
  </si>
  <si>
    <t xml:space="preserve">Apri /nextgen/profile, guarda le sezioni 'Attività' e 'Supporto'</t>
  </si>
  <si>
    <t xml:space="preserve">'Attività' mostra ancora 3 righe separate (Le mie prenotazioni, Preferiti, Le presenze); 'Supporto' mostra ancora 2 righe separate (Le mie richieste, Ricevute e fatture) — non sono impostazioni 'una tantum' come Famiglia/Impostazioni, quindi restano con la stessa prominenza di prima</t>
  </si>
  <si>
    <t xml:space="preserve">TC-278</t>
  </si>
  <si>
    <t xml:space="preserve">NEXTGEN - Scopri Sprint 3 (filtri unificati)</t>
  </si>
  <si>
    <t xml:space="preserve">Il filtro 'Bambini' e' un pannello a comparsa (come Tipo attivita'/Servizi), non piu' pill inline</t>
  </si>
  <si>
    <t xml:space="preserve">2+ figli in profilo</t>
  </si>
  <si>
    <t xml:space="preserve">Apri /nextgen/search, guarda la riga filtri scorrevole</t>
  </si>
  <si>
    <t xml:space="preserve">Il primo elemento della riga e' un chip 'Bambini' (non piu' un pulsante per ciascun figlio); aprendolo si vede un pannello con 'Tutti i bambini' + un pulsante per figlio; selezionandone uno il chip diventa 'Bambini (Nome)'. Con un solo figlio in profilo il chip non compare (comportamento invariato).</t>
  </si>
  <si>
    <t xml:space="preserve">TC-279</t>
  </si>
  <si>
    <t xml:space="preserve">NEXTGEN - Scopri Sprint 3 (Azzera)</t>
  </si>
  <si>
    <t xml:space="preserve">'Azzera' non e' presente nel DOM quando nessun filtro e' attivo (non solo disabilitato)</t>
  </si>
  <si>
    <t xml:space="preserve">Nessun filtro attivo all'apertura</t>
  </si>
  <si>
    <t xml:space="preserve">Apri /nextgen/search, verifica assenza del pulsante 'Azzera'; applica un filtro (es. Prezzo); verifica comparsa; clicca 'Azzera'</t>
  </si>
  <si>
    <t xml:space="preserve">A filtri azzerati il pulsante 'Azzera' non esiste nel DOM (prima era presente ma disabled); applicando un filtro compare con il conteggio; cliccandolo sparisce di nuovo dal DOM</t>
  </si>
  <si>
    <t xml:space="preserve">TC-280</t>
  </si>
  <si>
    <t xml:space="preserve">NEXTGEN - Scopri Sprint 3 (raggruppamento match)</t>
  </si>
  <si>
    <t xml:space="preserve">Quando 2+ bambini superano la soglia di match (&gt;=40%), il reason mostra 'Piace ai tuoi figli' (singolare) invece di ripetere 'Piace a X' per ciascuno</t>
  </si>
  <si>
    <t xml:space="preserve">Almeno 2 figli in profilo con interessi che matchano la stessa attivita' oltre la soglia</t>
  </si>
  <si>
    <t xml:space="preserve">Apri /nextgen/search con un profilo che ha 2+ figli compatibili con una stessa attivita'</t>
  </si>
  <si>
    <t xml:space="preserve">Sulla card dell'attivita' compare un'unica pill 'Piace ai tuoi figli' (verbo singolare, coerente col fatto che la label si riferisce a UNA attivita', non a un gruppo) invece di due pill separate 'Piace a X'/'Piace a Y'; con un solo figlio compatibile resta 'Piace a X'</t>
  </si>
  <si>
    <t xml:space="preserve">FIXME (dati demo account condiviso non permettono di fixturare in modo affidabile 2+ figli con match &gt;=40% sulla stessa attivita')</t>
  </si>
  <si>
    <t xml:space="preserve">TC-281</t>
  </si>
  <si>
    <t xml:space="preserve">NEXTGEN - Scopri Sprint 3 (badge restyle)</t>
  </si>
  <si>
    <t xml:space="preserve">Il badge 'Nessuna limitazione' (ex 'Accesso disabili') e' viola, distinto dal blu della Certificazione</t>
  </si>
  <si>
    <t xml:space="preserve">Un'attivita' con centerAccessible=true e certificationBadges non vuoto</t>
  </si>
  <si>
    <t xml:space="preserve">Apri /nextgen/search, filtra per Servizi -&gt; 'Nessuna limitazione', osserva i badge sulla card risultato</t>
  </si>
  <si>
    <t xml:space="preserve">Il badge mostra il testo 'Nessuna limitazione' (non piu' 'Accesso disabili') con icona ti-heart-handshake e colore viola (token purple/purple-light); il badge Certificazione sulla stessa card resta blu (token sky/sky-light), chiaramente distinguibile</t>
  </si>
  <si>
    <t xml:space="preserve">TC-282</t>
  </si>
  <si>
    <t xml:space="preserve">NEXTGEN - Scopri Sprint 3 correttivo (divider)</t>
  </si>
  <si>
    <t xml:space="preserve">Un divider leggero separa il pannello filtro aperto dalla riga risultati/Lista-Mappa</t>
  </si>
  <si>
    <t xml:space="preserve">Apri /nextgen/search, apri un pannello filtro (es. Prezzo)</t>
  </si>
  <si>
    <t xml:space="preserve">A pannello chiuso non c'e' alcun divider; aprendo un pannello compare una linea sottile (border-t leggero) subito sopra 'X attivita' trovate' e il toggle Lista/Mappa, per separare visivamente l'area di selezione dai risultati; richiudendo il pannello il divider sparisce</t>
  </si>
  <si>
    <t xml:space="preserve">TC-283</t>
  </si>
  <si>
    <t xml:space="preserve">NEXTGEN - Sprint 4 correttivo (audit link)</t>
  </si>
  <si>
    <t xml:space="preserve">/nextgen/planner/logistica reindirizza a /nextgen/profile/famiglia (non un hop corto)</t>
  </si>
  <si>
    <t xml:space="preserve">Vai su /nextgen/planner/logistica (vecchio bookmark)</t>
  </si>
  <si>
    <t xml:space="preserve">Redirect a /nextgen/profile/famiglia (l'hub attuale con Indirizzi/Famiglia/Condivisione/Promemoria), non piu' a /nextgen/profile generico — prima del fix l'utente si fermava un click prima della destinazione dopo la consolidazione Profilo (task #236)</t>
  </si>
  <si>
    <t xml:space="preserve">TC-284</t>
  </si>
  <si>
    <t xml:space="preserve">NEXTGEN - Sprint 4 correttivo (indirizzi personalizzabili)</t>
  </si>
  <si>
    <t xml:space="preserve">Un indirizzo a kind fisso (Casa/Lavoro Genitore 1/Lavoro Genitore 2) puo' avere un nome personalizzato</t>
  </si>
  <si>
    <t xml:space="preserve">Apri /nextgen/planner/indirizzi, modifica la card 'Casa', compila il campo 'Nome personalizzato' con un nome a piacere e salva</t>
  </si>
  <si>
    <t xml:space="preserve">Il titolo della card mostra il nome personalizzato al posto dell'etichetta fissa 'Casa'; lo stesso nome compare anche nel selettore 'Da dove parti?' di Promemoria e nel selettore 'Parti da' della Vista Mappa (originLabel aggiornato in entrambi); lasciando il campo vuoto la card torna a mostrare l'etichetta di default</t>
  </si>
  <si>
    <t xml:space="preserve">TC-285</t>
  </si>
  <si>
    <t xml:space="preserve">NEXTGEN - Sprint 4 correttivo (selettore origine Mappa)</t>
  </si>
  <si>
    <t xml:space="preserve">Vista Mappa: con indirizzi salvati, 'Parti da' costruisce un link di itinerario invece di solo destinazione</t>
  </si>
  <si>
    <t xml:space="preserve">Almeno un indirizzo di famiglia salvato + un'attivita' prenotata con indirizzo</t>
  </si>
  <si>
    <t xml:space="preserve">Apri /nextgen/planner -&gt; Mappa, seleziona un'attivita' con indirizzo</t>
  </si>
  <si>
    <t xml:space="preserve">Compare il selettore 'Parti da' con gli indirizzi salvati (default 'Casa' se presente); 'Avvia navigazione' apre un link Google Maps di TIPO ITINERARIO (maps/dir/?api=1&amp;origin=...&amp;destination=...) invece della semplice ricerca della destinazione; senza indirizzi salvati il comportamento resta quello precedente (solo destinazione)</t>
  </si>
  <si>
    <t xml:space="preserve">TC-286</t>
  </si>
  <si>
    <t xml:space="preserve">NEXTGEN - Sprint 5 (Segnala un problema BETA)</t>
  </si>
  <si>
    <t xml:space="preserve">La floating CTA 'Segnala un problema' e' visibile nelle pagine genitore NEXTGEN</t>
  </si>
  <si>
    <t xml:space="preserve">Apri una pagina genitore NEXTGEN (es. /nextgen/planner)</t>
  </si>
  <si>
    <t xml:space="preserve">Un pulsante circolare viola 'Segnala un problema' e' visibile e trascinabile in un punto qualsiasi dello schermo; la posizione scelta resta la stessa cambiando pagina e riaprendo l'app (persistita in localStorage)</t>
  </si>
  <si>
    <t xml:space="preserve">TC-287</t>
  </si>
  <si>
    <t xml:space="preserve">La floating CTA non compare su /nextgen/admin e /nextgen/center (placeholder Sprint 0, area gestore/admin non ancora in scope)</t>
  </si>
  <si>
    <t xml:space="preserve">Account con ruolo platform_admin o center_admin</t>
  </si>
  <si>
    <t xml:space="preserve">Apri /nextgen/admin</t>
  </si>
  <si>
    <t xml:space="preserve">Il pulsante 'Segnala un problema' non e' presente: il meccanismo e' per ora limitato all'app genitori, la stessa CTA per l'app gestori e' pianificata come fase successiva separata</t>
  </si>
  <si>
    <t xml:space="preserve">TC-288</t>
  </si>
  <si>
    <t xml:space="preserve">Inviare una segnalazione vuota mostra un errore; con testo mostra conferma e chiude il pannello</t>
  </si>
  <si>
    <t xml:space="preserve">Clicca la CTA, lascia il campo vuoto e clicca 'Invia segnalazione'; poi scrivi un testo e reinvia</t>
  </si>
  <si>
    <t xml:space="preserve">A campo vuoto compare 'Scrivi qualcosa prima di inviare' senza chiudere il pannello; con testo la segnalazione viene salvata (area/pagina correnti allegate automaticamente), il pannello si chiude e compare il toast 'Segnalazione inviata, grazie!'</t>
  </si>
  <si>
    <t xml:space="preserve">TC-289</t>
  </si>
  <si>
    <t xml:space="preserve">Profilo mostra la sezione temporanea 'Le mie segnalazioni' con lo stato di quanto inviato</t>
  </si>
  <si>
    <t xml:space="preserve">Almeno una segnalazione gia' inviata (vedi TC-288)</t>
  </si>
  <si>
    <t xml:space="preserve">Apri /nextgen/profile, sezione 'Beta' -&gt; 'Le mie segnalazioni'</t>
  </si>
  <si>
    <t xml:space="preserve">Si apre /nextgen/profile/segnalazioni con l'elenco delle proprie segnalazioni, ciascuna con area, stato (Nuovo/In gestione/Risolto) e, se presente, la nota di risposta del team</t>
  </si>
  <si>
    <t xml:space="preserve">TC-290</t>
  </si>
  <si>
    <t xml:space="preserve">NEXTGEN - Sprint 5 (Segnala un problema BETA, Admin)</t>
  </si>
  <si>
    <t xml:space="preserve">/admin/segnalazioni-beta mostra i conteggi per stato e per area, con label 'App genitori'</t>
  </si>
  <si>
    <t xml:space="preserve">Login Admin -&gt; /admin/segnalazioni-beta</t>
  </si>
  <si>
    <t xml:space="preserve">Compaiono le card di riepilogo (Totale/Nuove/In gestione/Risolte) e la tabella 'Per area/sottosezione' con i conteggi; ogni riga della lista mostra una label 'App genitori' (oggi l'unica app con la CTA — la tabella/coda e' gia' pronta per 'App gestori' quando quella fase verra' implementata)</t>
  </si>
  <si>
    <t xml:space="preserve">TC-291</t>
  </si>
  <si>
    <t xml:space="preserve">L'Admin cambia lo stato di una segnalazione in 'In gestione'</t>
  </si>
  <si>
    <t xml:space="preserve">Almeno una segnalazione in stato 'Nuovo'</t>
  </si>
  <si>
    <t xml:space="preserve">Su /admin/segnalazioni-beta, clicca 'In gestione' su una riga</t>
  </si>
  <si>
    <t xml:space="preserve">La riga passa a mostrare il badge 'In gestione'; la stessa riga, se il genitore riapre 'Le mie segnalazioni', mostra lo stato aggiornato</t>
  </si>
  <si>
    <t xml:space="preserve">TC-292</t>
  </si>
  <si>
    <t xml:space="preserve">Genitori - Modifica prenotazione (annulla)</t>
  </si>
  <si>
    <t xml:space="preserve">Deselezionare tutte le settimane disabilita 'Salva modifiche' (nessuna ambiguita' con l'annullamento)</t>
  </si>
  <si>
    <t xml:space="preserve">Prenotazione modificabile (entro la finestra di preavviso del centro)</t>
  </si>
  <si>
    <t xml:space="preserve">Apri /prenotazioni/[id]/modifica, deseleziona tutte le settimane selezionate</t>
  </si>
  <si>
    <t xml:space="preserve">'Salva modifiche' resta semplicemente disabilitato (nessun pop-up, nessuna etichetta cambiata): l'unico modo per annullare la prenotazione da qui e' il pulsante esplicito 'Annulla prenotazione' (fix a un feedback precedente di Fabrizio: 'e' ridondante salva modifiche/annulla e annulla prenotazione')</t>
  </si>
  <si>
    <t xml:space="preserve">TC-293</t>
  </si>
  <si>
    <t xml:space="preserve">Il pulsante esplicito 'Annulla prenotazione' apre il pop-up di conferma con la settimana di riferimento</t>
  </si>
  <si>
    <t xml:space="preserve">Apri /prenotazioni/[id]/modifica, clicca 'Annulla prenotazione' (senza toccare le settimane)</t>
  </si>
  <si>
    <t xml:space="preserve">Si apre il pop-up 'Vuoi annullare la prenotazione?' con 'No, mantieni'/'Si, annulla'; il testo elenca ora anche le settimane effettivamente prenotate (es. 'LUG 27-31 (Sett. 9), AGO 3-7 (Sett. 10)'), non solo il nome attivita' e i bambini</t>
  </si>
  <si>
    <t xml:space="preserve">TC-294</t>
  </si>
  <si>
    <t xml:space="preserve">Confermare l'annullamento nel pop-up cancella davvero la prenotazione e torna a 'Le mie prenotazioni'</t>
  </si>
  <si>
    <t xml:space="preserve">Apri /prenotazioni/[id]/modifica, clicca 'Annulla prenotazione' poi 'Sì, annulla'</t>
  </si>
  <si>
    <t xml:space="preserve">cancelBookingAction viene chiamata, la prenotazione risulta annullata e il genitore torna a /prenotazioni</t>
  </si>
  <si>
    <t xml:space="preserve">TC-295</t>
  </si>
  <si>
    <t xml:space="preserve">Se la finestra di preavviso si chiude tra il caricamento della pagina e la conferma, il pop-up mostra 'Non puoi più annullare' con il messaggio del server</t>
  </si>
  <si>
    <t xml:space="preserve">Finestra di preavviso del centro chiusa tra il caricamento pagina e il click di conferma (race condition)</t>
  </si>
  <si>
    <t xml:space="preserve">Apri /prenotazioni/[id]/modifica quando la prenotazione è ancora modificabile, clicca 'Annulla prenotazione' poi 'Sì, annulla' dopo che nel frattempo la finestra si è chiusa lato server</t>
  </si>
  <si>
    <t xml:space="preserve">Il pop-up mostra l'intestazione 'Non puoi più annullare' con il messaggio di errore restituito da cancelBookingAction (stesso testo già usato in 'Le mie prenotazioni'), con solo il pulsante 'Chiudi'</t>
  </si>
  <si>
    <t xml:space="preserve">NON AUTOMATIZZATO (test.fixme — richiede manipolare la finestra di preavviso a runtime per essere riprodotto in modo deterministico via UI)</t>
  </si>
  <si>
    <t xml:space="preserve">TC-296</t>
  </si>
  <si>
    <t xml:space="preserve">App - Splash overlay (Android)</t>
  </si>
  <si>
    <t xml:space="preserve">Lo splash overlay (logo+nome+claim) sostituisce il flash colorato nativo di Android in apertura</t>
  </si>
  <si>
    <t xml:space="preserve">Apri l'app (refresh completo o vero avvio PWA), osserva i primi istanti dopo l'apertura</t>
  </si>
  <si>
    <t xml:space="preserve">Compare subito un overlay a schermo intero con sfondo bianco (navy per Admin), logo TRAMA, wordmark "TRAMA" e claim "Organizing childhood. Together." (assente per Admin) — nessun flash con lo sfondo colorato di brand (azzurro/verde) prima che compaia; l'overlay sparisce da solo con una dissolvenza dopo circa un secondo e non blocca mai un tap (e' puramente decorativo)</t>
  </si>
  <si>
    <t xml:space="preserve">TC-N292</t>
  </si>
  <si>
    <t xml:space="preserve">NEXTGEN - Segnala un problema (BETA) correttivo</t>
  </si>
  <si>
    <t xml:space="preserve">La floating CTA resta dentro la cornice 'telefono' anche su un viewport desktop largo</t>
  </si>
  <si>
    <t xml:space="preserve">Apri una pagina genitore NEXTGEN (es. /nextgen/planner) su un browser desktop con finestra larga</t>
  </si>
  <si>
    <t xml:space="preserve">Il pulsante 'Segnala un problema' resta visibile dentro i bordi della cornice 'telefono' (.app-shell), non ancorato all'angolo della finestra del browser (fix a un bug segnalato da Fabrizio: 'la CTA la vedo su mobile PWA Android, non compare da web' — era position:fixed sul viewport reale invece che sulla cornice app)</t>
  </si>
  <si>
    <t xml:space="preserve">TC-N293</t>
  </si>
  <si>
    <t xml:space="preserve">NEXTGEN - Sprint 6 (feedback visivo al tap)</t>
  </si>
  <si>
    <t xml:space="preserve">Le voci della bottom nav hanno uno stato :active</t>
  </si>
  <si>
    <t xml:space="preserve">Apri una qualsiasi pagina genitore NEXTGEN e osserva la bottom nav (Home/Planner/Scopri/Prenotazioni/Profilo)</t>
  </si>
  <si>
    <t xml:space="preserve">Ogni voce ha una classe active: (scale-90) che da' un feedback visivo immediato al tocco/click, non solo hover (utile su mobile, dove hover non esiste)</t>
  </si>
  <si>
    <t xml:space="preserve">TC-N294</t>
  </si>
  <si>
    <t xml:space="preserve">Una card del Profilo (HubCard) ha uno stato :active</t>
  </si>
  <si>
    <t xml:space="preserve">Apri /nextgen/profile e osserva una card (es. 'Le mie prenotazioni')</t>
  </si>
  <si>
    <t xml:space="preserve">La card ha una classe active: (tinta bg-black leggera) che da' un feedback visivo al tocco/click</t>
  </si>
  <si>
    <t xml:space="preserve">TC-N295</t>
  </si>
  <si>
    <t xml:space="preserve">I tab Organizzazione/Budget del Planner hanno uno stato :active</t>
  </si>
  <si>
    <t xml:space="preserve">Apri /nextgen/planner e osserva i tab in alto (Organizzazione/Budget)</t>
  </si>
  <si>
    <t xml:space="preserve">Ogni tab ha una classe active: (scale-95) che da' un feedback visivo al tocco/click</t>
  </si>
  <si>
    <t xml:space="preserve">TC-N296</t>
  </si>
  <si>
    <t xml:space="preserve">I chip filtro in Cerca (Scopri) hanno uno stato :active</t>
  </si>
  <si>
    <t xml:space="preserve">Apri /nextgen/search e osserva i chip filtro (Eta', Prezzo, Zona, Tipo attivita', Servizi, ecc.)</t>
  </si>
  <si>
    <t xml:space="preserve">Ogni chip ha una classe active: (scale-95) che da' un feedback visivo al tocco/click</t>
  </si>
  <si>
    <t xml:space="preserve">TC-297</t>
  </si>
  <si>
    <t xml:space="preserve">Genitori - Prenotazione (Sprint 7)</t>
  </si>
  <si>
    <t xml:space="preserve">Il selettore di prenotazione non mostra settimane gia' concluse rispetto ad oggi</t>
  </si>
  <si>
    <t xml:space="preserve">Login genitore, attivita' di test con settimane configurate</t>
  </si>
  <si>
    <t xml:space="preserve">Apri la scheda dell'attivita' di test -&gt; 'Prenota ora'</t>
  </si>
  <si>
    <t xml:space="preserve">Nessuna settimana visibile ha una data di fine (mese-giorno) precedente a oggi</t>
  </si>
  <si>
    <t xml:space="preserve">TC-N297</t>
  </si>
  <si>
    <t xml:space="preserve">NEXTGEN - Planner, Organizzazione (Sprint 7)</t>
  </si>
  <si>
    <t xml:space="preserve">La X su una card di avviso (Promemoria/Missione) la nasconde</t>
  </si>
  <si>
    <t xml:space="preserve">Login genitore con almeno un avviso attivo</t>
  </si>
  <si>
    <t xml:space="preserve">Apri /nextgen/planner, clicca la X sulla prima card di avviso</t>
  </si>
  <si>
    <t xml:space="preserve">La card scompare (dismiss locale alla sessione, non persistito)</t>
  </si>
  <si>
    <t xml:space="preserve">TC-N298</t>
  </si>
  <si>
    <t xml:space="preserve">Il box 'Sovrapposizioni da controllare' porta a 'Le mie prenotazioni'</t>
  </si>
  <si>
    <t xml:space="preserve">Login genitore con una sovrapposizione di prenotazioni attiva</t>
  </si>
  <si>
    <t xml:space="preserve">Apri /nextgen/planner, osserva il box 'Sovrapposizioni da controllare'</t>
  </si>
  <si>
    <t xml:space="preserve">E' presente un link 'Gestisci in Le mie prenotazioni' che porta a /prenotazioni (dove si puo' davvero annullare/modificare una delle due prenotazioni in conflitto)</t>
  </si>
  <si>
    <t xml:space="preserve">TC-N299</t>
  </si>
  <si>
    <t xml:space="preserve">NEXTGEN - Coerenza elementi decorativi (Sprint 7)</t>
  </si>
  <si>
    <t xml:space="preserve">Planner/Scopri/Community/Profilo mostrano la stessa texture decorativa (due cerchi) della hero card di Home</t>
  </si>
  <si>
    <t xml:space="preserve">Apri /nextgen/planner, /nextgen/search, /nextgen/community, /nextgen/profile</t>
  </si>
  <si>
    <t xml:space="preserve">In ognuna e' presente il wrapper DecorativeIntroCard con i due cerchi aria-hidden (bg-trama-violet/10 e bg-trama-lilac/20), stesso linguaggio visivo della Home</t>
  </si>
  <si>
    <t xml:space="preserve">TC-N300</t>
  </si>
  <si>
    <t xml:space="preserve">Admin - Segnalazioni BETA, pipeline automatica (Sprint 8)</t>
  </si>
  <si>
    <t xml:space="preserve">'Conferma e metti in pipeline' mostra il badge e nasconde il bottone</t>
  </si>
  <si>
    <t xml:space="preserve">Login platform_admin, almeno una segnalazione con pipeline_status='none'</t>
  </si>
  <si>
    <t xml:space="preserve">Apri /admin/segnalazioni-beta, clicca 'Conferma e metti in pipeline' su una riga</t>
  </si>
  <si>
    <t xml:space="preserve">Compare il badge 'In coda per la pipeline' sulla riga e il bottone scompare (pipeline_status='confirmed')</t>
  </si>
  <si>
    <t xml:space="preserve">TC-N301</t>
  </si>
  <si>
    <t xml:space="preserve">Admin - Segnalazioni BETA, pipeline automatica (Sprint 8 correttivo)</t>
  </si>
  <si>
    <t xml:space="preserve">L'endpoint automazione resta raggiungibile senza sessione, fuori da /api</t>
  </si>
  <si>
    <t xml:space="preserve">GET /internal/beta-pipeline senza secret e senza sessione</t>
  </si>
  <si>
    <t xml:space="preserve">Risposta JSON 401 'unauthorized' diretta, MAI un redirect a /auth/login</t>
  </si>
  <si>
    <t xml:space="preserve">TC-N302</t>
  </si>
  <si>
    <t xml:space="preserve">TRAMA ONE - Route /one (Sprint 0)</t>
  </si>
  <si>
    <t xml:space="preserve">Parent: /one con flag disattivato (default) fa fallback a '/' senza loop</t>
  </si>
  <si>
    <t xml:space="preserve">Login genitore, TRAMA_ONE_ENABLED=false (default)</t>
  </si>
  <si>
    <t xml:space="preserve">Login genitore -&gt; apri /one</t>
  </si>
  <si>
    <t xml:space="preserve">Redirect a '/' (Home Parent Legacy), nessun loop, nessun 'Application error'</t>
  </si>
  <si>
    <t xml:space="preserve">Verificato in produzione nello smoke reale (36/60 passed) — TEST_SCOPE=smoke bash deploy.sh</t>
  </si>
  <si>
    <t xml:space="preserve">TC-N303</t>
  </si>
  <si>
    <t xml:space="preserve">Partner: /center/one con flag disattivato (default) fa fallback a '/center' senza loop</t>
  </si>
  <si>
    <t xml:space="preserve">Login gestore, TRAMA_ONE_ENABLED=false (default)</t>
  </si>
  <si>
    <t xml:space="preserve">Login gestore -&gt; apri /center/one</t>
  </si>
  <si>
    <t xml:space="preserve">Redirect a '/center', nessun loop, nessun 'Application error'</t>
  </si>
  <si>
    <t xml:space="preserve">Bug di navigazione nel test (non nell'app): il test navigava a '/one' assumendo che il ruolo determinasse la route, ma il routing Partner e' host-based (proxy.ts) — corretto navigando al path fisico '/center/one'. Riverificato: 4 passed (12.2s) contro produzione.</t>
  </si>
  <si>
    <t xml:space="preserve">TC-N304</t>
  </si>
  <si>
    <t xml:space="preserve">Admin: /admin/one con flag disattivato (default) fa fallback a '/admin' senza loop</t>
  </si>
  <si>
    <t xml:space="preserve">Login platform_admin, TRAMA_ONE_ENABLED=false (default)</t>
  </si>
  <si>
    <t xml:space="preserve">Login admin -&gt; apri /admin/one</t>
  </si>
  <si>
    <t xml:space="preserve">Redirect a '/admin', nessun loop, nessun 'Application error'</t>
  </si>
  <si>
    <t xml:space="preserve">Stessa correzione di TC-N303. Riverificato: 4 passed (12.2s) contro produzione.</t>
  </si>
  <si>
    <t xml:space="preserve">TC-N305</t>
  </si>
  <si>
    <t xml:space="preserve">Utente non autenticato che apre /one viene rediretto al login</t>
  </si>
  <si>
    <t xml:space="preserve">Nessun login</t>
  </si>
  <si>
    <t xml:space="preserve">Apri /one senza sessione attiva</t>
  </si>
  <si>
    <t xml:space="preserve">Redirect a /auth/login (comportamento proxy.ts invariato)</t>
  </si>
  <si>
    <t xml:space="preserve">Verificato in produzione nello smoke reale.</t>
  </si>
  <si>
    <t xml:space="preserve">TC-N306</t>
  </si>
  <si>
    <t xml:space="preserve">Parent: /one con flag ATTIVATO per l'utente di test mostra la shell TRAMA ONE</t>
  </si>
  <si>
    <t xml:space="preserve">Override manuale in feature_flag_overrides (scope_type='user', enabled=true) predisposto via SQL</t>
  </si>
  <si>
    <t xml:space="preserve">Login genitore di test -&gt; apri /one</t>
  </si>
  <si>
    <t xml:space="preserve">Shell TRAMA ONE visibile (data-trama-one-portal='parent')</t>
  </si>
  <si>
    <t xml:space="preserve">NON AUTOMATIZZATO (test.skip)</t>
  </si>
  <si>
    <t xml:space="preserve">Richiede un override manuale in DB — nessuna UI Admin in Sprint 0/1 per attivare cohort/override singolarmente. Da eseguire solo quando si decide di attivare una coorte reale.</t>
  </si>
  <si>
    <t xml:space="preserve">TC-N307</t>
  </si>
  <si>
    <t xml:space="preserve">Errore del resolver (DB non raggiungibile/timeout) risolve comunque a fallback sicuro</t>
  </si>
  <si>
    <t xml:space="preserve">Simulazione errore DB/timeout in staging (SUPABASE_SERVICE_ROLE_KEY non valida)</t>
  </si>
  <si>
    <t xml:space="preserve">Login genitore -&gt; apri /one con resolver in errore</t>
  </si>
  <si>
    <t xml:space="preserve">Fallback sicuro (comportamento AS-IS), mai 'Application error' visibile</t>
  </si>
  <si>
    <t xml:space="preserve">Non riproducibile in modo sicuro contro produzione — solo in staging dedicato.</t>
  </si>
  <si>
    <t xml:space="preserve">TC-N401</t>
  </si>
  <si>
    <t xml:space="preserve">TRAMA ONE - Onboarding Centro (Sprint 1)</t>
  </si>
  <si>
    <t xml:space="preserve">Partner: /center/one/onboarding con flag disattivato fa fallback a '/center' senza loop</t>
  </si>
  <si>
    <t xml:space="preserve">Login gestore -&gt; apri /center/one/onboarding</t>
  </si>
  <si>
    <t xml:space="preserve">Redirect a '/center' (stesso gate del layout padre /center/one), nessun loop, nessun 'Application error'</t>
  </si>
  <si>
    <t xml:space="preserve">Playwright: tests/one/smoke.spec.ts — PENDING LOCAL VERIFICATION (richiede browser reale, non eseguibile nel sandbox). Comando: set -a; source .env.test; set +a; TEST_BASE_URL=&lt;url prod&gt; npx playwright test tests/one/smoke.spec.ts --grep "TC-N401"</t>
  </si>
  <si>
    <t xml:space="preserve">TC-N402</t>
  </si>
  <si>
    <t xml:space="preserve">Admin: /admin/one/onboarding con flag disattivato fa fallback a '/admin' senza loop</t>
  </si>
  <si>
    <t xml:space="preserve">Login admin -&gt; apri /admin/one/onboarding</t>
  </si>
  <si>
    <t xml:space="preserve">Playwright: tests/one/smoke.spec.ts — PENDING LOCAL VERIFICATION. Comando: set -a; source .env.test; set +a; TEST_BASE_URL=&lt;url prod&gt; npx playwright test tests/one/smoke.spec.ts --grep "TC-N402"</t>
  </si>
  <si>
    <t xml:space="preserve">TC-N403</t>
  </si>
  <si>
    <t xml:space="preserve">Avviare l'attivazione del centro sposta lo stato tecnico da LEAD a CLAIMED e registra un audit log</t>
  </si>
  <si>
    <t xml:space="preserve">Centro con TRAMA_ONE_ENABLED=true per l'utente e una riga LEAD in center_onboarding_state (auto-creata da migration_10 per un centro nuovo, oppure inserita manualmente per un centro pre-esistente di test — vedi TC-N407 per il caso automatico)</t>
  </si>
  <si>
    <t xml:space="preserve">Login gestore -&gt; apri /center/one/onboarding -&gt; 'Avvia l'attivazione del centro'</t>
  </si>
  <si>
    <t xml:space="preserve">Badge passa a 'Attivazione avviata', compare una riga di audit 'Centro da attivare -&gt; Attivazione avviata'</t>
  </si>
  <si>
    <t xml:space="preserve">Eseguito da Fabrizio in produzione (luglio 2026): storico confermato LEAD-&gt;CLAIMED-&gt;SUBMITTED-&gt;APPROVED su '[TEST] Centro BuddyKids'. Wording aggiornato in questa remediation (CTA 'Reclama il mio centro' rimossa, sostituita da 'Avvia l'attivazione del centro' — DEC-26).</t>
  </si>
  <si>
    <t xml:space="preserve">TC-N404</t>
  </si>
  <si>
    <t xml:space="preserve">'Invia per revisione' resta disabilitato finche' la checklist obbligatoria non e' completa</t>
  </si>
  <si>
    <t xml:space="preserve">Centro in stato CLAIMED, checklist con almeno un item required incompleto</t>
  </si>
  <si>
    <t xml:space="preserve">Apri /center/one/onboarding con item 'identity_verified' non completato</t>
  </si>
  <si>
    <t xml:space="preserve">Bottone 'Invia per revisione' disabilitato con tooltip esplicativo</t>
  </si>
  <si>
    <t xml:space="preserve">DA TESTARE (richiede migration_09 applicata)</t>
  </si>
  <si>
    <t xml:space="preserve">Logica pura isRequiredChecklistComplete() gia' coperta da unit test (tests/one/onboarding.spec.ts, eseguiti e verdi nel sandbox: 72/72 passed). Il collegamento reale UI+DB (bottone disabilitato finche' non completa) NON e' stato esplicitamente osservato/screenshot — resta DA TESTARE, non sovrastimare la prova.</t>
  </si>
  <si>
    <t xml:space="preserve">TC-N405</t>
  </si>
  <si>
    <t xml:space="preserve">L'Admin approva un centro SUBMITTED: stato passa ad APPROVED, audit registrato, centro sparisce dalla coda 'In revisione'</t>
  </si>
  <si>
    <t xml:space="preserve">Centro in stato SUBMITTED, login platform_admin</t>
  </si>
  <si>
    <t xml:space="preserve">Apri /admin/one/onboarding -&gt; 'Approva' sul centro in coda</t>
  </si>
  <si>
    <t xml:space="preserve">Badge passa a 'Approvato', il centro esce dalla lista 'In revisione'</t>
  </si>
  <si>
    <t xml:space="preserve">Eseguito da Fabrizio in produzione: approvazione confermata via screenshot (badge 'Approvato' lato Partner, coda Admin con 'Altri stati (1)' e bottone Sospendi). Transizione passa da admin_review_center_onboarding() (SECURITY DEFINER).</t>
  </si>
  <si>
    <t xml:space="preserve">TC-N406</t>
  </si>
  <si>
    <t xml:space="preserve">TRAMA ONE - Walkthrough generico (Sprint 1)</t>
  </si>
  <si>
    <t xml:space="preserve">Il percorso 'Benvenuto in TRAMA ONE' avanza con Inizia/Continua/Salta e puo' essere rilanciato</t>
  </si>
  <si>
    <t xml:space="preserve">Login genitore, TRAMA_ONE_ENABLED=true per l'utente, nessun progresso precedente sul tutorial 'welcome_parent'</t>
  </si>
  <si>
    <t xml:space="preserve">Apri /one -&gt; 'Inizia' -&gt; 'Continua' su ogni step fino a 'Tutto pronto' -&gt; 'Rilancia percorso'</t>
  </si>
  <si>
    <t xml:space="preserve">Contatore step avanza (0/3 -&gt; 3/3), 'Rilancia percorso' azzera lo stato e torna al primo step</t>
  </si>
  <si>
    <t xml:space="preserve">Eseguito da Fabrizio in produzione: percorso Walkthrough Parent completato con successo (vedi AUDIT_CHECKPOINT_SPRINT_1.md §9). Registry generico gia' coperto da unit test.</t>
  </si>
  <si>
    <t xml:space="preserve">TC-N407</t>
  </si>
  <si>
    <t xml:space="preserve">TRAMA ONE - Onboarding Centro (Audit Remediation)</t>
  </si>
  <si>
    <t xml:space="preserve">Creare un nuovo centro lo rende visibile in coda onboarding come 'Da attivare', SENZA alcun INSERT manuale (trigger automatico migration_10)</t>
  </si>
  <si>
    <t xml:space="preserve">migration_10_center_onboarding_auto_lead.sql applicata; login platform_admin</t>
  </si>
  <si>
    <t xml:space="preserve">Login admin -&gt; /admin/centers -&gt; '+ Nuovo centro' -&gt; compila 'Nome del centro' con un nome riconoscibile (es. '[TEST] Centro Auto LEAD') -&gt; 'Crea centro' -&gt; apri /admin/one/onboarding</t>
  </si>
  <si>
    <t xml:space="preserve">Il nuovo centro compare subito in 'Altri stati' con etichetta 'Da attivare' (stato tecnico LEAD), senza alcuna query SQL manuale</t>
  </si>
  <si>
    <t xml:space="preserve">Verificato dal vivo da Fabrizio (chromium+mobile-chrome) contro https://buddykids-app.vercel.app dopo applicazione migration_10: il centro nuovo riceve la riga LEAD automaticamente, senza INSERT manuale. Il run reale aveva rivelato 3 bug nel TEST (locator getByLabel non associato, new RegExp('[TEST]') interpretata come classe di caratteri, un livello di risalita DOM di troppo) - corretti in tests/one/onboarding-remediation.spec.ts (commit 65248e2/64924c0/b5842ca), nessuna modifica al prodotto. Vedi DEC-33.</t>
  </si>
  <si>
    <t xml:space="preserve">TC-N408</t>
  </si>
  <si>
    <t xml:space="preserve">Il centro appena creato compare esattamente una volta in coda, mai duplicato (idempotenza del trigger)</t>
  </si>
  <si>
    <t xml:space="preserve">migration_10 applicata; login platform_admin</t>
  </si>
  <si>
    <t xml:space="preserve">Crea un nuovo centro riconoscibile -&gt; apri /admin/one/onboarding -&gt; ricarica la pagina (refresh)</t>
  </si>
  <si>
    <t xml:space="preserve">Il nome del centro compare una sola volta nella pagina, anche dopo il refresh (ON CONFLICT DO NOTHING nel trigger)</t>
  </si>
  <si>
    <t xml:space="preserve">Verificato dal vivo (chromium+mobile-chrome): stesso centro compare esattamente una volta anche dopo reload, confermando l'idempotenza ON CONFLICT DO NOTHING del trigger migration_10. Vedi DEC-33.</t>
  </si>
  <si>
    <t xml:space="preserve">TC-N409</t>
  </si>
  <si>
    <t xml:space="preserve">Percorso con integrazioni: SUBMITTED -&gt; CHANGES_REQUESTED -&gt; SUBMITTED -&gt; APPROVED</t>
  </si>
  <si>
    <t xml:space="preserve">Centro in stato SUBMITTED (precondizione manuale: reimpostare '[TEST] Centro BuddyKids' o equivalente a SUBMITTED prima del test)</t>
  </si>
  <si>
    <t xml:space="preserve">Admin: 'Richiedi modifiche' -&gt; Partner vede 'Integrazioni richieste' -&gt; 'Invia nuovamente per verifica' -&gt; Admin: 'Approva'</t>
  </si>
  <si>
    <t xml:space="preserve">Stato finale 'Approvato'; lo storico mostra l'intero giro (Centro da attivare/Attivazione avviata/In verifica/Integrazioni richieste/In verifica/Centro attivo lato Partner)</t>
  </si>
  <si>
    <t xml:space="preserve">Fallisce ancora al run reale: richiede la precondizione SQL manuale (reset di un centro di test a SUBMITTED) documentata nel test stesso, non ancora eseguita da Fabrizio. Non e' un bug - vedi DEC-33/DEC-34.</t>
  </si>
  <si>
    <t xml:space="preserve">TC-N410</t>
  </si>
  <si>
    <t xml:space="preserve">TRAMA ONE - Onboarding Centro (Audit Remediation, microcopy)</t>
  </si>
  <si>
    <t xml:space="preserve">Il termine 'Reclama'/'Rivendica' non compare in alcuna etichetta o CTA del registry onboarding; valori tecnici invariati; storico in italiano</t>
  </si>
  <si>
    <t xml:space="preserve">Nessuna (test puro, no browser)</t>
  </si>
  <si>
    <t xml:space="preserve">npx playwright test tests/one/onboarding.spec.ts --grep "TC-N410"</t>
  </si>
  <si>
    <t xml:space="preserve">9 assertion verdi: 6 valori tecnici invariati, etichette Partner/Admin non vuote e differenziabili, CTA 'Avvia l'attivazione del centro' presente, getSubmitCta corretto, formatOnboardingTransition traduce in italiano, nessuna parola vietata nei componenti UI</t>
  </si>
  <si>
    <t xml:space="preserve">Eseguito nel sandbox: 72/72 passed (include anche checklist/walkthrough/feature-flags gia' esistenti). Vedi tests/one/onboarding.spec.ts, describe 'registry etichette italiane onboarding [no browser]'.</t>
  </si>
  <si>
    <t xml:space="preserve">TC-N411</t>
  </si>
  <si>
    <t xml:space="preserve">TRAMA ONE - Onboarding Centro (Audit Remediation, sicurezza)</t>
  </si>
  <si>
    <t xml:space="preserve">Un center_admin di un centro diverso non puo' leggere/modificare l'onboarding di un altro centro</t>
  </si>
  <si>
    <t xml:space="preserve">Richiede una SECONDA utenza center_admin di test associata a un centro diverso — non ancora provisionata in questo progetto</t>
  </si>
  <si>
    <t xml:space="preserve">(da definire quando la seconda utenza sara' disponibile)</t>
  </si>
  <si>
    <t xml:space="preserve">L'accesso/la modifica su un centro non proprio viene rifiutata (RLS current_center_id() di migration_09, non modificata da questa remediation)</t>
  </si>
  <si>
    <t xml:space="preserve">NON AUTOMATIZZATO (test.skip — richiede seconda utenza di test)</t>
  </si>
  <si>
    <t xml:space="preserve">Test predisposto in tests/one/onboarding-remediation.spec.ts (TC-N411), skippato con motivazione esplicita. Le policy RLS coinvolte sono quelle di migration_09 (gia' in produzione), non introdotte da questa remediation.</t>
  </si>
  <si>
    <t xml:space="preserve">TC-N412</t>
  </si>
  <si>
    <t xml:space="preserve">Partner: /center/one/onboarding senza sessione autenticata reindirizza al login</t>
  </si>
  <si>
    <t xml:space="preserve">Apri /center/one/onboarding senza login</t>
  </si>
  <si>
    <t xml:space="preserve">Redirect a /auth/login (comportamento proxy.ts invariato, non modificato da questa remediation)</t>
  </si>
  <si>
    <t xml:space="preserve">Test automatizzato: tests/one/onboarding-remediation.spec.ts, TC-N412.</t>
  </si>
  <si>
    <t xml:space="preserve">TC-N413</t>
  </si>
  <si>
    <t xml:space="preserve">Admin: /admin/one/onboarding senza sessione autenticata reindirizza al login</t>
  </si>
  <si>
    <t xml:space="preserve">Apri /admin/one/onboarding senza login</t>
  </si>
  <si>
    <t xml:space="preserve">Test automatizzato: tests/one/onboarding-remediation.spec.ts, TC-N413.</t>
  </si>
  <si>
    <t xml:space="preserve">TC-414</t>
  </si>
  <si>
    <t xml:space="preserve">TRAMA ONE Build Sprint 2 - Catalogo/Giorni spot</t>
  </si>
  <si>
    <t xml:space="preserve">Il gestore puo' impostare la modalita' di prenotazione (settimana/giornaliera/mista) e un minimo giorni facoltativo per un'attivita', senza alterare il comportamento delle attivita' esistenti (default 'mixed')</t>
  </si>
  <si>
    <t xml:space="preserve">Account Gestore collegato a un centro, attivita esistente ([TEST] Attivita BuddyKids); migration_11_activity_booking_mode.sql applicata in produzione</t>
  </si>
  <si>
    <t xml:space="preserve">Apri /center/activities/[id] -&gt; sezione 'Modalita di prenotazione' -&gt; seleziona 'Solo Giorni spot' -&gt; imposta minimo giorni -&gt; Salva modifiche -&gt; verifica -&gt; ripristina 'Settimana e Giorni spot'</t>
  </si>
  <si>
    <t xml:space="preserve">Il salvataggio scrive booking_mode/min_days_per_booking su activities (aggiornamento condizionale, vedi updateActivityAction); nessuna attivita esistente cambia comportamento finche' non viene esplicitamente modificata (default 'mixed' invariato)</t>
  </si>
  <si>
    <t xml:space="preserve">Test automatizzato: tests/gestore/attivita.spec.ts, TC-414 (gated su isRealDeployment). migration_11_activity_booking_mode.sql APPLICATA in produzione da Fabrizio (post-check reale: booking_mode presente, default mixed, 11/11 attivita esistenti invariate — vedi DEC-36). Precondizione soddisfatta, test Playwright ancora da rieseguire dal vivo. Riferimento: DEC-32/DEC-36 (DECISION_LOG.md), SPRINT_2_FEATURE_PRESERVATION_MATRIX.md.</t>
  </si>
  <si>
    <t xml:space="preserve">TC-N414</t>
  </si>
  <si>
    <t xml:space="preserve">TRAMA ONE - Product Walkthrough Spotlight reale (Controlled Beta, S7-14)</t>
  </si>
  <si>
    <t xml:space="preserve">Il gestore vede in /center/activities lo Spotlight reale (overlay+cutout+popover ancorato) sul pulsante '+ Nuova attivita', non piu' una card testuale scollegata in /center/one</t>
  </si>
  <si>
    <t xml:space="preserve">Login center_admin; flag TRAMA_ONE_ENABLED attivo per l'utente di test (override, vedi DEC-34)</t>
  </si>
  <si>
    <t xml:space="preserve">Login gestore -&gt; apri /center/activities</t>
  </si>
  <si>
    <t xml:space="preserve">Il pulsante '+ Nuova attivita' ha l'attributo data-spotlight="create_activity"; e' visibile un dialog (role=dialog) ancorato ad esso con titolo 'Crea l'attivita', 'Passo 1 di 6', la descrizione dello step e il bottone 'Inizia'</t>
  </si>
  <si>
    <t xml:space="preserve">Test automatizzato: tests/one/walkthrough-partner.spec.ts, TC-N414 (riscritto per il gate Controlled Beta S7-14/DEC-60: la WalkthroughCard su /center/one e' stata rimossa, il vero Spotlight vive ora sulle pagine reali, montato in app/center/layout.tsx).</t>
  </si>
  <si>
    <t xml:space="preserve">TC-N415</t>
  </si>
  <si>
    <t xml:space="preserve">Avviare lo step ('Inizia') lo marca 'in_progress' in modo persistente (tutorial_progress), non solo nello stato locale del componente Spotlight</t>
  </si>
  <si>
    <t xml:space="preserve">Login gestore -&gt; apri /center/activities -&gt; click 'Inizia' nel popover -&gt; ricarica la pagina</t>
  </si>
  <si>
    <t xml:space="preserve">Il popover mostra il messaggio "Fatto? Clicca l'elemento evidenziato per continuare."; dopo il reload lo stesso messaggio ricompare (conferma scrittura reale via startWalkthroughStepAction, non solo useState)</t>
  </si>
  <si>
    <t xml:space="preserve">Test automatizzato: tests/one/walkthrough-partner.spec.ts, TC-N415.</t>
  </si>
  <si>
    <t xml:space="preserve">TC-N500</t>
  </si>
  <si>
    <t xml:space="preserve">TRAMA ONE Build Sprint 3 - Giorni spot (Parent)</t>
  </si>
  <si>
    <t xml:space="preserve">Il genitore puo' selezionare singoli giorni (invece della settimana intera) nella scheda attivita, con prezzo calcolato dinamicamente (tariffa giornaliera + sconto del giorno)</t>
  </si>
  <si>
    <t xml:space="preserve">Login parent; attivita di test con booking_mode='mixed'/'day_only' e activity_days seminati (supabase/seed-test-data.sql STEP 7, richiede migration_11 e migration_12 applicate)</t>
  </si>
  <si>
    <t xml:space="preserve">Apri /activity/[id] dell'attivita di test -&gt; sezione 'Giorni spot' -&gt; seleziona un giorno -&gt; osserva barra prezzo inferiore e link 'Prenota ora'</t>
  </si>
  <si>
    <t xml:space="preserve">La barra inferiore mostra il totale dei giorni scelti (non piu' il prezzo a settimana), il link 'Prenota ora' porta ?days=&lt;date...&gt; in query; deselezionando si torna al prezzo a settimana</t>
  </si>
  <si>
    <t xml:space="preserve">Test automatizzato: tests/genitori/giorni-spot.spec.ts, TC-N500 (gated su isRealDeployment + dati STEP 7 di seed-test-data.sql). lib/day-pricing.ts (nuovo, funzioni pure) calcola il prezzo. Riferimento: SPRINT_3_FEATURE_PRESERVATION_MATRIX.md, DEC-38 (DECISION_LOG.md).</t>
  </si>
  <si>
    <t xml:space="preserve">TC-N501</t>
  </si>
  <si>
    <t xml:space="preserve">Una prenotazione a Giorni spot (giorni singoli scelti in scheda attivita) puo' essere completata e arriva a schermata di successo, persistendo i giorni scelti in booking_days</t>
  </si>
  <si>
    <t xml:space="preserve">Login parent; stessa precondizione di TC-N500; almeno un bambino salvato ([TEST] Bimbo Prova, STEP 6 seed-test-data.sql)</t>
  </si>
  <si>
    <t xml:space="preserve">Da /activity/[id] seleziona un giorno -&gt; 'Prenota ora' -&gt; step 1 mostra riepilogo 'Giorni scelti' (non la griglia settimane) -&gt; Continua -&gt; step 2 bambino gia' preselezionato -&gt; Continua -&gt; step 3 -&gt; 'Conferma e paga'</t>
  </si>
  <si>
    <t xml:space="preserve">Redirect a /booking/[id]/success; la prenotazione viene creata in bookings con weekIds vuoto e un insert best-effort in booking_days (migration_12) per ogni giorno scelto, prezzo del giorno congelato</t>
  </si>
  <si>
    <t xml:space="preserve">Test automatizzato: tests/genitori/giorni-spot.spec.ts, TC-N501. Nessun impatto sul flusso a settimana esistente (ADAPT non REPLACE, vedi SPRINT_3_FEATURE_PRESERVATION_MATRIX.md). Navetta esplicitamente esclusa dal costo su Giorni spot (nessuna regola di proporzionamento definita) - non e una regressione, e una lacuna nota e documentata (DEC-38).</t>
  </si>
  <si>
    <t xml:space="preserve">TC-N502</t>
  </si>
  <si>
    <t xml:space="preserve">TRAMA ONE Build Sprint 3 - Ricerca (filtro Giorni spot)</t>
  </si>
  <si>
    <t xml:space="preserve">Il genitore puo' filtrare i risultati di Ricerca per mostrare solo attivita con almeno un Giorno spot disponibile</t>
  </si>
  <si>
    <t xml:space="preserve">Login parent (LEGACY /search)</t>
  </si>
  <si>
    <t xml:space="preserve">Apri /search -&gt; apri il pannello 'Copertura' -&gt; attiva 'Solo attivita con Giorni spot disponibili ora'</t>
  </si>
  <si>
    <t xml:space="preserve">Il chip diventa azzerabile ('Azzera' abilitato); in ambiente senza dati Giorni spot seminati il filtro puo' azzerare i risultati (nessun conteggio specifico garantito - dipende da supabase/seed-test-data.sql STEP 7)</t>
  </si>
  <si>
    <t xml:space="preserve">Test automatizzato: tests/genitori/cerca.spec.ts, TC-N502. Nuova funzione dati lib/data/activities.ts#getActivitiesWithOpenDaySpots() (query unica, no N+1, stesso pattern di getActivityAvailabilityByWeek). Filtro client-side come tutti gli altri filtri di SearchClient.tsx. AGGIORNAMENTO 2026-07-22: il chip/pannello e' stato rinominato da 'Giorni spot' a 'Copertura' (ora include anche il filtro sulla modalita' di prenotazione, vedi TC-N507) — stesso dato/stesso comportamento, cambiato solo il punto di accesso in UI.</t>
  </si>
  <si>
    <t xml:space="preserve">TC-N503</t>
  </si>
  <si>
    <t xml:space="preserve">TRAMA ONE Build Sprint 3 - Context object leggero (Ricerca-&gt;Dettaglio-&gt;Prenotazione)</t>
  </si>
  <si>
    <t xml:space="preserve">Un correlationId e source='search' generati in Ricerca (LEGACY) propagano nel link alla scheda attivita e poi nel link 'Prenota ora'</t>
  </si>
  <si>
    <t xml:space="preserve">Apri /search -&gt; osserva il link della prima card risultato -&gt; clicca sulla card -&gt; osserva il link 'Prenota ora' nella scheda attivita</t>
  </si>
  <si>
    <t xml:space="preserve">Il link della card contiene ?source=search e ?cid=&lt;uuid&gt;; la URL del dettaglio li contiene entrambi; il link 'Prenota ora' li propaga a sua volta verso /booking/[id]</t>
  </si>
  <si>
    <t xml:space="preserve">Test automatizzato: tests/genitori/cerca.spec.ts, TC-N503. Scope minimo: solo source/correlationId, propagazione client-side via query string (ActivityCardHorizontal.tsx -&gt; DetailClient.tsx -&gt; BookingClient.tsx). Loggato server-side in actions.ts via logTelemetryEvent('booking_created'), nessun dato personale, nessuna persistenza (sistema eventi completo resta E11/Sprint 6, vedi lib/telemetry/correlation.ts).</t>
  </si>
  <si>
    <t xml:space="preserve">TC-N504</t>
  </si>
  <si>
    <t xml:space="preserve">TRAMA ONE Build Sprint 3 - Ricerca NEXTGEN (filtro Giorni spot)</t>
  </si>
  <si>
    <t xml:space="preserve">Stesso filtro di TC-N502, nel pannello Ricerca NEXTGEN</t>
  </si>
  <si>
    <t xml:space="preserve">Login parent (NEXTGEN /nextgen/search)</t>
  </si>
  <si>
    <t xml:space="preserve">Apri /nextgen/search -&gt; apri il pannello 'Copertura' -&gt; attiva 'Solo attivita con Giorni spot disponibili ora' -&gt; 'Azzera'</t>
  </si>
  <si>
    <t xml:space="preserve">Il chip diventa azzerabile; 'Azzera' rimuove il filtro e torna a non essere presente nel DOM (stesso comportamento degli altri filtri NEXTGEN)</t>
  </si>
  <si>
    <t xml:space="preserve">Test automatizzato: tests/nextgen/search-filters-5-7.spec.ts, TC-N504. Stessa fonte dati di TC-N502 (getActivitiesWithOpenDaySpots), passata a SearchDiscoveryClient.tsx. AGGIORNAMENTO 2026-07-22: il chip/pannello e' stato rinominato da 'Giorni spot' a 'Copertura' (vedi TC-N506) — stesso dato/stesso comportamento, cambiato solo il punto di accesso in UI.</t>
  </si>
  <si>
    <t xml:space="preserve">TC-N505</t>
  </si>
  <si>
    <t xml:space="preserve">TRAMA ONE Build Sprint 3 - Context object leggero (Ricerca NEXTGEN-&gt;Dettaglio-&gt;Prenotazione)</t>
  </si>
  <si>
    <t xml:space="preserve">Stesso concetto di TC-N503, con source='nextgen_search'</t>
  </si>
  <si>
    <t xml:space="preserve">Apri /nextgen/search -&gt; osserva il link della prima card risultato -&gt; clicca -&gt; osserva il link 'Prenota ora'</t>
  </si>
  <si>
    <t xml:space="preserve">Il link della card contiene ?source=nextgen_search e ?cid=&lt;uuid&gt;; propagati fino al link 'Prenota ora'</t>
  </si>
  <si>
    <t xml:space="preserve">Test automatizzato: tests/nextgen/search-filters-5-7.spec.ts, TC-N505. ActivityCard.tsx (NEXTGEN) prima non propagava alcun query param nel link al dettaglio - estensione additiva (props opzionali).</t>
  </si>
  <si>
    <t xml:space="preserve">TC-N506</t>
  </si>
  <si>
    <t xml:space="preserve">TRAMA ONE - Ricerca NEXTGEN, filtro Copertura (modalita di prenotazione)</t>
  </si>
  <si>
    <t xml:space="preserve">Fabrizio (feedback sitemap/UX Ricerca): il genitore puo' filtrare i risultati per modalita' di prenotazione supportata (Settimana intera / Giorni singoli / Entrambe), asse distinto dalla categoria ('Tipo attivita')</t>
  </si>
  <si>
    <t xml:space="preserve">Apri /nextgen/search -&gt; apri il pannello 'Copertura' -&gt; seleziona 'Giorni singoli'</t>
  </si>
  <si>
    <t xml:space="preserve">Il chip mostra 'Copertura (1)'; i risultati si riducono alle attivita con booking_mode IN ('day_only','mixed'); 'Azzera' rimuove la selezione e il chip torna a 'Copertura' senza contatore</t>
  </si>
  <si>
    <t xml:space="preserve">Test automatizzato: tests/nextgen/search-filters-5-7.spec.ts, TC-N506. Filtro client-side puro su activity.bookingMode (nessuna nuova query — campo gia' letto da activities.booking_mode, vedi migration_11/DEC-32). Riordino filtri nella stessa passata: Bambini -&gt; Data -&gt; Copertura -&gt; Eta -&gt; Zona -&gt; Tipo attivita -&gt; Servizi -&gt; Prezzo (prima: Eta/Prezzo/Zona/Tipo attivita/Servizi/Data/Giorni spot).</t>
  </si>
  <si>
    <t xml:space="preserve">TC-N507</t>
  </si>
  <si>
    <t xml:space="preserve">TRAMA ONE - Ricerca LEGACY, filtro Copertura (modalita di prenotazione)</t>
  </si>
  <si>
    <t xml:space="preserve">Stesso filtro di TC-N506, nel pannello Ricerca LEGACY</t>
  </si>
  <si>
    <t xml:space="preserve">Apri /search -&gt; apri il pannello 'Copertura' -&gt; seleziona 'Giorni singoli'</t>
  </si>
  <si>
    <t xml:space="preserve">Il chip mostra 'Copertura (1)'; i risultati si riducono alle attivita con booking_mode IN ('day_only','mixed'); 'Azzera' abilitato</t>
  </si>
  <si>
    <t xml:space="preserve">Test automatizzato: tests/genitori/cerca.spec.ts, TC-N507. Stesso filtro client-side di TC-N506, passata a SearchClient.tsx. Riordino filtri nella stessa passata: Data -&gt; Copertura -&gt; Eta -&gt; Zona -&gt; Tipo attivita -&gt; Servizi -&gt; Prezzo (prima: Eta/Prezzo/Zona/Tipo attivita/Servizi/Data/Giorni spot).</t>
  </si>
  <si>
    <t xml:space="preserve">TC-508</t>
  </si>
  <si>
    <t xml:space="preserve">TRAMA ONE Build Sprint 4 - Inbox prenotazioni Partner (risposta)</t>
  </si>
  <si>
    <t xml:space="preserve">Il centro vede una prenotazione 'pending' nella nuova Inbox /center/prenotazioni e puo' accettarla</t>
  </si>
  <si>
    <t xml:space="preserve">Login center_admin; supabase/seed-test-data.sql STEP 8 eseguito (prenotazione di test pending)</t>
  </si>
  <si>
    <t xml:space="preserve">Apri /center/prenotazioni -&gt; individua la riga dell'attivita di test in 'Da rispondere' -&gt; clic 'Accetta'</t>
  </si>
  <si>
    <t xml:space="preserve">La riga passa da badge 'Da rispondere' a 'Accettata'; bookings.partner_decision passa a 'accepted' e status a 'confirmed' (RLS: nuova policy UPDATE centro, migration_13)</t>
  </si>
  <si>
    <t xml:space="preserve">Test automatizzato: tests/gestore/prenotazioni.spec.ts, TC-508. Nuova pagina app/center/prenotazioni/page.tsx + PrenotazioniClient.tsx, azione respondToBookingAction (app/actions/booking-response.ts), data layer lib/data/center-bookings.ts. WRAP non REPLACE (DEC-15/DEC-42): nessuna nuova tabella, colonne additive su bookings/booking_days.</t>
  </si>
  <si>
    <t xml:space="preserve">TC-509</t>
  </si>
  <si>
    <t xml:space="preserve">TRAMA ONE Build Sprint 4 - Sync genitore su risposta Partner</t>
  </si>
  <si>
    <t xml:space="preserve">Dopo l'accettazione del centro, il genitore vede la prenotazione come 'Confermata' in 'Le mie prenotazioni'</t>
  </si>
  <si>
    <t xml:space="preserve">TC-508 gia eseguito (o comunque una prenotazione accepted per il genitore di test)</t>
  </si>
  <si>
    <t xml:space="preserve">Login parent -&gt; apri /prenotazioni -&gt; individua la riga dell'attivita di test</t>
  </si>
  <si>
    <t xml:space="preserve">Il badge stato mostra 'Confermata' (bookings.status = 'confirmed', propagato da partner_decision = 'accepted')</t>
  </si>
  <si>
    <t xml:space="preserve">Test automatizzato: tests/gestore/prenotazioni.spec.ts, TC-509. lib/data/my-bookings.ts esteso con partnerDecision/partnerProposalNote/readByParent (additivo). Badge 'novita' (pallino rosso) su read_by_parent, stesso pattern di activity_inquiries.</t>
  </si>
  <si>
    <t xml:space="preserve">TC-510</t>
  </si>
  <si>
    <t xml:space="preserve">TRAMA ONE Build Sprint 4 - Stato Inbox prenotazioni Partner</t>
  </si>
  <si>
    <t xml:space="preserve">La pagina /center/prenotazioni non va mai in errore e mostra sempre le due sezioni con conteggio, anche senza prenotazioni in attesa</t>
  </si>
  <si>
    <t xml:space="preserve">Login center_admin</t>
  </si>
  <si>
    <t xml:space="preserve">Apri /center/prenotazioni</t>
  </si>
  <si>
    <t xml:space="preserve">Sono visibili 'Da rispondere (N)' e 'Storico (N)' con N &gt;= 0, nessun errore a schermo</t>
  </si>
  <si>
    <t xml:space="preserve">Test automatizzato: tests/gestore/prenotazioni.spec.ts, TC-510. Stesso principio dello stato vuoto gia' verificato per 'Le mie richieste' (TC-164).</t>
  </si>
  <si>
    <t xml:space="preserve">TC-N600</t>
  </si>
  <si>
    <t xml:space="preserve">TRAMA ONE Build Sprint 5 - CenterLead (Segnalazione centro, Genitore)</t>
  </si>
  <si>
    <t xml:space="preserve">Genitore: una ricerca senza risultati mostra il punto di ingresso 'Suggerisci un centro'</t>
  </si>
  <si>
    <t xml:space="preserve">Login parent; nessuna attivita/centro nel DB corrisponde alla query di ricerca usata nel test</t>
  </si>
  <si>
    <t xml:space="preserve">Login genitore -&gt; apri /nextgen/search -&gt; cerca 'zzzznonexistentcenterzzzz9999' (query pensata per non trovare alcun risultato)</t>
  </si>
  <si>
    <t xml:space="preserve">Compare il messaggio 'Nessuna attivita corrisponde ai filtri scelti.' insieme al punto di ingresso 'Non trovi il centro che cerchi?' (CTA verso il flusso di segnalazione)</t>
  </si>
  <si>
    <t xml:space="preserve">Test automatizzato: tests/one/center-leads.spec.ts, TC-N600 (gated su isRealDeployment: richiede un deploy con Supabase configurato e gli account di test parent/platform_admin). TRAMA ONE Build Sprint 5 - CenterLead: il genitore puo' segnalare un centro non ancora sulla piattaforma (referral). Riferimento: docs/trama-one/analysis/SPRINT_5_FEATURE_PRESERVATION_MATRIX.md.</t>
  </si>
  <si>
    <t xml:space="preserve">TC-N601</t>
  </si>
  <si>
    <t xml:space="preserve">TRAMA ONE Build Sprint 5 - CenterLead (Invio segnalazione, Genitore)</t>
  </si>
  <si>
    <t xml:space="preserve">Genitore: inviare una segnalazione crea SOLO una riga center_leads, mai un'attivita pubblica</t>
  </si>
  <si>
    <t xml:space="preserve">Login parent; stessa ricerca senza risultati di TC-N600; migrazione additiva center_leads applicata</t>
  </si>
  <si>
    <t xml:space="preserve">Da /nextgen/search (0 risultati) -&gt; 'Suggerisci un centro' -&gt; compila 'Nome del centro *' (nome univoco di test) e 'Citta / zona (indicativo)' -&gt; 'Invia segnalazione'</t>
  </si>
  <si>
    <t xml:space="preserve">Messaggio di conferma 'Grazie! Abbiamo ricevuto la tua segnalazione'; viene creata una riga in center_leads; nessuna riga viene creata in activities (nessuna attivita pubblica fantasma)</t>
  </si>
  <si>
    <t xml:space="preserve">Test automatizzato: tests/one/center-leads.spec.ts, TC-N601 (gated su isRealDeployment: richiede un deploy con Supabase configurato e gli account di test parent/platform_admin). Serializzato con TC-N602/603/604/605 (stesso pattern gia' usato da tests/one/walkthrough-partner.spec.ts per TC-N414/415): crea una segnalazione reale che i test successivi leggono e mutano in sequenza.</t>
  </si>
  <si>
    <t xml:space="preserve">TC-N602</t>
  </si>
  <si>
    <t xml:space="preserve">TRAMA ONE Build Sprint 5 - CenterLead (I tuoi suggerimenti, Genitore)</t>
  </si>
  <si>
    <t xml:space="preserve">Genitore: 'I tuoi suggerimenti' mostra la segnalazione appena inviata come 'Ricevuta'</t>
  </si>
  <si>
    <t xml:space="preserve">TC-N601 gia' eseguito nella stessa run (segnalazione creata); login parent (stesso utente)</t>
  </si>
  <si>
    <t xml:space="preserve">Login genitore -&gt; apri /center-leads</t>
  </si>
  <si>
    <t xml:space="preserve">La riga corrispondente al nome del centro segnalato in TC-N601 mostra lo stato 'Ricevuta'</t>
  </si>
  <si>
    <t xml:space="preserve">Test automatizzato: tests/one/center-leads.spec.ts, TC-N602 (gated su isRealDeployment: richiede un deploy con Supabase configurato e gli account di test parent/platform_admin). Pagina /center-leads a sola lettura lato Genitore.</t>
  </si>
  <si>
    <t xml:space="preserve">TC-N603</t>
  </si>
  <si>
    <t xml:space="preserve">TRAMA ONE Build Sprint 5 - CenterLead (Coda Admin)</t>
  </si>
  <si>
    <t xml:space="preserve">Admin: la coda 'Segnalazioni centri' mostra la nuova segnalazione tra le Attive</t>
  </si>
  <si>
    <t xml:space="preserve">TC-N601 gia' eseguito (segnalazione creata); login platform_admin</t>
  </si>
  <si>
    <t xml:space="preserve">Login admin -&gt; apri /admin/center-leads</t>
  </si>
  <si>
    <t xml:space="preserve">La segnalazione con il nome di test compare tra le Attive con badge 'Nuova'</t>
  </si>
  <si>
    <t xml:space="preserve">Test automatizzato: tests/one/center-leads.spec.ts, TC-N603 (gated su isRealDeployment: richiede un deploy con Supabase configurato e gli account di test parent/platform_admin).</t>
  </si>
  <si>
    <t xml:space="preserve">TC-N604</t>
  </si>
  <si>
    <t xml:space="preserve">TRAMA ONE Build Sprint 5 - CenterLead (Coda Admin - Qualifica)</t>
  </si>
  <si>
    <t xml:space="preserve">Admin: 'Qualifica' sposta lo stato della segnalazione a 'In valutazione'</t>
  </si>
  <si>
    <t xml:space="preserve">TC-N603 gia' verificato (segnalazione visibile tra le Attive); login platform_admin</t>
  </si>
  <si>
    <t xml:space="preserve">Apri /admin/center-leads -&gt; sulla card della segnalazione di test -&gt; 'Qualifica'</t>
  </si>
  <si>
    <t xml:space="preserve">Il badge di stato della card passa a 'In valutazione'</t>
  </si>
  <si>
    <t xml:space="preserve">Test automatizzato: tests/one/center-leads.spec.ts, TC-N604 (gated su isRealDeployment: richiede un deploy con Supabase configurato e gli account di test parent/platform_admin).</t>
  </si>
  <si>
    <t xml:space="preserve">TC-N605</t>
  </si>
  <si>
    <t xml:space="preserve">TRAMA ONE Build Sprint 5 - CenterLead (Coda Admin - Claim)</t>
  </si>
  <si>
    <t xml:space="preserve">Admin: il claim collega la segnalazione a un centro esistente e la sposta nello Storico come 'claimed'</t>
  </si>
  <si>
    <t xml:space="preserve">TC-N604 gia' eseguito (segnalazione in 'In valutazione'); login platform_admin; almeno un centro reale selezionabile nella select di claim</t>
  </si>
  <si>
    <t xml:space="preserve">Sulla card della segnalazione di test -&gt; seleziona un centro esistente dalla select -&gt; 'Claim'</t>
  </si>
  <si>
    <t xml:space="preserve">La segnalazione risulta collegata al centro selezionato (claim, non creazione di un nuovo centro) e mostra 'Iscritto (claimed)', spostandosi nello Storico</t>
  </si>
  <si>
    <t xml:space="preserve">Test automatizzato: tests/one/center-leads.spec.ts, TC-N605 (gated su isRealDeployment: richiede un deploy con Supabase configurato e gli account di test parent/platform_admin). Il claim collega la segnalazione a un centro esistente, non crea nulla di nuovo.</t>
  </si>
  <si>
    <t xml:space="preserve">TC-N606</t>
  </si>
  <si>
    <t xml:space="preserve">TRAMA ONE Build Sprint 5 - CenterLead (Sicurezza/Autenticazione)</t>
  </si>
  <si>
    <t xml:space="preserve">Un utente non autenticato che apre /center-leads o /admin/center-leads viene reindirizzato al login</t>
  </si>
  <si>
    <t xml:space="preserve">Apri /center-leads senza login -&gt; poi apri /admin/center-leads senza login</t>
  </si>
  <si>
    <t xml:space="preserve">Entrambe le route reindirizzano a /auth/login (comportamento proxy.ts invariato, non modificato da questa feature)</t>
  </si>
  <si>
    <t xml:space="preserve">Test automatizzato: tests/one/center-leads.spec.ts, TC-N606 (gated su isRealDeployment: richiede un deploy con Supabase configurato e gli account di test parent/platform_admin).</t>
  </si>
  <si>
    <t xml:space="preserve">TC-N607</t>
  </si>
  <si>
    <t xml:space="preserve">TRAMA ONE Build Sprint 6 - Capacity (Decremento capacita' alla accettazione, Genitore/Gestore)</t>
  </si>
  <si>
    <t xml:space="preserve">Gestore: accettare una prenotazione a settimana intera decrementa activity_weeks.spots_left di 1</t>
  </si>
  <si>
    <t xml:space="preserve">Deploy reale con Supabase configurato, SUPABASE_SERVICE_ROLE_KEY in .env.test, attivita' di test "[TEST] Attivita' BuddyKids" seminata (supabase/seed-test-data.sql)</t>
  </si>
  <si>
    <t xml:space="preserve">Il genitore di test crea una prenotazione reale a settimana intera sull'attivita' di test; il gestore di test accetta la prenotazione da /center/prenotazioni</t>
  </si>
  <si>
    <t xml:space="preserve">Dopo l'accettazione, activity_weeks.spots_left scende esattamente di 1 e booking_weeks.capacity_decremented diventa true (verificato via client Supabase service_role, letto direttamente nel test -- nessuna UI mostra questo valore)</t>
  </si>
  <si>
    <t xml:space="preserve">Test automatizzato: tests/one/capacity.spec.ts, TC-N607 (gated su isRealDeployment: richiede un deploy reale con Supabase configurato, SUPABASE_SERVICE_ROLE_KEY in .env.test e l'attivita' di test "[TEST] Attivita' BuddyKids" seminata via supabase/seed-test-data.sql, oltre agli account di test parent/gestore-di-test). Serializzato con TC-N608 (stesso pattern gia' usato da TC-N601/602/603/604/605 per center_leads): crea una prenotazione reale accettata che il test successivo annulla.</t>
  </si>
  <si>
    <t xml:space="preserve">TC-N608</t>
  </si>
  <si>
    <t xml:space="preserve">TRAMA ONE Build Sprint 6 - Capacity (Rilascio capacita' alla cancellazione, Genitore)</t>
  </si>
  <si>
    <t xml:space="preserve">Genitore: annullare una prenotazione gia' accettata rilascia la capacita' settimanale (spots_left)</t>
  </si>
  <si>
    <t xml:space="preserve">TC-N607 eseguito nello stesso run (prenotazione gia' accettata)</t>
  </si>
  <si>
    <t xml:space="preserve">Il genitore di test annulla, da /prenotazioni/[id]/modifica, la prenotazione gia' accettata in TC-N607</t>
  </si>
  <si>
    <t xml:space="preserve">bookings.status diventa 'cancelled', booking_weeks.capacity_decremented torna false, e activity_weeks.spots_left torna al valore precedente l'accettazione -- questo e' il fix del bug reale per cui cancelBookingAction non rilasciava mai la capacita' settimanale</t>
  </si>
  <si>
    <t xml:space="preserve">Test automatizzato: tests/one/capacity.spec.ts, TC-N608 (gated su isRealDeployment: richiede la prenotazione creata e accettata in TC-N607 nella stessa run). Verifica il fix del bug per cui cancelBookingAction non rilasciava mai booking_weeks.capacity_decremented ne' activity_weeks.spots_left.</t>
  </si>
  <si>
    <t xml:space="preserve">TC-N609</t>
  </si>
  <si>
    <t xml:space="preserve">TRAMA ONE Build Sprint 6 - Feature flag override expiry (Admin)</t>
  </si>
  <si>
    <t xml:space="preserve">Admin crea, vede lo stato (attivo/in scadenza/scaduto) e poi elimina un override di feature flag da /admin/feature-flags</t>
  </si>
  <si>
    <t xml:space="preserve">Deploy reale con Supabase configurato, migration_07_feature_flags_foundation.sql applicata, account platform_admin di test</t>
  </si>
  <si>
    <t xml:space="preserve">L'Admin apre /admin/feature-flags, seleziona il flag TRAMA_ONE_ENABLED, aggiunge un override di test con scope 'user' e un UUID inventato (mai un utente reale, per non toccare l'eventuale override globale reale gia' usato per abilitare le route /one), verifica che appaia con badge 'Senza scadenza', poi lo elimina</t>
  </si>
  <si>
    <t xml:space="preserve">L'override compare nella lista con lo stato corretto; dopo l'eliminazione la riga sparisce. Verifica anche indirettamente il bug fix di TC-N409 (Gate C, ottava ondata): un override scaduto ora e' visibile con badge 'Scaduto'/'In scadenza (&lt;72h)' invece di fallire silenziosamente senza alcuna traccia</t>
  </si>
  <si>
    <t xml:space="preserve">Test automatizzato: tests/one/feature-flags.spec.ts, TC-N609 (gated su isRealDeployment). Lo stesso file contiene anche ~15 unit test 'no browser' (findRecentlyExpiredMatchingOverride, computeOverrideStatus) eseguibili senza browser reale -- gia' verificati passanti in locale (56/56 pass). AGGIORNAMENTO 06/08/2026: nel run critical post-deploy (commit 24464bf) il test è fallito di nuovo con un diverso strict-mode violation (il locator div+hasText+first() ora intercetta anche il &lt;select&gt; di BatchBetaControls, aggiunto da Addendum Sezione B sopra la card del flag). Root cause: assunzione di struttura DOM non più valida (bug del test, non della pagina Admin). Fix: aggiunto data-testid="flag-card-TRAMA_ONE_ENABLED" alla card in FeatureFlagsAdminClient.tsx e il test ora usa page.getByTestId(...) invece del locator fragile. Non rieseguibile in questo sandbox (richiede browser + deploy reale) — verificabile da Fabrizio al prossimo giro di test-deploy.sh.</t>
  </si>
  <si>
    <t xml:space="preserve">TC-N610</t>
  </si>
  <si>
    <t xml:space="preserve">TRAMA ONE Build Sprint 6 - Email fire-and-forget (stato di consegna, Gestore-&gt;Genitore)</t>
  </si>
  <si>
    <t xml:space="preserve">Accettare una prenotazione registra sempre un email_delivery_status noto su bookings (mai piu' silenzioso)</t>
  </si>
  <si>
    <t xml:space="preserve">Deploy reale con Supabase configurato, migration_19_bookings_email_delivery_status.sql applicata, SUPABASE_SERVICE_ROLE_KEY in .env.test, attivita' di test "[TEST] Attivita' BuddyKids" seminata</t>
  </si>
  <si>
    <t xml:space="preserve">Il genitore di test crea una prenotazione reale a settimana intera; il gestore di test la accetta da /center/prenotazioni (che internamente invoca notifyParentOfBookingResponse -&gt; sendEmail, con retry minimo se il primo tentativo fallisce)</t>
  </si>
  <si>
    <t xml:space="preserve">bookings.email_delivery_status viene sempre valorizzato con uno dei 4 valori noti (sent/failed/not_configured/no_recipient), mai lasciato null come prima di questa migrazione, e bookings.email_delivery_attempted_at viene registrato (verificato via client Supabase service_role, nessuna UI mostra questo dettaglio infrastrutturale)</t>
  </si>
  <si>
    <t xml:space="preserve">Test automatizzato: tests/one/email-delivery.spec.ts, TC-N610 (gated su isRealDeployment). Chiude il debito P2 'email fire-and-forget' (SPRINT_GOVERNANCE.md riga 151, DEC-49): prima nessuno stato di consegna era persistito e un fallimento di invio spariva senza traccia.</t>
  </si>
  <si>
    <t xml:space="preserve">TC-N611</t>
  </si>
  <si>
    <t xml:space="preserve">TRAMA ONE Build Sprint 6 - Command Center Admin (E08)</t>
  </si>
  <si>
    <t xml:space="preserve">Admin: /admin/one mostra le code operative aggregate (onboarding/prenotazioni/richieste/centri-lead/certificazioni/feedback-beta/feature-flag) con priorita' ed etichette, senza rimuovere le pagine per dominio esistenti</t>
  </si>
  <si>
    <t xml:space="preserve">Deploy reale con Supabase configurato, account platform_admin di test</t>
  </si>
  <si>
    <t xml:space="preserve">L'Admin apre /admin/one</t>
  </si>
  <si>
    <t xml:space="preserve">Sono visibili 7 code operative con etichetta e conteggio (Onboarding, Prenotazioni, Richieste, Centri-lead, Certificazioni, Feedback BETA, Feature flag), un riepilogo testuale in cima, e la sezione Walkthrough preesistente resta visibile sotto. Ogni coda linka alla pagina Admin per dominio gia' esistente (nessuna sostituzione)</t>
  </si>
  <si>
    <t xml:space="preserve">Test automatizzato: tests/one/command-center.spec.ts, TC-N611 (gated su isRealDeployment) + 7 unit test 'no browser' su lib/command-center/priority.ts (computeQueuePriority/compareQueuesByPriority), gia' verificati passanti in locale (16/16 pass, incluso mobile-chrome).</t>
  </si>
  <si>
    <t xml:space="preserve">TC-N612</t>
  </si>
  <si>
    <t xml:space="preserve">TRAMA ONE Build Sprint 6 - Eventi analytics con correlationId (E11)</t>
  </si>
  <si>
    <t xml:space="preserve">Visitare /one registra un evento product_events persistito, correlato da correlationId, senza mai includere dati personali</t>
  </si>
  <si>
    <t xml:space="preserve">Deploy reale con Supabase configurato, migration_20_product_events.sql applicata, TRAMA_ONE_ENABLED attivo per l'utente di test, SUPABASE_SERVICE_ROLE_KEY in .env.test (RLS select su product_events e' ristretta a is_platform_admin())</t>
  </si>
  <si>
    <t xml:space="preserve">Il genitore di test effettua login e visita /one (il layout genera un correlationId ed emette one_route_access sia via logTelemetryEvent, invariato, sia via persistProductEvent verso product_events)</t>
  </si>
  <si>
    <t xml:space="preserve">Compare in product_events una riga con event_name="one_route_access" e correlation_id valorizzato (mai null); nessuna colonna della tabella contiene nome/email/altri dati personali per costruzione (whitelist KNOWN_PRODUCT_EVENTS + shape fissa event_name/correlation_id/tenant/role/detail)</t>
  </si>
  <si>
    <t xml:space="preserve">Test automatizzato: tests/one/product-events.spec.ts, TC-N612 (gated su isRealDeployment) + 4 unit test 'no browser' su lib/telemetry/known-events.ts (KNOWN_PRODUCT_EVENTS), gia' verificati passanti in locale (8/8 pass, incluso mobile-chrome).</t>
  </si>
  <si>
    <t xml:space="preserve">TC-N613</t>
  </si>
  <si>
    <t xml:space="preserve">TRAMA ONE Build Sprint 6 - Hardening Walkthrough (funnel/drop-off, microcopy, accessibilita, performance)</t>
  </si>
  <si>
    <t xml:space="preserve">Il Command Center Admin mostra il funnel Walkthrough (raggiunti/abbandono per step) e il conteggio riavvii; il componente WalkthroughCard e' accessibile (aria-live, aria-describedby, role=region) e usa microcopy piu' chiara</t>
  </si>
  <si>
    <t xml:space="preserve">Deploy reale con Supabase configurato, account platform_admin di test per la vista Admin; account parent di test per WalkthroughCard</t>
  </si>
  <si>
    <t xml:space="preserve">Admin apre /admin/one e legge la tabella funnel Walkthrough; Genitore apre /one e interagisce con Inizia/Continua/Salta per ora/Ricomincia il percorso</t>
  </si>
  <si>
    <t xml:space="preserve">La tabella mostra colonne Raggiunti e Abbandono vs step prec. coerenti (nessun valore negativo, nessuna divisione per zero); il paragrafo informativo mostra il conteggio riavvii o "N/D" se migration_20 non applicata; i pulsanti Inizia/Continua restano individuabili per nome accessibile esatto (nessuna regressione su TC-N414/N415); lo screen reader annuncia il cambio di step (aria-live) senza richiedere refresh manuale</t>
  </si>
  <si>
    <t xml:space="preserve">Test automatizzato: tests/one/walkthrough-funnel.spec.ts, TC-N613 (gated su isRealDeployment) + 6 unit test 'no browser' su lib/walkthrough/funnel.ts (computeWalkthroughFunnel), gia' verificati passanti in locale (12/12 pass, incluso mobile-chrome). Nessuna regressione: tests/one/walkthrough-partner.spec.ts (TC-N414/N415) continua a usare getByRole con nome accessibile invariato (Inizia/Continua).</t>
  </si>
  <si>
    <t xml:space="preserve">TC-N416</t>
  </si>
  <si>
    <t xml:space="preserve">Completare lo step con un click GENUINO sull'elemento reale dell'interfaccia (non un bottone 'Continua' dentro il tour) fa avanzare il percorso allo step successivo</t>
  </si>
  <si>
    <t xml:space="preserve">Login center_admin; flag TRAMA_ONE_ENABLED attivo; step 'create_activity' gia' in_progress (segue TC-N415)</t>
  </si>
  <si>
    <t xml:space="preserve">Login gestore -&gt; apri /center/activities -&gt; click sul VERO pulsante '+ Nuova attivita' (elemento con data-spotlight, non un bottone del tour)</t>
  </si>
  <si>
    <t xml:space="preserve">La navigazione reale avviene (URL -&gt; /center/activities/new); lo step 'create_activity' risulta completato e il percorso avanza a 'configure_weeks' — poiche' quel target non esiste sulla pagina di creazione, lo Spotlight mostra il badge 'target non trovato' col titolo 'Informazioni di base' (rinominato da 'Configura le settimane', DEC-69) invece di restare ancorato al pulsante ormai scomparso; nessun link nel badge (siamo su /new, nessuna attivita' reale)</t>
  </si>
  <si>
    <t xml:space="preserve">Test automatizzato: tests/one/walkthrough-partner.spec.ts, TC-N416 (nuovo per il gate Controlled Beta S7-14/DEC-60 — verifica il meccanismo di avanzamento via click reale, cuore del nuovo motore Spotlight rispetto al vecchio WalkthroughCard). Titolo del badge aggiornato a 'Informazioni di base' (DEC-69, Visual Acceptance Gate §15): il target reale (card 'Informazioni generali') non conteneva cio' che il vecchio testo descriveva.</t>
  </si>
  <si>
    <t xml:space="preserve">TC-N615</t>
  </si>
  <si>
    <t xml:space="preserve">Il badge 'target non trovato' per lo step 'Configura i Giorni spot' mostra un link REALE verso il Calendario disponibilita', non solo testo (DEC-69)</t>
  </si>
  <si>
    <t xml:space="preserve">Login center_admin; flag TRAMA_ONE_ENABLED attivo; almeno un'attivita' esistente nel centro collegato; step create_activity gia' completato (unico step che richiede 'Inizia' esplicito, DEC-72) cosi' che configure_weeks risulti gia' avviato in automatico all'arrivo su questa scheda</t>
  </si>
  <si>
    <t xml:space="preserve">Login gestore -&gt; apri un'attivita' esistente -&gt; step Informazioni di base: GIA' avviato (nessun 'Inizia', DEC-72), click 'Ho finito, continua -&gt;' -&gt; step Servizi extra e pasto: GIA' avviato, click sulla checkbox reale 'Ingresso anticipato (pre-servizio)' (verifica che lo step NON avanzi da solo e il focus non sparisca), poi click 'Ho finito, continua -&gt;' -&gt; click su Salva modifiche (publish, gia' avviato, click-based)</t>
  </si>
  <si>
    <t xml:space="preserve">Nessuno step dopo il primo (create_activity) mostra il pulsante 'Inizia' (DEC-72): si avviano da soli. Gli step 'manuali' (Informazioni di base, Servizi extra e pasto) NON avanzano al click su un campo reale della card: resta visibile il popover con 'Compila con calma i campi di questa sezione, poi continua.' finche' non si clicca il pulsante esplicito 'Ho finito, continua -&gt;'. Dopo publish, il badge 'target non trovato' mostra il titolo 'Configura i Giorni spot' e un link cliccabile 'Vai al Calendario disponibilita' →' con href verso .../calendar (DEC-72: prima di questo fix non compariva NULLA, bug bloccante); il click naviga davvero li'</t>
  </si>
  <si>
    <t xml:space="preserve">Test automatizzato: tests/one/walkthrough-partner.spec.ts, TC-N615. Bug reale trovato da Fabrizio (DEC-69): prima di questo fix il badge dava solo testo per Giorni spot. Fix: campo spotlightMissingHint in lib/walkthrough/registry.ts. DEC-71: cliccare un campo dentro Servizi extra/Informazioni di base avanzava subito lo step. Fix: campo spotlightManualAdvance, pulsante 'Ho finito, continua -&gt;'. DEC-72: 3 bug reali aggiuntivi trovati da Fabrizio testando il deploy di DEC-71 -- focus rubato ogni 500ms (cursore che sparisce), booleano invertito che faceva sparire l'intero badge 'target non trovato' (righe 16/18), 'Inizia' ripetuto senza motivo per ogni step. Vedi TC-N618/TC-N619 per la copertura dedicata dei primi due.</t>
  </si>
  <si>
    <t xml:space="preserve">TC-N616</t>
  </si>
  <si>
    <t xml:space="preserve">TRAMA ONE - Spotlight: unit test puri lib/spotlight/position.ts [no browser]</t>
  </si>
  <si>
    <t xml:space="preserve">pickVisibleTargetIndex sceglie il primo rect con area non nulla tra piu' candidati con lo stesso data-spotlight (bug reale DEC-70: la voce 'dashboard' esiste sia nella sidebar desktop sia nel cassetto mobile, e su schermi &lt;768px la prima e' display:none con rect degenere 0x0x0x0)</t>
  </si>
  <si>
    <t xml:space="preserve">Nessuna (funzione pura, nessun browser/DOM richiesto)</t>
  </si>
  <si>
    <t xml:space="preserve">npx playwright test tests/one/spotlight-position.spec.ts</t>
  </si>
  <si>
    <t xml:space="preserve">5/5 assert passano: nessun candidato -&gt; -1; un solo candidato nascosto -&gt; -1; primo nascosto e secondo visibile -&gt; indice 1 (caso reale mobile 390px); primo gia' visibile -&gt; indice 0 (caso desktop/tablet); tutti nascosti -&gt; -1</t>
  </si>
  <si>
    <t xml:space="preserve">PASS</t>
  </si>
  <si>
    <t xml:space="preserve">Bug reale trovato da Fabrizio via screenshot: su mobile 390px lo step 'Monitora dalla dashboard' mostrava un popover rotto (ancorato in alto a sinistra, il vero nav item 'Dashboard' non evidenziato) mentre su 768/1440 funzionava. Causa: document.querySelector prendeva sempre la prima delle 2 copie DOM dello stesso data-spotlight, quella nascosta su mobile. Fix in components/spotlight/PartnerSpotlight.tsx: legge tutti i candidati e sceglie il primo visibile via questa funzione pura; se nessuno lo e', mostra il badge 'target non trovato' invece del popover rotto. Test eseguito nel sandbox Claude (38/38 passed su chromium+mobile-chrome).</t>
  </si>
  <si>
    <t xml:space="preserve">TC-N617</t>
  </si>
  <si>
    <t xml:space="preserve">Cliccare un campo reale dentro una card multi-campo dello step tutorial (es. checkbox 'Ingresso anticipato' in Servizi extra e pasto) NON deve avanzare da solo lo step: serve il pulsante esplicito 'Ho finito, continua -&gt;' (DEC-71)</t>
  </si>
  <si>
    <t xml:space="preserve">Login center_admin; flag TRAMA_ONE_ENABLED attivo; almeno un'attivita' esistente nel centro collegato; step configure_weeks gia' completato (percorso arrivato allo step configure_pricing)</t>
  </si>
  <si>
    <t xml:space="preserve">Apri un'attivita' esistente -&gt; arriva allo step 'Servizi extra e pasto' -&gt; click 'Inizia' -&gt; click sulla checkbox reale 'Ingresso anticipato (pre-servizio)' dentro la card -&gt; verifica che il popover resti sullo stesso step -&gt; click 'Ho finito, continua -&gt;'</t>
  </si>
  <si>
    <t xml:space="preserve">Dopo il click sulla checkbox il popover 'Servizi extra e pasto' resta visibile con il testo 'Compila con calma i campi di questa sezione, poi continua.' (lo step NON e' avanzato); solo il click esplicito su 'Ho finito, continua -&gt;' fa avanzare al passo successivo (Pubblica)</t>
  </si>
  <si>
    <t xml:space="preserve">Test automatizzato: tests/one/walkthrough-partner.spec.ts, incluso nel test TC-N615 (stessa run seriale). Bug reale segnalato da Fabrizio: 'se clicco una delle impostazioni dello step (es. servizi extra clicco ingresso anticipato..) va direttamente nello step successivo e non permette di finire la configurazione'. Fix: campo spotlightManualAdvance in lib/walkthrough/registry.ts + lib/walkthrough/data.ts, click-capture listener disattivato per questi step in PartnerSpotlight.tsx, nuovo pulsante 'Ho finito, continua -&gt;'.</t>
  </si>
  <si>
    <t xml:space="preserve">TC-N618</t>
  </si>
  <si>
    <t xml:space="preserve">Il popover NON deve rubare il focus a un campo reale mentre l'utente lo sta compilando dentro uno step 'manuale' -- il cursore non deve sparire ne' un menu a tendina nativo deve chiudersi da solo (DEC-72)</t>
  </si>
  <si>
    <t xml:space="preserve">Login center_admin; flag TRAMA_ONE_ENABLED attivo; step configure_pricing corrente e gia' avviato</t>
  </si>
  <si>
    <t xml:space="preserve">Apri un'attivita' esistente -&gt; arriva allo step 'Servizi extra e pasto' (gia' avviato) -&gt; clicca un campo di testo reale (es. un input orario di un servizio extra) e digita -&gt; attendi almeno 1-2 secondi senza cliccare altrove -&gt; verifica che il cursore/focus resti nel campo -&gt; apri il menu a tendina 'Pasto' e prova a scegliere un'opzione con calma (non un click immediato)</t>
  </si>
  <si>
    <t xml:space="preserve">Il cursore/focus resta nel campo di testo per tutto il tempo necessario a digitare, senza sparire da solo; il menu a tendina 'Pasto' resta aperto abbastanza a lungo da poter scegliere un'opzione con calma, senza chiudersi da solo prima del click sull'opzione</t>
  </si>
  <si>
    <t xml:space="preserve">Verifica manuale (richiede timing reale, non facilmente automatizzabile in modo affidabile con Playwright headless). Bug reale segnalato da Fabrizio: 'se clicco nel campo il cursore poi sembra sparire', 'la scelta del pasto appare ma non riesco a selezionare per tempo'. Causa: components/spotlight/PartnerSpotlight.tsx, l'effetto di focus sul popover dipendeva da targetRect (nuovo oggetto ad ogni measure(), che gira ogni 500ms via setInterval), rifocalizzando il popover a ripetizione e rubando il focus al campo reale. Fix: targetRect aggiornato solo se davvero cambiato (stessa referenza altrimenti) + focus del popover una sola volta per step (focusedStepRef, stesso pattern di scrolledStepRef).</t>
  </si>
  <si>
    <t xml:space="preserve">TC-N619</t>
  </si>
  <si>
    <t xml:space="preserve">Il badge 'target non trovato' deve comparire (con o senza link a seconda dello step) OGNI VOLTA che la pagina corrente non corrisponde alla route dello step corrente -- non deve sparire l'intero componente (DEC-72)</t>
  </si>
  <si>
    <t xml:space="preserve">Login center_admin; flag TRAMA_ONE_ENABLED attivo; step corrente con spotlightRoute che non combacia con la pagina su cui ci si trova</t>
  </si>
  <si>
    <t xml:space="preserve">Caso A: dopo aver salvato un'attivita' (step passato a configure_spot_days), restare sulla pagina di modifica (senza navigare al calendario) -&gt; verificare che compaia il badge con link 'Vai al Calendario disponibilita' →'. Caso B: con lo step ancora 'Informazioni di base' o 'Servizi extra e pasto', navigare su /center/profile (pagina senza alcun target Spotlight) -&gt; verificare che compaia il badge SENZA link</t>
  </si>
  <si>
    <t xml:space="preserve">In ENTRAMBI i casi compare il badge 'target non trovato' in alto a destra con titolo e descrizione dello step corrente -- mai una pagina completamente priva di badge/overlay mentre esiste uno step Spotlight attivo e la route non combacia</t>
  </si>
  <si>
    <t xml:space="preserve">Bug reale segnalato da Fabrizio: 'dopo aver fatto salva non mi fa capire che devo andare nel Calendario disponibilita''. Causa: components/spotlight/PartnerSpotlight.tsx, measure() impostava targetMissing=false (invece di true) quando la route non combacia, e 'if (!targetRect &amp;&amp; !targetMissing) return null' faceva si' che l'intero componente non renderizzasse nulla -- bug presente anche per il Caso B (riga 18 della matrice Visual Acceptance), mai realmente verificabile prima d'ora perche' gli unici step verificati manualmente in precedenza (create_activity/configure_weeks) usano un pattern di route 'prefisso*' che combacia quasi sempre, mascherando il bug.</t>
  </si>
  <si>
    <t xml:space="preserve">TC-N417</t>
  </si>
  <si>
    <t xml:space="preserve">computePopoverPosition/computeCutoutRect/matchesSpotlightRoute producono i placement/rect/match attesi per i casi noti (spazio sopra/sotto, clamp orizzontale, wildcard singola/centrale/globale)</t>
  </si>
  <si>
    <t xml:space="preserve">Nessuna (funzioni pure, nessun browser/DB richiesto)</t>
  </si>
  <si>
    <t xml:space="preserve">13/13 assert passano: placement top/bottom coerente con lo spazio disponibile, cutout con padding corretto, matchesSpotlightRoute coerente per pattern esatti/prefisso/prefisso+suffisso/wildcard globale</t>
  </si>
  <si>
    <t xml:space="preserve">Test automatizzato eseguito nel sandbox Claude (26/26 passed su chromium+mobile-chrome, nessun browser reale richiesto): tests/one/spotlight-position.spec.ts.</t>
  </si>
  <si>
    <t xml:space="preserve">TC-N418</t>
  </si>
  <si>
    <t xml:space="preserve">TRAMA ONE - Controlled Publication (fase E, wiring) - Command Center in menu Admin</t>
  </si>
  <si>
    <t xml:space="preserve">La voce 'Command Center' compare nel menu Admin (condizionata al flag TRAMA_ONE_ENABLED) e porta a /admin/one - chiude il gap noto in DEC-58 ('/admin/one raggiungibile solo per URL diretto, mai da una voce di menu')</t>
  </si>
  <si>
    <t xml:space="preserve">Login platform_admin; flag TRAMA_ONE_ENABLED attivo per l'utente di test (override, vedi DEC-34/DEC-57)</t>
  </si>
  <si>
    <t xml:space="preserve">Login Admin -&gt; apri /admin -&gt; cerca la voce 'Command Center' nel menu -&gt; click</t>
  </si>
  <si>
    <t xml:space="preserve">La voce e' visibile con href /admin/one; il click naviga a /admin/one senza redirect/errore</t>
  </si>
  <si>
    <t xml:space="preserve">Test automatizzato: tests/one/command-center.spec.ts, TC-N418.</t>
  </si>
  <si>
    <t xml:space="preserve">TC-N620</t>
  </si>
  <si>
    <t xml:space="preserve">Il badge 'target non trovato' per lo step 'Monitora dalla dashboard' mostra una nota di aiuto quando il nav item non e' visibile su mobile con il cassetto chiuso (DEC-73)</t>
  </si>
  <si>
    <t xml:space="preserve">Login center_admin; flag TRAMA_ONE_ENABLED attivo; percorso arrivato allo step finale 'dashboard'; viewport mobile (390px), cassetto laterale chiuso</t>
  </si>
  <si>
    <t xml:space="preserve">Con lo step 'dashboard' corrente e il cassetto laterale chiuso, osservare il badge 'target non trovato' in alto a destra</t>
  </si>
  <si>
    <t xml:space="preserve">Il badge mostra titolo 'Monitora dalla dashboard', la descrizione originale, e in piu' una nota testuale (nessun link, non serve navigare): 'Su schermi piccoli, apri il menu (hamburger) in alto per trovare la voce Dashboard nel cassetto laterale.' Aprendo il cassetto, il nav item viene evidenziato normalmente (comportamento DEC-70 invariato).</t>
  </si>
  <si>
    <t xml:space="preserve">Bug reale segnalato da Fabrizio: 'nella schermata dei giorni spot c'e' qualcosa che non funziona..l'elemento dashboard non e' evidenziato..l'ho visto solo aprendo il menu laterale'. Causa: il badge di fallback per il target 'dashboard' (visibile solo a cassetto aperto su mobile, DEC-70) non dava alcun indizio su COME renderlo visibile. Fix: nuovo campo opzionale spotlightMissingNote in lib/walkthrough/registry.ts/data.ts, mostrato nel badge in components/spotlight/PartnerSpotlight.tsx. Test automatizzato 'no browser' del dato nel registry: tests/one/walkthrough-partner.spec.ts, TC-N620 (verifica manuale del rendering reale del badge su mobile nel prossimo giro di test live, troppo fragile da automatizzare in modo affidabile qui).</t>
  </si>
  <si>
    <t xml:space="preserve">TC-N621</t>
  </si>
  <si>
    <t xml:space="preserve">Il riquadro (ring) del cutout attorno all'elemento evidenziato deve avere angoli visibilmente arrotondati quando l'elemento reale lo e' (es. Salva modifiche, rounded-md) -- non 'squadrato' (DEC-73)</t>
  </si>
  <si>
    <t xml:space="preserve">npx playwright test tests/one/spotlight-position.spec.ts -g padBorderRadius</t>
  </si>
  <si>
    <t xml:space="preserve">6/6 assert passano: 6px -&gt; 14px (caso reale 'Salva modifiche'); padding esplicito rispettato; 9999px (pulsante pillola) resta una pillola; shorthand a piu' valori incrementato token per token; token non in px (es. '%') invariato; stringa vuota invariata</t>
  </si>
  <si>
    <t xml:space="preserve">Bug reale segnalato da Fabrizio (dopo il fix DEC-70): 'Come vedi il riquadro intorno ai pulsanti e' ancora squadrato ci sono gli angoli'. Causa: il ring usa il border-radius REALE del target (getComputedStyle, DEC-70) ma il cutout e' quel rettangolo ingrandito di 8px per lato (computeCutoutRect) -- applicare lo STESSO raggio numerico a un box piu' grande appiattisce visivamente la curvatura (6px su un box alto ~56px e' quasi impercettibile). Fix: nuova funzione pura padBorderRadius in lib/spotlight/position.ts (raggio_nuovo = raggio_originale + padding), usata in components/spotlight/PartnerSpotlight.tsx. Test eseguito nel sandbox Claude (106/106 passed su chromium+mobile-chrome per l'intera suite no-browser tests/one/).</t>
  </si>
  <si>
    <t xml:space="preserve">TC-N622</t>
  </si>
  <si>
    <t xml:space="preserve">Nel passaggio automatico da uno step al successivo (DEC-72), il popover/cutout non deve mostrare per un frame la posizione del target APPENA CONCLUSO sovrapposta al testo del nuovo step (DEC-73)</t>
  </si>
  <si>
    <t xml:space="preserve">Login center_admin; flag TRAMA_ONE_ENABLED attivo; step 'Servizi extra e pasto' corrente e completabile</t>
  </si>
  <si>
    <t xml:space="preserve">Completare lo step 'Servizi extra e pasto' (click 'Ho finito, continua -&gt;') e osservare con attenzione (idealmente uno screen recording) la transizione verso lo step 'Pubblica'</t>
  </si>
  <si>
    <t xml:space="preserve">Nessun frame visibile in cui popover/cutout restano ancorati alla posizione del target precedente mentre mostrano gia' titolo/descrizione del nuovo step; il componente puo' sparire per un singolo frame e ricomparire correttamente posizionato, ma non deve mai mostrare una posizione sbagliata</t>
  </si>
  <si>
    <t xml:space="preserve">Bug reale segnalato da Fabrizio: 'Nel passaggio da step 3 a 4 la schermata del walkthrough cambia ma non son riuscito a registrarlo..comunque e' sovrapposto' (troppo rapido per uno screenshot). Causa: quando currentKey cambia, targetRect/targetMissing restavano quelli dello step concluso fino al tick successivo di measure() (schedulato via rAF, un frame dopo) -- un frame con testo nuovo e posizione vecchia. Fix: pattern React 'adjusting state while rendering' (confronto con l'ultimo currentKey renderizzato, azzeramento sincrono di targetRect/targetMissing durante il render stesso, non in un effetto) in components/spotlight/PartnerSpotlight.tsx. Verifica manuale (timing visivo di un singolo frame, non automatizzabile in modo affidabile con Playwright).</t>
  </si>
  <si>
    <t xml:space="preserve">TC-N623</t>
  </si>
  <si>
    <t xml:space="preserve">TRAMA ONE - Menu Impostazioni Gestore/Genitore (ProfileSettingsSection)</t>
  </si>
  <si>
    <t xml:space="preserve">Il sottotitolo della voce 'Preferenze' nel menu Impostazioni del Gestore menziona anche il tour guidato (riavviabile da li'), il profilo Genitore resta invariato (nessun tour da riavviare ancora) (DEC-73)</t>
  </si>
  <si>
    <t xml:space="preserve">Login center_admin; flag TRAMA_ONE_ENABLED attivo (mostra il bottone di riavvio tour dentro Preferenze)</t>
  </si>
  <si>
    <t xml:space="preserve">Login gestore -&gt; apri /center/account -&gt; osserva il sottotitolo della voce 'Preferenze' nel menu Impostazioni. Ripetere login genitore -&gt; /profile -&gt; stesso controllo</t>
  </si>
  <si>
    <t xml:space="preserve">Lato Gestore il sottotitolo e' 'Lingua, tema, notifiche, tour guidato'. Lato Genitore il sottotitolo resta 'Lingua, tema, notifiche' (nessuna menzione di tour guidato: lo Spotlight Parent non e' ancora stato costruito, task #441 backlog)</t>
  </si>
  <si>
    <t xml:space="preserve">Richiesta esplicita di Fabrizio: 'Nel sottotitolo del menu Preferenze va indicato anche tour guidato'. Fix: components/ProfileSettingsSection.tsx, sottotitolo condizionale su basePath (solo /center/account menziona il tour, dove vive gia' WalkthroughRestartButton dentro app/center/account/preferenze/page.tsx). Test automatizzato: tests/gestore/account.spec.ts, TC-138 aggiornato per asserire il nuovo testo completo; tests/genitori/profilo.spec.ts invariato (asserisce ancora il testo originale, corretto perche' lato Genitore non cambia).</t>
  </si>
  <si>
    <t xml:space="preserve">TC-N624</t>
  </si>
  <si>
    <t xml:space="preserve">Copertura E2E reale (non solo unit test) di 2 verifiche prima ritenute 'troppo fragili da automatizzare': raggio del cutout applicato davvero nel DOM, e badge/evidenziazione dello step finale 'dashboard' su mobile a cassetto chiuso/aperto (DEC-74)</t>
  </si>
  <si>
    <t xml:space="preserve">Login center_admin; flag TRAMA_ONE_ENABLED attivo; percorso arrivato allo step 'Configura i Giorni spot' (prosegue dallo stato lasciato da TC-N615, serial)</t>
  </si>
  <si>
    <t xml:space="preserve">Nel test TC-N615: prima di cliccare 'Salva modifiche', leggere via getComputedStyle il border-radius reale del ring (data-testid=spotlight-cutout-ring). Nel test TC-N624 (nuovo): completare 'Configura i Giorni spot' (Ho finito, continua), poi verificare lo step 'dashboard' -- su viewport mobile (&lt;768px) a cassetto chiuso, poi aprendolo; su desktop/tablet direttamente</t>
  </si>
  <si>
    <t xml:space="preserve">Il border-radius calcolato del ring e' 14px (6px reali del pulsante 'Salva modifiche' + 8px di padding del cutout, DEC-73) - prova diretta della curvatura, non solo della funzione pura. Su mobile a cassetto chiuso compare il badge con la nota 'apri il menu' (DEC-73); aprendo il cassetto (bottone 'Apri il menu') compare il popover reale ancorato alla voce Dashboard. Su desktop/tablet il popover compare subito, nessun badge necessario</t>
  </si>
  <si>
    <t xml:space="preserve">Richiesta esplicita di Fabrizio dopo DEC-73: 'non c'e' modo nessuno di renderlo automatizzato il test?' -- rivisto il giudizio iniziale (TC-N620, 'troppo fragile/lento'): non lo era, serviva solo completare la sequenza fino in fondo e aggiungere un data-testid al ring per poterlo selezionare. Aggiunto data-testid='spotlight-cutout-ring' in components/spotlight/PartnerSpotlight.tsx (nessun impatto visivo/comportamentale, solo per i test). Non ancora eseguito in questo ambiente (stessa limitazione nota: Chromium senza le dipendenze di sistema nel sandbox Claude) -- verificabile da Fabrizio col prossimo bash test-deploy.sh/deploy.sh (TC-N624 gira sotto sia chromium che mobile-chrome, con INCLUDE_MOBILE=1 per includere quest'ultimo).</t>
  </si>
  <si>
    <t xml:space="preserve">TC-N625</t>
  </si>
  <si>
    <t xml:space="preserve">TRAMA ONE - Segnalazioni BETA (estensione Partner)</t>
  </si>
  <si>
    <t xml:space="preserve">Il pulsante flottante 'Segnala un problema' (gia' presente lato genitore) e' raggiungibile anche dal portale Partner (/center/*), con area calcolata sulle rotte del menu Partner</t>
  </si>
  <si>
    <t xml:space="preserve">Login come gestore (center_admin), qualunque pagina sotto /center/*</t>
  </si>
  <si>
    <t xml:space="preserve">Apri una pagina qualunque del portale Partner (es. /center/activities) -&gt; individua il pulsante flottante viola in basso a destra (icona segnalazione) -&gt; clicca -&gt; compila un messaggio -&gt; invia</t>
  </si>
  <si>
    <t xml:space="preserve">Si apre il dialog 'Segnala un problema' con l'area corretta indicata (es. 'Attivita''), l'invio va a buon fine, il dialog mostra una conferma interna ('Segnalazione inviata, grazie!') e si chiude da solo; la riga compare in Admin &gt; Segnalazioni BETA con etichetta 'App gestori'</t>
  </si>
  <si>
    <t xml:space="preserve">Estensione richiesta da Fabrizio ('il pulsante per le segnalazioni... nel portale partner?'): app_source='gestore' gia' supportato da schema/RLS/Admin, nessuna migrazione necessaria (DEC-75). Copertura automatica solo per la funzione pura area-&gt;label (centerAreaLabelFromPath, tests/gestore/beta-feedback-center.spec.ts); l'interazione reale col pulsante (drag, apertura dialog, invio) richiede un browser reale, non eseguibile in questo sandbox.</t>
  </si>
  <si>
    <t xml:space="preserve">TC-511</t>
  </si>
  <si>
    <t xml:space="preserve">Login/Sicurezza - Visualizzazione password</t>
  </si>
  <si>
    <t xml:space="preserve">L'icona occhio nel campo password (login, cambio password Profilo/Account, reset password) alterna testo in chiaro/nascosto (Fabrizio: 'aggiungiamo l'opzione di visualizzare la password in tutti i punti in cui e richiesta?')</t>
  </si>
  <si>
    <t xml:space="preserve">Pagina /auth/login (tab Accedi o Registrati), oppure Profilo/Account &gt; Sicurezza, oppure link di reset password</t>
  </si>
  <si>
    <t xml:space="preserve">Scrivi una password nel campo -&gt; clicca l'icona a forma di occhio a destra del campo -&gt; osserva il testo -&gt; clicca di nuovo</t>
  </si>
  <si>
    <t xml:space="preserve">Il testo diventa visibile in chiaro al primo click (icona 'occhio barrato', aria-label 'Nascondi password'), torna nascosto (pallini) al secondo click (icona 'occhio', aria-label 'Mostra password'); il valore digitato non cambia</t>
  </si>
  <si>
    <t xml:space="preserve">Stesso toggle replicato in 3 punti indipendenti (LoginForm.tsx, ProfileSecuritySection.tsx, auth/reset-password/page.tsx) - nessun componente condiviso creato per non introdurre un'astrazione prematura su 3 stili di input leggermente diversi</t>
  </si>
  <si>
    <t xml:space="preserve">TC-512</t>
  </si>
  <si>
    <t xml:space="preserve">Candidati come centro (Partner) - Migrazione 21</t>
  </si>
  <si>
    <t xml:space="preserve">Il form pubblico /auth/candidati invia una candidatura e reindirizza alla pagina di conferma</t>
  </si>
  <si>
    <t xml:space="preserve">Nessun account/login richiesto</t>
  </si>
  <si>
    <t xml:space="preserve">Vai su /auth/candidati -&gt; compila Nome del centro, Città/zona, Email di contatto -&gt; clicca 'Invia candidatura'</t>
  </si>
  <si>
    <t xml:space="preserve">Redirect a /auth/candidati/conferma/[id]; la pagina mostra il nome del centro appena inserito e lo stato 'In revisione'; nessun account viene creato (verificabile: nessuna nuova riga in auth.users)</t>
  </si>
  <si>
    <t xml:space="preserve">Fabrizio: 'il registrati deve essere un candidati per cui deve far partire processo di onboarding'. Scrive una riga in center_leads con lead_type='self_candidacy' e suggested_by=null (service client, lib/supabase/service.ts), mai un account. Vedi supabase/migration_21_center_candidacy.sql. Test: tests/gestore/candidati.spec.ts TC-512, non eseguito in questo sandbox (Chromium senza dipendenze di sistema), richiede anche il deploy col service role key configurato.</t>
  </si>
  <si>
    <t xml:space="preserve">TC-513</t>
  </si>
  <si>
    <t xml:space="preserve">Un link di conferma con id inesistente/non valido mostra 'candidatura non trovata' invece di un errore</t>
  </si>
  <si>
    <t xml:space="preserve">Vai su /auth/candidati/conferma/00000000-0000-0000-0000-000000000000 (UUID inesistente)</t>
  </si>
  <si>
    <t xml:space="preserve">Pagina 'Candidatura non trovata' con spiegazione e link 'Candidati come centro' per inviarne una nuova</t>
  </si>
  <si>
    <t xml:space="preserve">getCandidacyStatusPublic (lib/data/center-leads.ts) restituisce null per id inesistente o non di tipo self_candidacy: la pagina non fa mai trapelare un errore tecnico. Test: tests/gestore/candidati.spec.ts TC-513, non eseguito in questo sandbox (stessa limitazione Chromium).</t>
  </si>
  <si>
    <t xml:space="preserve">TC-514</t>
  </si>
  <si>
    <t xml:space="preserve">Il form Candidati richiede nome del centro ed email prima di poter essere inviato</t>
  </si>
  <si>
    <t xml:space="preserve">Vai su /auth/candidati -&gt; clicca subito 'Invia candidatura' senza compilare nulla</t>
  </si>
  <si>
    <t xml:space="preserve">Validazione nativa del browser blocca l'invio (campi 'required'); si resta sulla stessa pagina, nessuna richiesta al server</t>
  </si>
  <si>
    <t xml:space="preserve">Validazione minima lato client (attributi required/type=email), nessuna logica applicativa aggiuntiva. Test: tests/gestore/candidati.spec.ts TC-514, non eseguito in questo sandbox (stessa limitazione Chromium).</t>
  </si>
  <si>
    <t xml:space="preserve">NEXTGEN - Onboarding neo-genitore (parita' con LEGACY)</t>
  </si>
  <si>
    <t xml:space="preserve">La Home NEXTGEN mostra il prompt 'Completa il tuo profilo' con la stessa condizione di LEGACY (profilo incompleto o zero bambini in anagrafica)</t>
  </si>
  <si>
    <t xml:space="preserve">Login genitore di test (stato profilo/bambini non fissato a priori)</t>
  </si>
  <si>
    <t xml:space="preserve">Login genitore -&gt; vai su / (LEGACY), osserva se compare 'Completa il tuo profilo' -&gt; vai su /nextgen, osserva la stessa condizione</t>
  </si>
  <si>
    <t xml:space="preserve">La visibilita' del prompt su NEXTGEN e' identica a quella su LEGACY per lo stesso utente (stesso dato sorgente: isParentProfileIncomplete + getKidsForUser)</t>
  </si>
  <si>
    <t xml:space="preserve">Gap segnalato da Fabrizio (05/08, screenshot Legacy vs NextGen): la Home NEXTGEN non aveva mai un equivalente di components/HomeProfilePrompt.tsx -- un neo-genitore vedeva 'Organizzata al 0%' senza alcuna spinta a completare profilo/aggiungere bambini. Creato components/nextgen/NextgenProfileCompletionPrompt.tsx (stessa logica dati, stile riallineato al resto della Home NEXTGEN: Poppins/trama-violet invece dei token Legacy pre-rebrand), montato in app/nextgen/HomeDashboardClient.tsx subito dopo l'header, prima della Hero Card. Test: tests/nextgen/onboarding-parity.spec.ts, non eseguito in questo sandbox (Chromium senza dipendenze di sistema).</t>
  </si>
  <si>
    <t xml:space="preserve">I link del prompt NEXTGEN puntano a /nextgen/profile (non /profile) e la pagina gestisce gli stessi query param del Legacy</t>
  </si>
  <si>
    <t xml:space="preserve">Login genitore di test con profilo incompleto e/o zero bambini (altrimenti il prompt non compare, vedi TC-N610)</t>
  </si>
  <si>
    <t xml:space="preserve">Vai su /nextgen -&gt; se il prompt e' visibile, clicca 'Nome, cognome e ruolo' oppure 'Aggiungi i tuoi bambini'</t>
  </si>
  <si>
    <t xml:space="preserve">Il link 'Nome, cognome e ruolo' porta a /nextgen/profile?complete=1 e apre l'editor nome/ruolo; il link 'Aggiungi i tuoi bambini' porta a /nextgen/profile?addKid=1 e apre il form aggiungi bambino -- stessi query param gia' supportati da app/nextgen/profile/page.tsx (nessuna nuova pagina creata)</t>
  </si>
  <si>
    <t xml:space="preserve">Riuso deliberato: app/nextgen/profile/page.tsx supportava gia' ?complete=1/?addKid=1 (passati a ProfileNextgenClient) da quando esiste il Profilo NEXTGEN (Sprint 6) -- nessuna modifica a quella pagina, solo i due nuovi link nel prompt. Test: tests/nextgen/onboarding-parity.spec.ts, non eseguito in questo sandbox (stessa limitazione Chromium).</t>
  </si>
  <si>
    <t xml:space="preserve">TRAMA ONE - Feature Control Center (Addendum Sezione B)</t>
  </si>
  <si>
    <t xml:space="preserve">getBetaEnabledFlagNames() dedup risolve correttamente ai flag BETA_ENABLED</t>
  </si>
  <si>
    <t xml:space="preserve">Nessuna (funzione pura sul catalogo statico)</t>
  </si>
  <si>
    <t xml:space="preserve">Chiamare getBetaEnabledFlagNames() da lib/feature-registry/catalog.ts</t>
  </si>
  <si>
    <t xml:space="preserve">Ritorna ['TRAMA_ONE_ENABLED'] (unico flag che governa oggi voci BETA_ENABLED), nessun duplicato</t>
  </si>
  <si>
    <t xml:space="preserve">Test puro, nessun browser (tests/one/feature-control-center.spec.ts). Eseguito con successo in questo sandbox (chromium + mobile-chrome, entrambi passed).</t>
  </si>
  <si>
    <t xml:space="preserve">Ogni voce del catalogo ha uno status tra i 9 valori tipizzati della nuova tassonomia</t>
  </si>
  <si>
    <t xml:space="preserve">Confrontare FEATURE_CATALOG[*].status con le chiavi di groupCatalogByStatus()</t>
  </si>
  <si>
    <t xml:space="preserve">Nessuna voce ha uno status fuori dai 9 valori (LIVE/BETA_ENABLED/READY_OFF/MOCK_DEMO/INCOMPLETE/BLOCKED/EXPIRED/POST_BETA/DEPRECATED)</t>
  </si>
  <si>
    <t xml:space="preserve">Verifica il remapping completo da 5 a 9 stati (v. FEATURE_CONTROL_CENTER_SPEC.md). Eseguito con successo in questo sandbox.</t>
  </si>
  <si>
    <t xml:space="preserve">Le voci MOCK_DEMO con demoBannerRequired=true hanno sempre riskLevel='high'</t>
  </si>
  <si>
    <t xml:space="preserve">Filtrare FEATURE_CATALOG per demoBannerRequired, verificare status e riskLevel di ciascuna</t>
  </si>
  <si>
    <t xml:space="preserve">Ogni voce con demoBannerRequired=true ha status MOCK_DEMO e riskLevel high (oggi: solo activities_mock_fallback)</t>
  </si>
  <si>
    <t xml:space="preserve">Coerenza interna del catalogo tra i due nuovi campi metadata. Eseguito con successo in questo sandbox.</t>
  </si>
  <si>
    <t xml:space="preserve">I controlli batch Beta sono visibili in /admin/feature-flags e lo scope globale richiede conferma testuale rinforzata</t>
  </si>
  <si>
    <t xml:space="preserve">Login platform_admin; flag TRAMA_ONE_ENABLED con override attivo (Controlled Beta Cohort)</t>
  </si>
  <si>
    <t xml:space="preserve">Login platform_admin -&gt; /admin/feature-flags -&gt; osservare la sezione 'Azioni batch' -&gt; cliccare 'Attiva tutte le funzionalità Beta pronte' senza scrivere GLOBAL nel campo di conferma</t>
  </si>
  <si>
    <t xml:space="preserve">La sezione mostra i due bottoni (attiva/disattiva) e, con scope 'global' selezionato, un campo 'Scrivi GLOBAL per confermare'; il click senza aver scritto GLOBAL mostra un errore e NON esegue l'azione</t>
  </si>
  <si>
    <t xml:space="preserve">Requisito esplicito Addendum Sezione B: conferma rinforzata per lo scope che impatta tutti gli utenti. Non eseguito in questo sandbox (Chromium senza dipendenze di sistema), verificabile da Fabrizio col prossimo deploy.sh/test-deploy.sh.</t>
  </si>
  <si>
    <t xml:space="preserve">TC-N626</t>
  </si>
  <si>
    <t xml:space="preserve">Gestore - Calendario disponibilita (OD-02 bulk)</t>
  </si>
  <si>
    <t xml:space="preserve">applyBulkPatch imposta la Giornata particolare su tutti e soli i giorni selezionati</t>
  </si>
  <si>
    <t xml:space="preserve">Nessuna (funzione pura, lib/availability-bulk.ts)</t>
  </si>
  <si>
    <t xml:space="preserve">Selezionare 2 giorni su 3, azione 'set' con emoji/etichetta, chiamare applyBulkPatch</t>
  </si>
  <si>
    <t xml:space="preserve">I 2 giorni selezionati hanno la nuova Giornata particolare; il terzo giorno (non selezionato) resta invariato</t>
  </si>
  <si>
    <t xml:space="preserve">OD-02</t>
  </si>
  <si>
    <t xml:space="preserve">Test A richiesto da Fabrizio (REVISIONE DECISIONE OD-02: FIX PRIMA DELLA BETA, 06/08). Test puro, nessun browser (tests/gestore/calendario-bulk.spec.ts). Eseguito con successo in questo sandbox (chromium + mobile-chrome).</t>
  </si>
  <si>
    <t xml:space="preserve">TC-N627</t>
  </si>
  <si>
    <t xml:space="preserve">applyBulkPatch con azione 'remove' toglie la Giornata particolare solo dai giorni selezionati</t>
  </si>
  <si>
    <t xml:space="preserve">Nessuna (funzione pura)</t>
  </si>
  <si>
    <t xml:space="preserve">2 giorni con Giornata particolare preesistente + 1 diverso non selezionato, azione 'remove' sui primi 2</t>
  </si>
  <si>
    <t xml:space="preserve">I 2 giorni selezionati perdono emoji/etichetta; il terzo giorno mantiene il proprio valore preesistente</t>
  </si>
  <si>
    <t xml:space="preserve">Test C richiesto da Fabrizio. Test puro. Eseguito con successo in questo sandbox.</t>
  </si>
  <si>
    <t xml:space="preserve">TC-N628</t>
  </si>
  <si>
    <t xml:space="preserve">Impostare la Giornata particolare (senza includere gli altri campi) non modifica apertura/capacita/sconto/last-minute</t>
  </si>
  <si>
    <t xml:space="preserve">2 giorni con valori eterogenei di isOpen/capacity/discountPercent/lastMinute, applica solo specialDayAction='set' (gli altri toggle include restano false)</t>
  </si>
  <si>
    <t xml:space="preserve">isOpen/capacity/spotsLeft/discountPercent/lastMinute restano identici ai valori di partenza su entrambi i giorni; solo la Giornata particolare cambia</t>
  </si>
  <si>
    <t xml:space="preserve">Test D richiesto esplicitamente da Fabrizio (root cause del bug originale: il bulk draft sovrascriveva sempre questi 4 campi). Test puro. Eseguito con successo in questo sandbox.</t>
  </si>
  <si>
    <t xml:space="preserve">TC-N629</t>
  </si>
  <si>
    <t xml:space="preserve">summarizeSpecialDay segnala uno stato 'misto' quando i giorni selezionati hanno valori diversi, poi uniformita' dopo l'applicazione</t>
  </si>
  <si>
    <t xml:space="preserve">3 giorni selezionati con emoji/etichetta diverse tra loro -&gt; summarizeSpecialDay -&gt; applyBulkPatch 'set' -&gt; summarizeSpecialDay di nuovo</t>
  </si>
  <si>
    <t xml:space="preserve">Prima: mixed=true. Dopo l'applicazione: mixed=false con l'emoji/etichetta appena impostata su tutti</t>
  </si>
  <si>
    <t xml:space="preserve">Test E richiesto da Fabrizio (stato mixed/indeterminato). Include anche le varianti 'valore gia' uniforme' e 'nessuna selezione'. Test puro. Eseguito con successo in questo sandbox.</t>
  </si>
  <si>
    <t xml:space="preserve">TC-N630</t>
  </si>
  <si>
    <t xml:space="preserve">applyBulkPatch non modifica alcun campo dei giorni non selezionati</t>
  </si>
  <si>
    <t xml:space="preserve">1 giorno selezionato + 1 giorno non selezionato con tutti i campi valorizzati, draft con tutti i campi inclusi + azione 'remove'</t>
  </si>
  <si>
    <t xml:space="preserve">Il giorno non selezionato risulta esattamente identico (deep equal) a prima della chiamata</t>
  </si>
  <si>
    <t xml:space="preserve">Test F richiesto da Fabrizio. Test puro. Eseguito con successo in questo sandbox.</t>
  </si>
  <si>
    <t xml:space="preserve">TC-N631</t>
  </si>
  <si>
    <t xml:space="preserve">bulkDraftHasChanges e' false per il draft di default e true non appena un campo viene incluso</t>
  </si>
  <si>
    <t xml:space="preserve">Verificare bulkDraftHasChanges su defaultBulkDraft(), poi con un include=true, poi con specialDayAction='remove'</t>
  </si>
  <si>
    <t xml:space="preserve">false sul draft vuoto, true in entrambi gli altri due casi (usato per disabilitare il bottone Applica quando non c'e' nulla da salvare)</t>
  </si>
  <si>
    <t xml:space="preserve">Copre il requisito 'nessun campo applicato per default'. Test puro. Eseguito con successo in questo sandbox.</t>
  </si>
  <si>
    <t xml:space="preserve">TC-N632</t>
  </si>
  <si>
    <t xml:space="preserve">'Campo non modificato' di default: applicare il draft di default non cambia alcun valore, nemmeno sui giorni selezionati</t>
  </si>
  <si>
    <t xml:space="preserve">1 giorno con tutti i campi valorizzati (incluso Giornata particolare), selezionato, applyBulkPatch(defaultBulkDraft())</t>
  </si>
  <si>
    <t xml:space="preserve">Il giorno risultante e' identico (deep equal) a quello di partenza</t>
  </si>
  <si>
    <t xml:space="preserve">Verifica la semantica 'non modificato' richiesta esplicitamente da Fabrizio (nessun valore vuoto ambiguo). Test puro. Eseguito con successo in questo sandbox.</t>
  </si>
  <si>
    <t xml:space="preserve">TC-N633</t>
  </si>
  <si>
    <t xml:space="preserve">applyBulkPatch non produce righe duplicate ne' perde giorni</t>
  </si>
  <si>
    <t xml:space="preserve">3 giorni in ingresso, 2 selezionati, applyBulkPatch</t>
  </si>
  <si>
    <t xml:space="preserve">L'array in uscita ha sempre 3 elementi, stesso insieme e ordine di date dell'ingresso</t>
  </si>
  <si>
    <t xml:space="preserve">Test puro. Eseguito con successo in questo sandbox.</t>
  </si>
  <si>
    <t xml:space="preserve">TC-N634</t>
  </si>
  <si>
    <t xml:space="preserve">Il Partner puo' applicare la Giornata particolare a piu' giorni via bulk, salvarla, e ritrovarla dopo refresh e sul giorno singolo</t>
  </si>
  <si>
    <t xml:space="preserve">Login Gestore di test collegato a un centro con attivita' seminata (supabase/seed-test-data.sql)</t>
  </si>
  <si>
    <t xml:space="preserve">Login gestore -&gt; Calendario disponibilita' -&gt; Seleziona piu' giorni -&gt; seleziona una settimana -&gt; Giornata particolare: Imposta + emoji + etichetta -&gt; Applica -&gt; Salva calendario -&gt; ricarica pagina</t>
  </si>
  <si>
    <t xml:space="preserve">Il badge/emoji della Giornata particolare compare su tutti i giorni della settimana selezionata, persiste dopo il refresh (letto da Supabase, non solo stato locale)</t>
  </si>
  <si>
    <t xml:space="preserve">Test B richiesto da Fabrizio (persistenza). VERIFICATO DAL VIVO da Fabrizio il 06/08/2026 dopo deploy commit 24464bf: PASS (persistenza confermata dopo refresh e sul giorno singolo).</t>
  </si>
  <si>
    <t xml:space="preserve">TC-N635</t>
  </si>
  <si>
    <t xml:space="preserve">Il pannello a giorno singolo continua a impostare/rimuovere la Giornata particolare senza modalita' bulk attiva (regressione)</t>
  </si>
  <si>
    <t xml:space="preserve">Login Gestore di test collegato a un centro con attivita' seminata</t>
  </si>
  <si>
    <t xml:space="preserve">Login gestore -&gt; Calendario disponibilita' (modalita' bulk NON attivata) -&gt; click su un giorno -&gt; imposta emoji+etichetta -&gt; Salva -&gt; poi rimuovi (bottone '-') -&gt; Salva</t>
  </si>
  <si>
    <t xml:space="preserve">Il pannello 'Modifica &lt;data&gt;' si apre come prima del fix; impostare e rimuovere la Giornata particolare dal giorno singolo funziona esattamente come prima</t>
  </si>
  <si>
    <t xml:space="preserve">Test G richiesto da Fabrizio (nessuna regressione sul giorno singolo). VERIFICATO DAL VIVO da Fabrizio il 06/08/2026 dopo deploy commit 24464bf: PASS.</t>
  </si>
  <si>
    <t xml:space="preserve">TC-N636</t>
  </si>
  <si>
    <t xml:space="preserve">Il pannello bulk della Giornata particolare e' utilizzabile su viewport mobile 390x844</t>
  </si>
  <si>
    <t xml:space="preserve">Viewport 390x844 -&gt; Login gestore -&gt; Calendario disponibilita' -&gt; Seleziona piu' giorni -&gt; seleziona un giorno -&gt; verificare che il bottone 'Imposta' sia visibile e che la pagina non abbia overflow orizzontale</t>
  </si>
  <si>
    <t xml:space="preserve">Il controllo e' visibile e raggiungibile, nessun overflow orizzontale (scrollWidth documento &lt;= 400px)</t>
  </si>
  <si>
    <t xml:space="preserve">Test H richiesto da Fabrizio (mobile). VERIFICATO DAL VIVO da Fabrizio il 06/08/2026 dopo deploy commit 24464bf: PASS (pannello bulk Calendario ok su mobile; durante questo test è emerso un bug distinto e non correlato nel menu 'Scatta foto' della pagina Profilo, registrato come TC-N638 e fixato separatamente in questo stesso passaggio).</t>
  </si>
  <si>
    <t xml:space="preserve">TC-N637</t>
  </si>
  <si>
    <t xml:space="preserve">Admin - Onboarding centri (TRAMA ONE)</t>
  </si>
  <si>
    <t xml:space="preserve">L'Admin vede e puo' agire su una verifica identita' 'pending' anche se il centro non e' ancora in stato SUBMITTED</t>
  </si>
  <si>
    <t xml:space="preserve">Un centro con una richiesta di verifica identita' sottomessa dal Partner (nota/documento) mentre il centro e' ancora CLAIMED/CHANGES_REQUESTED (non SUBMITTED)</t>
  </si>
  <si>
    <t xml:space="preserve">Partner: onboarding -&gt; scheda 'Verifica identita'' -&gt; scrive nota + allega documento (senza premere 'Invia per verifica' sull'intero onboarding) -&gt; Admin: /admin/one/onboarding</t>
  </si>
  <si>
    <t xml:space="preserve">Il centro compare in 'Altri stati' con la riga 'Identita: pending', la nota, il link 'Vedi documento' e i bottoni 'Verifica identita''/'Rifiuta identita'' — non piu' invisibile come prima del fix</t>
  </si>
  <si>
    <t xml:space="preserve">RISOLTA</t>
  </si>
  <si>
    <t xml:space="preserve">Bug reale scoperto da Fabrizio il 06/08/2026 (screenshot: centro 'Centro estivo prova candidatura', identita' 'Sono io' sottomessa, centro CLAIMED, invisibile in Admin sia in 'In revisione' che in 'Altri stati'). Root cause: submitIdentityVerificationAction (app/actions/onboarding.ts) e' indipendente dallo stato onboarding generale; il blocco identita' in AdminOnboardingReviewClient.tsx era renderizzato solo nel loop 'In revisione' (status===SUBMITTED). Fix: blocco identita'/documento/bottoni aggiunto anche al loop 'Altri stati', condizionato su identity.status, senza toccare la state machine onboarding generale. Verificato: tsc/eslint puliti, nessun test E2E dedicato in questo sandbox (richiede un centro di test in stato CLAIMED con identita' pending — non presente nei fixture attuali), verificabile da Fabrizio al prossimo deploy con lo stesso centro dello screenshot.</t>
  </si>
  <si>
    <t xml:space="preserve">TC-N638</t>
  </si>
  <si>
    <t xml:space="preserve">Genitore - Profilo (foto)</t>
  </si>
  <si>
    <t xml:space="preserve">Il menu 'Scatta foto'/'Galleria' non e' coperto dal bottone globale 'Torna a V1' su mobile</t>
  </si>
  <si>
    <t xml:space="preserve">Login Genitore, viewport mobile (~390px)</t>
  </si>
  <si>
    <t xml:space="preserve">Profilo -&gt; tap sull'icona fotocamera sull'avatar per aprire il menu 'Scatta foto'/'Scegli dalla galleria'</t>
  </si>
  <si>
    <t xml:space="preserve">Il menu si apre completamente visibile sotto l'avatar, sopra qualunque altro elemento fisso della pagina (incluso il bottone 'Torna a V1'/'Passa a NextGen')</t>
  </si>
  <si>
    <t xml:space="preserve">Bug reale segnalato da Fabrizio con screenshot il 06/08/2026 (scoperto durante il test mobile di OD-02, non correlato). Root cause: components/AvatarUploadButton.tsx e components/VersionToggle.tsx usavano entrambi z-50; VersionToggle (position:fixed, montato dopo nel DOM radice in app/layout.tsx) vinceva a parita' di z-index e copriva il menu quando le due zone si sovrapponevano in alto sullo schermo. Fix: z-index del menu portato a z-[60] (sopra il toggle). Verificato: tsc/eslint puliti. Fix puramente CSS (z-index), non testabile in modo significativo senza screenshot/visual regression — verificabile da Fabrizio al prossimo deploy sullo stesso screenshot. AGGIORNAMENTO 06/08/2026 (stesso giorno): il fix z-index non copriva questo caso — Fabrizio ha rimandato un secondo screenshot che mostra il menu tagliato da un overflow-hidden DIVERSO (DecorativeIntroCard, wrapper della pagina Profilo NEXTGEN attorno a ProfileHeaderClient), non dal bottone Torna a V1. Root cause: qualunque antenato con overflow-hidden può tagliare un menu absolute. Fix definitivo: il menu è ora un React portal su document.body (position:fixed, coordinate da getBoundingClientRect), immune per costruzione a overflow/z-index di QUALUNQUE antenato presente o futuro. Si chiude su scroll/resize per evitare posizione stale.</t>
  </si>
  <si>
    <t xml:space="preserve">TC-N639</t>
  </si>
  <si>
    <t xml:space="preserve">Genitore - Prenotazioni NEXTGEN-native</t>
  </si>
  <si>
    <t xml:space="preserve">/nextgen/prenotazioni mostra il guscio NEXTGEN (bottom nav con 'Prenotazioni' attiva) e il logo TRAMA nell'header, non lo shell LEGACY</t>
  </si>
  <si>
    <t xml:space="preserve">Login Genitore di test (account reale su deploy con Supabase configurato)</t>
  </si>
  <si>
    <t xml:space="preserve">Login genitore -&gt; naviga a /nextgen/prenotazioni</t>
  </si>
  <si>
    <t xml:space="preserve">Il contenuto di 'Le mie prenotazioni' e' visibile; la bottom nav e' quella NEXTGEN (5 voci) con 'Prenotazioni' evidenziata come voce attiva (trama-violet); il logo TRAMA compare accanto al titolo nell'header (PageHeader#showBrandIcon)</t>
  </si>
  <si>
    <t xml:space="preserve">Chiude il gap segnalato da Fabrizio ('le prenotazioni vanno ancora sul vecchio schema'): nuova rotta app/nextgen/prenotazioni/page.tsx che monta lo STESSO PrenotazioniClient (contenuto invariato, gia' TRAMA-current) sotto il guscio NEXTGEN invece di quello LEGACY. Non eseguito in questo sandbox (Playwright senza dipendenze browser di sistema, limitazione nota) -- verificabile da Fabrizio al prossimo deploy.</t>
  </si>
  <si>
    <t xml:space="preserve">TC-N640</t>
  </si>
  <si>
    <t xml:space="preserve">Il link 'Prenotazioni' dal Planner/Home/Profilo NEXTGEN porta a /nextgen/prenotazioni, non piu' a /prenotazioni (LEGACY)</t>
  </si>
  <si>
    <t xml:space="preserve">Login Genitore di test</t>
  </si>
  <si>
    <t xml:space="preserve">Login genitore -&gt; /nextgen/profile -&gt; tap su 'Le mie prenotazioni'</t>
  </si>
  <si>
    <t xml:space="preserve">L'URL finale e' /nextgen/prenotazioni (non /prenotazioni)</t>
  </si>
  <si>
    <t xml:space="preserve">Verifica dei 6 link interni aggiornati (NextgenBottomNav, PlannerClient x2, ProfileNextgenClient, HomeDashboardClient, lib/nextgen/reminders.ts x2). Non eseguito in questo sandbox, stessa limitazione di TC-N639.</t>
  </si>
  <si>
    <t xml:space="preserve">TC-N641</t>
  </si>
  <si>
    <t xml:space="preserve">areaLabelFromPath riconosce /nextgen/prenotazioni come 'Le mie prenotazioni' (segnalazioni BETA)</t>
  </si>
  <si>
    <t xml:space="preserve">areaLabelFromPath('/nextgen/prenotazioni')</t>
  </si>
  <si>
    <t xml:space="preserve">Ritorna 'Le mie prenotazioni' (stessa etichetta della vecchia rotta LEGACY sottostante)</t>
  </si>
  <si>
    <t xml:space="preserve">Test puro [no browser]. Eseguito con successo in questo sandbox (1 passed).</t>
  </si>
  <si>
    <t xml:space="preserve">TC-N642</t>
  </si>
  <si>
    <t xml:space="preserve">Genitore - Gruppi Scopri/Inviti</t>
  </si>
  <si>
    <t xml:space="preserve">Creare un gruppo, attivare 'Visibile in Scopri' (toggle, solo creatore) e verificare che is_public resti true dopo un refresh</t>
  </si>
  <si>
    <t xml:space="preserve">Login genitore -&gt; Gruppi -&gt; + Nuovo -&gt; crea '[TEST] Gruppo Scopri Inviti' -&gt; nella scheda gruppo attiva il toggle 'Visibile in Scopri' -&gt; ricarica la pagina</t>
  </si>
  <si>
    <t xml:space="preserve">Il toggle resta acceso (aria-checked=true) dopo il refresh -- prova che toggleGroupVisibilityAction ha scritto davvero is_public=true su Supabase (migration_25), non solo stato locale</t>
  </si>
  <si>
    <t xml:space="preserve">Chiude il gap 'visibilita gruppi' segnalato da Fabrizio nell'analisi approfondita del 24/08/2026. Non eseguito in questo sandbox (Playwright senza dipendenze browser di sistema) -- verificabile da Fabrizio dopo aver applicato migration_25 e deployato.</t>
  </si>
  <si>
    <t xml:space="preserve">TC-N643</t>
  </si>
  <si>
    <t xml:space="preserve">Invitare la propria email a un proprio gruppo viene rifiutato ('Non puoi invitare te stesso')</t>
  </si>
  <si>
    <t xml:space="preserve">Login Genitore di test; gruppo creato in TC-N642 (serial)</t>
  </si>
  <si>
    <t xml:space="preserve">Nella scheda gruppo, sezione 'Invita per email' -&gt; inserisce la propria email (TEST_PARENT_EMAIL) -&gt; Invita</t>
  </si>
  <si>
    <t xml:space="preserve">Messaggio d'errore 'Non puoi invitare te stesso', nessuna riga creata in group_invites</t>
  </si>
  <si>
    <t xml:space="preserve">Verifica di inviteToGroupAction. Non eseguito in questo sandbox, stessa limitazione di TC-N642.</t>
  </si>
  <si>
    <t xml:space="preserve">TC-N644</t>
  </si>
  <si>
    <t xml:space="preserve">Invitare un'email valida crea group_invites; un secondo invito alla stessa email sullo stesso gruppo viene rifiutato come duplicato</t>
  </si>
  <si>
    <t xml:space="preserve">Invita email-test-unica@example.com -&gt; verifica messaggio di conferma -&gt; ripete l'invito alla STESSA email sullo stesso gruppo</t>
  </si>
  <si>
    <t xml:space="preserve">Primo invito: 'Invito creato'/'Invito inviato via email'. Secondo invito: 'Questa email e' gia' stata invitata a questo gruppo' (query su group_invites status pending/sent, nessuna riga duplicata)</t>
  </si>
  <si>
    <t xml:space="preserve">Verifica anti-duplicati di inviteToGroupAction. Non eseguito in questo sandbox, stessa limitazione di TC-N642.</t>
  </si>
  <si>
    <t xml:space="preserve">TC-N645</t>
  </si>
  <si>
    <t xml:space="preserve">Genitore - Rimandi legacy dentro NEXTGEN (task #528)</t>
  </si>
  <si>
    <t xml:space="preserve">/nextgen/preferiti mostra il guscio NEXTGEN (bottom nav, logo TRAMA) e la lista preferiti reale, non piu' la pagina LEGACY</t>
  </si>
  <si>
    <t xml:space="preserve">Login genitore -&gt; naviga a /nextgen/preferiti</t>
  </si>
  <si>
    <t xml:space="preserve">Il titolo 'Preferiti' e la lista reale sono visibili; bottom nav NEXTGEN (link a /nextgen/planner e /nextgen/prenotazioni) e logo TRAMA nell'header presenti</t>
  </si>
  <si>
    <t xml:space="preserve">Chiude uno degli 8 rimandi legacy individuati dall'audit richiesto da Fabrizio ("nel profilo, sotto impostazioni, ci sono ancora rimandi al legacy"). Nuova rotta app/nextgen/preferiti/page.tsx che monta components/PreferitiView.tsx (estratto dalla pagina LEGACY, stessa query getFavoriteActivitiesForParent, nessun comportamento cambiato). La rotta LEGACY /preferiti resta intatta e invariata. Non eseguito in questo sandbox (Playwright senza dipendenze browser di sistema) -- verificabile da Fabrizio al prossimo deploy.</t>
  </si>
  <si>
    <t xml:space="preserve">TC-N646</t>
  </si>
  <si>
    <t xml:space="preserve">/nextgen/presenze mostra il guscio NEXTGEN e il report presenze reale, non piu' la pagina LEGACY</t>
  </si>
  <si>
    <t xml:space="preserve">Login genitore -&gt; naviga a /nextgen/presenze</t>
  </si>
  <si>
    <t xml:space="preserve">Il titolo 'Le presenze' e il report reale (grafico andamento, riepilogo per bambino) sono visibili sotto il guscio NEXTGEN</t>
  </si>
  <si>
    <t xml:space="preserve">Stesso pattern di TC-N645: app/nextgen/presenze/page.tsx monta components/PresenzeView.tsx (estratto da app/(main)/presenze/page.tsx, stessa query getAttendanceReportForParent). LEGACY /presenze intatta. Non eseguito in questo sandbox, stessa limitazione.</t>
  </si>
  <si>
    <t xml:space="preserve">TC-N647</t>
  </si>
  <si>
    <t xml:space="preserve">/nextgen/richieste mostra il guscio NEXTGEN e le richieste reali, non piu' la pagina LEGACY</t>
  </si>
  <si>
    <t xml:space="preserve">Login genitore -&gt; naviga a /nextgen/richieste</t>
  </si>
  <si>
    <t xml:space="preserve">Il titolo 'Le mie richieste' e la lista reale (RichiesteGenitoreClient) sono visibili sotto il guscio NEXTGEN</t>
  </si>
  <si>
    <t xml:space="preserve">Stesso pattern: app/nextgen/richieste/page.tsx monta components/RichiesteView.tsx (estratto da app/(main)/richieste/page.tsx, stessa query getInquiriesForParent). LEGACY /richieste intatta. Non eseguito in questo sandbox, stessa limitazione.</t>
  </si>
  <si>
    <t xml:space="preserve">TC-N648</t>
  </si>
  <si>
    <t xml:space="preserve">/nextgen/center-leads mostra il guscio NEXTGEN e i suggerimenti centro reali, non piu' la pagina LEGACY</t>
  </si>
  <si>
    <t xml:space="preserve">Login genitore -&gt; naviga a /nextgen/center-leads</t>
  </si>
  <si>
    <t xml:space="preserve">Il titolo 'I tuoi suggerimenti' e la lista reale sono visibili sotto il guscio NEXTGEN</t>
  </si>
  <si>
    <t xml:space="preserve">Stesso pattern: app/nextgen/center-leads/page.tsx monta components/CenterLeadsView.tsx (estratto da app/(main)/center-leads/page.tsx, stessa query getMyCenterLeads). LEGACY /center-leads intatta. Non eseguito in questo sandbox, stessa limitazione.</t>
  </si>
  <si>
    <t xml:space="preserve">TC-N649</t>
  </si>
  <si>
    <t xml:space="preserve">/nextgen/profile/impostazioni/sicurezza mostra il guscio NEXTGEN, non piu' la pagina LEGACY</t>
  </si>
  <si>
    <t xml:space="preserve">Login genitore -&gt; /nextgen/profile/impostazioni -&gt; tap su 'Sicurezza'</t>
  </si>
  <si>
    <t xml:space="preserve">L'URL finale e' /nextgen/profile/impostazioni/sicurezza; il titolo 'Sicurezza' e ProfileSecuritySection sono visibili sotto il guscio NEXTGEN</t>
  </si>
  <si>
    <t xml:space="preserve">Stesso pattern: app/nextgen/profile/impostazioni/sicurezza/page.tsx monta components/SicurezzaView.tsx (estratto da app/(main)/profile/sicurezza/page.tsx). LEGACY /profile/sicurezza intatta (resta condivisa/raggiungibile anche da chi arriva da li'). Non eseguito in questo sandbox, stessa limitazione.</t>
  </si>
  <si>
    <t xml:space="preserve">TC-N650</t>
  </si>
  <si>
    <t xml:space="preserve">/nextgen/profile/impostazioni/preferenze mostra il guscio NEXTGEN, non piu' la pagina LEGACY</t>
  </si>
  <si>
    <t xml:space="preserve">Login genitore -&gt; /nextgen/profile/impostazioni -&gt; tap su 'Preferenze'</t>
  </si>
  <si>
    <t xml:space="preserve">L'URL finale e' /nextgen/profile/impostazioni/preferenze; il titolo 'Preferenze' e ProfilePreferencesSection sono visibili sotto il guscio NEXTGEN</t>
  </si>
  <si>
    <t xml:space="preserve">Stesso pattern: app/nextgen/profile/impostazioni/preferenze/page.tsx monta components/PreferenzeView.tsx (estratto da app/(main)/profile/preferenze/page.tsx). LEGACY /profile/preferenze intatta. Non eseguito in questo sandbox, stessa limitazione.</t>
  </si>
  <si>
    <t xml:space="preserve">TC-N651</t>
  </si>
  <si>
    <t xml:space="preserve">/nextgen/profile/impostazioni/privacy mostra il guscio NEXTGEN, non piu' la pagina LEGACY</t>
  </si>
  <si>
    <t xml:space="preserve">Login genitore -&gt; /nextgen/profile/impostazioni -&gt; tap su 'Privacy e account'</t>
  </si>
  <si>
    <t xml:space="preserve">L'URL finale e' /nextgen/profile/impostazioni/privacy; il titolo 'Privacy e account' e ProfilePrivacySection sono visibili sotto il guscio NEXTGEN</t>
  </si>
  <si>
    <t xml:space="preserve">Stesso pattern: app/nextgen/profile/impostazioni/privacy/page.tsx monta components/PrivacyView.tsx (estratto da app/(main)/profile/privacy/page.tsx). La pagina non ha backHref fisso (bugfix preesistente, raggiungibile sia da LEGACY che da NEXTGEN): PageHeader ricade su router.back(). LEGACY /profile/privacy intatta. Non eseguito in questo sandbox, stessa limitazione.</t>
  </si>
  <si>
    <t xml:space="preserve">TC-N652</t>
  </si>
  <si>
    <t xml:space="preserve">/nextgen/groups mostra il guscio NEXTGEN, non piu' il layout LEGACY (caso piu' grave dell'audit: '/groups' e' una voce primaria del BottomNav LEGACY)</t>
  </si>
  <si>
    <t xml:space="preserve">Login genitore -&gt; naviga a /nextgen/groups -&gt; verifica bottom nav/logo NEXTGEN -&gt; tap sulla freccia 'Indietro'</t>
  </si>
  <si>
    <t xml:space="preserve">Il titolo 'Gruppi &amp; Community' e la lista reale sono visibili sotto il guscio NEXTGEN (non il BottomNav LEGACY a 5 voci con 'Gruppi'); la freccia 'Indietro' riporta a /nextgen/planner</t>
  </si>
  <si>
    <t xml:space="preserve">Il gap piu' severo trovato dall'audit: prima un genitore NEXTGEN che entrava in Gruppi finiva interamente dentro app/(main)/layout.tsx (BottomNav LEGACY diverso), non solo mancava un'icona. Fix: components/GroupsClient.tsx esteso con prop opzionali basePath/backHref/showBrandIcon (default invariati per LEGACY, che continua a usare /groups senza back-arrow dalla bottom nav); nuova app/nextgen/groups/page.tsx passa basePath="/nextgen/groups", backHref="/nextgen/planner", showBrandIcon. LEGACY /groups intatta e comportamentalmente invariata. Non eseguito in questo sandbox, stessa limitazione.</t>
  </si>
  <si>
    <t xml:space="preserve">TC-N653</t>
  </si>
  <si>
    <t xml:space="preserve">Creare un gruppo da /nextgen/groups resta dentro NEXTGEN; il link 'Gruppi' nella scheda dettaglio riporta a /nextgen/groups, non a /groups (LEGACY)</t>
  </si>
  <si>
    <t xml:space="preserve">Da /nextgen/groups -&gt; '+ Nuovo' -&gt; inserisce nome -&gt; 'Crea gruppo'</t>
  </si>
  <si>
    <t xml:space="preserve">L'URL finale e' /nextgen/groups/{id} (non /groups/{id}); il link 'Gruppi' in alto ha href="/nextgen/groups"</t>
  </si>
  <si>
    <t xml:space="preserve">Verifica che basePath si propaghi anche al redirect post-creazione (handleCreate in GroupsClient.tsx) e che components/GroupDetailClient.tsx (prop backHref, default "/groups" per LEGACY invariato) riceva backHref="/nextgen/groups" dalla nuova app/nextgen/groups/[id]/page.tsx (stessa logica server-side di app/(main)/groups/[id]/page.tsx). Non eseguito in questo sandbox, stessa limitazione.</t>
  </si>
  <si>
    <t xml:space="preserve">TC-N654</t>
  </si>
  <si>
    <t xml:space="preserve">Dal Profilo NEXTGEN, 'Preferiti'/'Le presenze'/'I tuoi suggerimenti'/'Le mie richieste' portano tutti a rotte /nextgen/*, non piu' alle rotte LEGACY</t>
  </si>
  <si>
    <t xml:space="preserve">Login genitore -&gt; /nextgen/profile -&gt; ispeziona gli href delle 4 HubCard 'Attivita''/'Supporto'</t>
  </si>
  <si>
    <t xml:space="preserve">Gli href sono rispettivamente /nextgen/preferiti, /nextgen/presenze, /nextgen/center-leads, /nextgen/richieste (prima: /preferiti, /presenze, /center-leads, /richieste)</t>
  </si>
  <si>
    <t xml:space="preserve">4 dei 8 href individuati dall'audit Grep su app/nextgen/**, tutti in app/nextgen/profile/ProfileNextgenClient.tsx. Non eseguito in questo sandbox, stessa limitazione.</t>
  </si>
  <si>
    <t xml:space="preserve">TC-N655</t>
  </si>
  <si>
    <t xml:space="preserve">Da Impostazioni NEXTGEN, 'Sicurezza'/'Preferenze'/'Privacy e account' portano tutti a rotte /nextgen/profile/impostazioni/*, non piu' alle rotte LEGACY</t>
  </si>
  <si>
    <t xml:space="preserve">Login genitore -&gt; /nextgen/profile/impostazioni -&gt; ispeziona gli href delle 3 HubCard</t>
  </si>
  <si>
    <t xml:space="preserve">Gli href sono rispettivamente /nextgen/profile/impostazioni/sicurezza, /nextgen/profile/impostazioni/preferenze, /nextgen/profile/impostazioni/privacy (prima: /profile/sicurezza, /profile/preferenze, /profile/privacy)</t>
  </si>
  <si>
    <t xml:space="preserve">3 degli 8 href individuati dall'audit, in app/nextgen/profile/impostazioni/ImpostazioniHubClient.tsx. Non eseguito in questo sandbox, stessa limitazione.</t>
  </si>
  <si>
    <t xml:space="preserve">TC-N656</t>
  </si>
  <si>
    <t xml:space="preserve">Dal Planner NEXTGEN (scheda Gruppi), 'I tuoi Gruppi sconto' -&gt; 'Vedi tutti'/'Scopri come' porta a /nextgen/groups, non a /groups (LEGACY)</t>
  </si>
  <si>
    <t xml:space="preserve">Login genitore -&gt; /nextgen/planner -&gt; tab Gruppi -&gt; tap su 'Vedi tutti' (o 'Scopri come')</t>
  </si>
  <si>
    <t xml:space="preserve">L'URL finale e' /nextgen/groups (non /groups); anche le singole GroupCard puntano a /nextgen/groups/{id}</t>
  </si>
  <si>
    <t xml:space="preserve">Ultimo degli 8 href individuati, in components/nextgen/PlannerGroupsView.tsx (2 occorrenze: link 'Vedi tutti' e GroupCard interna). Non eseguito in questo sandbox, stessa limitazione.</t>
  </si>
  <si>
    <t xml:space="preserve">TC-N657</t>
  </si>
  <si>
    <t xml:space="preserve">Genitore - Rimandi legacy dentro NEXTGEN (task #528) [no browser]</t>
  </si>
  <si>
    <t xml:space="preserve">areaLabelFromPath riconosce tutte le nuove rotte /nextgen/* introdotte dal task #528 (segnalazioni BETA)</t>
  </si>
  <si>
    <t xml:space="preserve">areaLabelFromPath('/nextgen/preferiti'), ('/nextgen/presenze'), ('/nextgen/richieste'), ('/nextgen/center-leads'), ('/nextgen/groups'), ('/nextgen/groups/abc'), ('/nextgen/profile/impostazioni/sicurezza'|'preferenze'|'privacy')</t>
  </si>
  <si>
    <t xml:space="preserve">Ritorna rispettivamente 'Preferiti', 'Presenze', 'Le mie richieste', 'I tuoi suggerimenti', 'Gruppi' (x2), 'Profilo · Impostazioni' (x3, gia' coperto dal prefisso esistente)</t>
  </si>
  <si>
    <t xml:space="preserve">Riepilogo per Esito</t>
  </si>
  <si>
    <t xml:space="preserve">Conteggio</t>
  </si>
  <si>
    <t xml:space="preserve">N. test</t>
  </si>
  <si>
    <t xml:space="preserve">Totale test case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</si>
</sst>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A1D2E"/>
      <name val="Arial"/>
      <family val="2"/>
      <charset val="1"/>
    </font>
    <font>
      <i val="true"/>
      <sz val="10"/>
      <color rgb="FF6B7280"/>
      <name val="Arial"/>
      <family val="2"/>
      <charset val="1"/>
    </font>
    <font>
      <b val="true"/>
      <sz val="10"/>
      <color rgb="FFFFFFFF"/>
      <name val="Arial"/>
      <family val="2"/>
      <charset val="1"/>
    </font>
    <font>
      <sz val="10"/>
      <name val="Arial"/>
      <family val="2"/>
      <charset val="1"/>
    </font>
    <font>
      <b val="true"/>
      <sz val="10"/>
      <name val="Arial"/>
      <family val="2"/>
      <charset val="1"/>
    </font>
    <font>
      <sz val="11"/>
      <name val="Calibri"/>
      <family val="0"/>
      <charset val="1"/>
    </font>
    <font>
      <b val="true"/>
      <sz val="13"/>
      <name val="Arial"/>
      <family val="2"/>
      <charset val="1"/>
    </font>
  </fonts>
  <fills count="4">
    <fill>
      <patternFill patternType="none"/>
    </fill>
    <fill>
      <patternFill patternType="gray125"/>
    </fill>
    <fill>
      <patternFill patternType="solid">
        <fgColor rgb="FF1A1D2E"/>
        <bgColor rgb="FF333300"/>
      </patternFill>
    </fill>
    <fill>
      <patternFill patternType="solid">
        <fgColor theme="0" tint="-0.05"/>
        <bgColor rgb="FFEDEFF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A1D2E"/>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D9F2E6"/>
          <bgColor rgb="FF000000"/>
        </patternFill>
      </fill>
    </dxf>
    <dxf>
      <fill>
        <patternFill patternType="solid">
          <fgColor rgb="FFE6E0EC"/>
          <bgColor rgb="FF000000"/>
        </patternFill>
      </fill>
    </dxf>
    <dxf>
      <fill>
        <patternFill patternType="solid">
          <fgColor rgb="FFEDEFF3"/>
          <bgColor rgb="FF000000"/>
        </patternFill>
      </fill>
    </dxf>
    <dxf>
      <fill>
        <patternFill patternType="solid">
          <fgColor rgb="FFFBE2E2"/>
          <bgColor rgb="FF000000"/>
        </patternFill>
      </fill>
    </dxf>
    <dxf>
      <fill>
        <patternFill patternType="solid">
          <fgColor rgb="FFFCEBD2"/>
          <bgColor rgb="FF000000"/>
        </patternFill>
      </fill>
    </dxf>
    <dxf>
      <fill>
        <patternFill patternType="solid">
          <fgColor rgb="FF1E7A46"/>
          <bgColor rgb="FF000000"/>
        </patternFill>
      </fill>
    </dxf>
    <dxf>
      <fill>
        <patternFill patternType="solid">
          <fgColor rgb="FF604A7B"/>
          <bgColor rgb="FF000000"/>
        </patternFill>
      </fill>
    </dxf>
    <dxf>
      <fill>
        <patternFill patternType="solid">
          <fgColor rgb="FF6B7280"/>
          <bgColor rgb="FF000000"/>
        </patternFill>
      </fill>
    </dxf>
    <dxf>
      <fill>
        <patternFill patternType="solid">
          <fgColor rgb="FFA85A00"/>
          <bgColor rgb="FF000000"/>
        </patternFill>
      </fill>
    </dxf>
    <dxf>
      <fill>
        <patternFill patternType="solid">
          <fgColor rgb="FFB02A2A"/>
          <bgColor rgb="FF000000"/>
        </patternFill>
      </fill>
    </dxf>
    <dxf>
      <font>
        <name val="Arial (Body)"/>
        <charset val="1"/>
        <family val="0"/>
        <b val="1"/>
        <color rgb="FF604A7B"/>
      </font>
      <fill>
        <patternFill>
          <bgColor theme="7" tint="0.7999"/>
        </patternFill>
      </fill>
    </dxf>
    <dxf>
      <font>
        <name val="Arial"/>
        <charset val="1"/>
        <family val="0"/>
        <b val="1"/>
        <color rgb="FF1E7A46"/>
      </font>
      <fill>
        <patternFill>
          <bgColor rgb="FFD9F2E6"/>
        </patternFill>
      </fill>
    </dxf>
    <dxf>
      <font>
        <name val="Arial"/>
        <charset val="1"/>
        <family val="0"/>
        <b val="1"/>
        <color rgb="FFB02A2A"/>
      </font>
      <fill>
        <patternFill>
          <bgColor rgb="FFFBE2E2"/>
        </patternFill>
      </fill>
    </dxf>
    <dxf>
      <font>
        <name val="Arial"/>
        <charset val="1"/>
        <family val="0"/>
        <b val="1"/>
        <color rgb="FFA85A00"/>
      </font>
      <fill>
        <patternFill>
          <bgColor rgb="FFFCEBD2"/>
        </patternFill>
      </fill>
    </dxf>
    <dxf>
      <font>
        <name val="Arial"/>
        <charset val="1"/>
        <family val="0"/>
        <b val="1"/>
        <color rgb="FF6B7280"/>
      </font>
      <fill>
        <patternFill>
          <bgColor rgb="FFEDEFF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85A00"/>
      <rgbColor rgb="FF800080"/>
      <rgbColor rgb="FF1E7A46"/>
      <rgbColor rgb="FFE6E0EC"/>
      <rgbColor rgb="FF808080"/>
      <rgbColor rgb="FF9999FF"/>
      <rgbColor rgb="FF993366"/>
      <rgbColor rgb="FFFCEBD2"/>
      <rgbColor rgb="FFD9F2E6"/>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FF3"/>
      <rgbColor rgb="FFF2F2F2"/>
      <rgbColor rgb="FFFFFF99"/>
      <rgbColor rgb="FF99CCFF"/>
      <rgbColor rgb="FFFF99CC"/>
      <rgbColor rgb="FFCC99FF"/>
      <rgbColor rgb="FFFBE2E2"/>
      <rgbColor rgb="FF3366FF"/>
      <rgbColor rgb="FF33CCCC"/>
      <rgbColor rgb="FF99CC00"/>
      <rgbColor rgb="FFFFCC00"/>
      <rgbColor rgb="FFFF9900"/>
      <rgbColor rgb="FFFF6600"/>
      <rgbColor rgb="FF6B7280"/>
      <rgbColor rgb="FF969696"/>
      <rgbColor rgb="FF003366"/>
      <rgbColor rgb="FF339966"/>
      <rgbColor rgb="FF003300"/>
      <rgbColor rgb="FF333300"/>
      <rgbColor rgb="FFB02A2A"/>
      <rgbColor rgb="FF993366"/>
      <rgbColor rgb="FF604A7B"/>
      <rgbColor rgb="FF1A1D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22"/>
    <col collapsed="false" customWidth="true" hidden="false" outlineLevel="0" max="2" min="2" style="1" width="90"/>
  </cols>
  <sheetData>
    <row r="1" customFormat="false" ht="19.5" hidden="false" customHeight="true" outlineLevel="0" collapsed="false">
      <c r="A1" s="2" t="s">
        <v>0</v>
      </c>
    </row>
    <row r="2" customFormat="false" ht="15" hidden="false" customHeight="true" outlineLevel="0" collapsed="false">
      <c r="A2" s="3" t="s">
        <v>1</v>
      </c>
    </row>
    <row r="4" customFormat="false" ht="18" hidden="false" customHeight="true" outlineLevel="0" collapsed="false">
      <c r="A4" s="4" t="s">
        <v>2</v>
      </c>
      <c r="B4" s="5" t="s">
        <v>3</v>
      </c>
    </row>
    <row r="5" customFormat="false" ht="30" hidden="false" customHeight="true" outlineLevel="0" collapsed="false">
      <c r="A5" s="6" t="s">
        <v>4</v>
      </c>
      <c r="B5" s="7" t="s">
        <v>5</v>
      </c>
    </row>
    <row r="6" customFormat="false" ht="30" hidden="false" customHeight="true" outlineLevel="0" collapsed="false">
      <c r="A6" s="6" t="s">
        <v>6</v>
      </c>
      <c r="B6" s="7" t="s">
        <v>7</v>
      </c>
    </row>
    <row r="7" customFormat="false" ht="30" hidden="false" customHeight="true" outlineLevel="0" collapsed="false">
      <c r="A7" s="6" t="s">
        <v>8</v>
      </c>
      <c r="B7" s="7" t="s">
        <v>9</v>
      </c>
    </row>
    <row r="8" customFormat="false" ht="30" hidden="false" customHeight="true" outlineLevel="0" collapsed="false">
      <c r="A8" s="6" t="s">
        <v>10</v>
      </c>
      <c r="B8" s="7" t="s">
        <v>11</v>
      </c>
    </row>
    <row r="9" customFormat="false" ht="30" hidden="false" customHeight="true" outlineLevel="0" collapsed="false">
      <c r="A9" s="6" t="s">
        <v>12</v>
      </c>
      <c r="B9" s="7" t="s">
        <v>13</v>
      </c>
    </row>
    <row r="10" customFormat="false" ht="30" hidden="false" customHeight="true" outlineLevel="0" collapsed="false">
      <c r="A10" s="6" t="s">
        <v>14</v>
      </c>
      <c r="B10" s="7" t="s">
        <v>15</v>
      </c>
    </row>
    <row r="11" customFormat="false" ht="30" hidden="false" customHeight="true" outlineLevel="0" collapsed="false">
      <c r="A11" s="6" t="s">
        <v>16</v>
      </c>
      <c r="B11" s="7" t="s">
        <v>17</v>
      </c>
    </row>
    <row r="13" customFormat="false" ht="15" hidden="false" customHeight="true" outlineLevel="0" collapsed="false">
      <c r="A13" s="8" t="s">
        <v>18</v>
      </c>
    </row>
    <row r="14" customFormat="false" ht="15" hidden="false" customHeight="true" outlineLevel="0" collapsed="false">
      <c r="A14" s="9" t="s">
        <v>19</v>
      </c>
      <c r="B14" s="9"/>
    </row>
    <row r="15" customFormat="false" ht="15" hidden="false" customHeight="true" outlineLevel="0" collapsed="false">
      <c r="A15" s="9" t="s">
        <v>20</v>
      </c>
      <c r="B15" s="9"/>
    </row>
    <row r="16" customFormat="false" ht="23.25" hidden="false" customHeight="true" outlineLevel="0" collapsed="false">
      <c r="A16" s="9" t="s">
        <v>21</v>
      </c>
      <c r="B16" s="9"/>
    </row>
    <row r="17" customFormat="false" ht="15" hidden="false" customHeight="true" outlineLevel="0" collapsed="false">
      <c r="A17" s="9" t="s">
        <v>22</v>
      </c>
      <c r="B17" s="9"/>
    </row>
    <row r="18" customFormat="false" ht="15" hidden="false" customHeight="true" outlineLevel="0" collapsed="false">
      <c r="A18" s="9" t="s">
        <v>23</v>
      </c>
      <c r="B18" s="9"/>
    </row>
    <row r="19" customFormat="false" ht="15" hidden="false" customHeight="true" outlineLevel="0" collapsed="false">
      <c r="A19" s="9" t="s">
        <v>24</v>
      </c>
      <c r="B19" s="9"/>
    </row>
    <row r="20" customFormat="false" ht="15" hidden="false" customHeight="true" outlineLevel="0" collapsed="false">
      <c r="A20" s="9" t="s">
        <v>25</v>
      </c>
      <c r="B20" s="9"/>
    </row>
  </sheetData>
  <mergeCells count="7">
    <mergeCell ref="A14:B14"/>
    <mergeCell ref="A15:B15"/>
    <mergeCell ref="A16:B16"/>
    <mergeCell ref="A17:B17"/>
    <mergeCell ref="A18:B18"/>
    <mergeCell ref="A19:B19"/>
    <mergeCell ref="A20:B20"/>
  </mergeCell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This document is classified as EOLO - C2 General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9"/>
  <sheetViews>
    <sheetView showFormulas="false" showGridLines="false" showRowColHeaders="true" showZeros="true" rightToLeft="false" tabSelected="true" showOutlineSymbols="true" defaultGridColor="true" view="normal" topLeftCell="G1" colorId="64" zoomScale="116" zoomScaleNormal="116" zoomScalePageLayoutView="100" workbookViewId="0">
      <pane xSplit="0" ySplit="1" topLeftCell="A93" activePane="bottomLeft" state="frozen"/>
      <selection pane="topLeft" activeCell="G1" activeCellId="0" sqref="G1"/>
      <selection pane="bottomLeft" activeCell="K1" activeCellId="0" sqref="K1"/>
    </sheetView>
  </sheetViews>
  <sheetFormatPr defaultColWidth="39.00390625" defaultRowHeight="15" customHeight="false" zeroHeight="false" outlineLevelRow="0" outlineLevelCol="0"/>
  <cols>
    <col collapsed="false" customWidth="true" hidden="false" outlineLevel="0" max="1" min="1" style="10" width="11.83"/>
    <col collapsed="false" customWidth="true" hidden="false" outlineLevel="0" max="2" min="2" style="10" width="24"/>
    <col collapsed="false" customWidth="true" hidden="false" outlineLevel="0" max="3" min="3" style="10" width="36"/>
    <col collapsed="false" customWidth="true" hidden="false" outlineLevel="0" max="4" min="4" style="10" width="40.83"/>
    <col collapsed="false" customWidth="true" hidden="false" outlineLevel="0" max="5" min="5" style="10" width="60.16"/>
    <col collapsed="false" customWidth="true" hidden="false" outlineLevel="0" max="6" min="6" style="10" width="70.16"/>
    <col collapsed="false" customWidth="true" hidden="false" outlineLevel="0" max="7" min="7" style="10" width="18"/>
    <col collapsed="false" customWidth="true" hidden="false" outlineLevel="0" max="8" min="8" style="10" width="20.51"/>
    <col collapsed="false" customWidth="true" hidden="false" outlineLevel="0" max="9" min="9" style="10" width="12.16"/>
    <col collapsed="false" customWidth="true" hidden="false" outlineLevel="0" max="10" min="10" style="10" width="18.16"/>
    <col collapsed="false" customWidth="true" hidden="false" outlineLevel="0" max="12" min="11" style="11" width="77.66"/>
    <col collapsed="false" customWidth="false" hidden="false" outlineLevel="0" max="16384" min="13" style="10" width="39"/>
  </cols>
  <sheetData>
    <row r="1" customFormat="false" ht="31.5" hidden="false" customHeight="true" outlineLevel="0" collapsed="false">
      <c r="A1" s="12" t="s">
        <v>26</v>
      </c>
      <c r="B1" s="12" t="s">
        <v>27</v>
      </c>
      <c r="C1" s="12" t="s">
        <v>28</v>
      </c>
      <c r="D1" s="12" t="s">
        <v>29</v>
      </c>
      <c r="E1" s="12" t="s">
        <v>30</v>
      </c>
      <c r="F1" s="12" t="s">
        <v>31</v>
      </c>
      <c r="G1" s="12" t="s">
        <v>32</v>
      </c>
      <c r="H1" s="12" t="s">
        <v>33</v>
      </c>
      <c r="I1" s="12" t="s">
        <v>12</v>
      </c>
      <c r="J1" s="12" t="s">
        <v>14</v>
      </c>
      <c r="K1" s="13" t="s">
        <v>34</v>
      </c>
      <c r="L1" s="12" t="s">
        <v>16</v>
      </c>
    </row>
    <row r="2" customFormat="false" ht="45" hidden="false" customHeight="true" outlineLevel="0" collapsed="false">
      <c r="A2" s="14" t="s">
        <v>35</v>
      </c>
      <c r="B2" s="15" t="s">
        <v>36</v>
      </c>
      <c r="C2" s="15" t="s">
        <v>37</v>
      </c>
      <c r="D2" s="15" t="s">
        <v>38</v>
      </c>
      <c r="E2" s="15" t="s">
        <v>39</v>
      </c>
      <c r="F2" s="15" t="s">
        <v>40</v>
      </c>
      <c r="G2" s="15" t="s">
        <v>41</v>
      </c>
      <c r="H2" s="15" t="str">
        <f aca="false">IF(G2="BUG","BUG-"&amp;A2,IF(G2="FUNCTIONAL","FUNCTIONAL-"&amp;A2,""))</f>
        <v/>
      </c>
      <c r="I2" s="15" t="s">
        <v>42</v>
      </c>
      <c r="J2" s="15"/>
      <c r="K2" s="16" t="s">
        <v>43</v>
      </c>
      <c r="L2" s="16" t="s">
        <v>44</v>
      </c>
    </row>
    <row r="3" customFormat="false" ht="45" hidden="false" customHeight="true" outlineLevel="0" collapsed="false">
      <c r="A3" s="14" t="s">
        <v>45</v>
      </c>
      <c r="B3" s="15" t="s">
        <v>36</v>
      </c>
      <c r="C3" s="15" t="s">
        <v>46</v>
      </c>
      <c r="D3" s="15" t="s">
        <v>47</v>
      </c>
      <c r="E3" s="15" t="s">
        <v>48</v>
      </c>
      <c r="F3" s="15" t="s">
        <v>49</v>
      </c>
      <c r="G3" s="15" t="s">
        <v>41</v>
      </c>
      <c r="H3" s="15" t="str">
        <f aca="false">IF(G3="BUG","BUG-"&amp;A3,IF(G3="FUNCTIONAL","FUNCTIONAL-"&amp;A3,""))</f>
        <v/>
      </c>
      <c r="I3" s="15" t="s">
        <v>42</v>
      </c>
      <c r="J3" s="15"/>
      <c r="K3" s="16"/>
      <c r="L3" s="16"/>
    </row>
    <row r="4" customFormat="false" ht="45" hidden="false" customHeight="true" outlineLevel="0" collapsed="false">
      <c r="A4" s="14" t="s">
        <v>50</v>
      </c>
      <c r="B4" s="15" t="s">
        <v>36</v>
      </c>
      <c r="C4" s="15" t="s">
        <v>51</v>
      </c>
      <c r="D4" s="15" t="s">
        <v>52</v>
      </c>
      <c r="E4" s="15" t="s">
        <v>53</v>
      </c>
      <c r="F4" s="15" t="s">
        <v>54</v>
      </c>
      <c r="G4" s="15" t="s">
        <v>55</v>
      </c>
      <c r="H4" s="15" t="str">
        <f aca="false">IF(G4="BUG","BUG-"&amp;A4,IF(G4="FUNCTIONAL","FUNCTIONAL-"&amp;A4,""))</f>
        <v>BUG-TC-003</v>
      </c>
      <c r="I4" s="15" t="s">
        <v>56</v>
      </c>
      <c r="J4" s="15"/>
      <c r="K4" s="16" t="s">
        <v>57</v>
      </c>
      <c r="L4" s="16" t="s">
        <v>58</v>
      </c>
    </row>
    <row r="5" customFormat="false" ht="45" hidden="false" customHeight="true" outlineLevel="0" collapsed="false">
      <c r="A5" s="14" t="s">
        <v>59</v>
      </c>
      <c r="B5" s="15" t="s">
        <v>36</v>
      </c>
      <c r="C5" s="15" t="s">
        <v>60</v>
      </c>
      <c r="D5" s="15" t="s">
        <v>61</v>
      </c>
      <c r="E5" s="15" t="s">
        <v>62</v>
      </c>
      <c r="F5" s="15" t="s">
        <v>63</v>
      </c>
      <c r="G5" s="15" t="s">
        <v>64</v>
      </c>
      <c r="H5" s="15" t="str">
        <f aca="false">IF(G5="BUG","BUG-"&amp;A5,IF(G5="FUNCTIONAL","FUNCTIONAL-"&amp;A5,""))</f>
        <v>FUNCTIONAL-TC-004</v>
      </c>
      <c r="I5" s="15" t="s">
        <v>65</v>
      </c>
      <c r="J5" s="15" t="s">
        <v>66</v>
      </c>
      <c r="K5" s="16" t="s">
        <v>67</v>
      </c>
      <c r="L5" s="16" t="s">
        <v>68</v>
      </c>
    </row>
    <row r="6" customFormat="false" ht="45" hidden="false" customHeight="true" outlineLevel="0" collapsed="false">
      <c r="A6" s="14" t="s">
        <v>69</v>
      </c>
      <c r="B6" s="15" t="s">
        <v>36</v>
      </c>
      <c r="C6" s="15" t="s">
        <v>70</v>
      </c>
      <c r="D6" s="15" t="s">
        <v>71</v>
      </c>
      <c r="E6" s="15" t="s">
        <v>72</v>
      </c>
      <c r="F6" s="15" t="s">
        <v>73</v>
      </c>
      <c r="G6" s="15" t="s">
        <v>74</v>
      </c>
      <c r="H6" s="15" t="str">
        <f aca="false">IF(G6="BUG","BUG-"&amp;A6,IF(G6="FUNCTIONAL","FUNCTIONAL-"&amp;A6,""))</f>
        <v/>
      </c>
      <c r="I6" s="15" t="s">
        <v>42</v>
      </c>
      <c r="J6" s="15"/>
      <c r="K6" s="16" t="s">
        <v>75</v>
      </c>
      <c r="L6" s="16" t="s">
        <v>76</v>
      </c>
    </row>
    <row r="7" customFormat="false" ht="45" hidden="false" customHeight="true" outlineLevel="0" collapsed="false">
      <c r="A7" s="14" t="s">
        <v>77</v>
      </c>
      <c r="B7" s="15" t="s">
        <v>36</v>
      </c>
      <c r="C7" s="15" t="s">
        <v>78</v>
      </c>
      <c r="D7" s="15" t="s">
        <v>79</v>
      </c>
      <c r="E7" s="15" t="s">
        <v>80</v>
      </c>
      <c r="F7" s="15" t="s">
        <v>81</v>
      </c>
      <c r="G7" s="15" t="s">
        <v>74</v>
      </c>
      <c r="H7" s="15" t="str">
        <f aca="false">IF(G7="BUG","BUG-"&amp;A7,IF(G7="FUNCTIONAL","FUNCTIONAL-"&amp;A7,""))</f>
        <v/>
      </c>
      <c r="I7" s="15" t="s">
        <v>42</v>
      </c>
      <c r="J7" s="15" t="s">
        <v>82</v>
      </c>
      <c r="K7" s="16" t="s">
        <v>83</v>
      </c>
      <c r="L7" s="16"/>
    </row>
    <row r="8" customFormat="false" ht="45" hidden="false" customHeight="true" outlineLevel="0" collapsed="false">
      <c r="A8" s="14" t="s">
        <v>84</v>
      </c>
      <c r="B8" s="15" t="s">
        <v>36</v>
      </c>
      <c r="C8" s="15" t="s">
        <v>85</v>
      </c>
      <c r="D8" s="15" t="s">
        <v>86</v>
      </c>
      <c r="E8" s="15" t="s">
        <v>87</v>
      </c>
      <c r="F8" s="15" t="s">
        <v>88</v>
      </c>
      <c r="G8" s="15" t="s">
        <v>74</v>
      </c>
      <c r="H8" s="15" t="str">
        <f aca="false">IF(G8="BUG","BUG-"&amp;A8,IF(G8="FUNCTIONAL","FUNCTIONAL-"&amp;A8,""))</f>
        <v/>
      </c>
      <c r="I8" s="15" t="s">
        <v>42</v>
      </c>
      <c r="J8" s="15"/>
      <c r="K8" s="16" t="s">
        <v>89</v>
      </c>
      <c r="L8" s="16" t="s">
        <v>90</v>
      </c>
    </row>
    <row r="9" customFormat="false" ht="45" hidden="false" customHeight="true" outlineLevel="0" collapsed="false">
      <c r="A9" s="14" t="s">
        <v>91</v>
      </c>
      <c r="B9" s="15" t="s">
        <v>36</v>
      </c>
      <c r="C9" s="15" t="s">
        <v>92</v>
      </c>
      <c r="D9" s="15" t="s">
        <v>79</v>
      </c>
      <c r="E9" s="15" t="s">
        <v>93</v>
      </c>
      <c r="F9" s="15" t="s">
        <v>94</v>
      </c>
      <c r="G9" s="15" t="s">
        <v>74</v>
      </c>
      <c r="H9" s="15" t="str">
        <f aca="false">IF(G9="BUG","BUG-"&amp;A9,IF(G9="FUNCTIONAL","FUNCTIONAL-"&amp;A9,""))</f>
        <v/>
      </c>
      <c r="I9" s="15" t="s">
        <v>42</v>
      </c>
      <c r="J9" s="15" t="s">
        <v>95</v>
      </c>
      <c r="K9" s="16" t="s">
        <v>83</v>
      </c>
      <c r="L9" s="16"/>
    </row>
    <row r="10" customFormat="false" ht="45" hidden="false" customHeight="true" outlineLevel="0" collapsed="false">
      <c r="A10" s="14" t="s">
        <v>96</v>
      </c>
      <c r="B10" s="15" t="s">
        <v>36</v>
      </c>
      <c r="C10" s="15" t="s">
        <v>97</v>
      </c>
      <c r="D10" s="15" t="s">
        <v>98</v>
      </c>
      <c r="E10" s="15" t="s">
        <v>99</v>
      </c>
      <c r="F10" s="15" t="s">
        <v>100</v>
      </c>
      <c r="G10" s="15" t="s">
        <v>74</v>
      </c>
      <c r="H10" s="15" t="str">
        <f aca="false">IF(G10="BUG","BUG-"&amp;A10,IF(G10="FUNCTIONAL","FUNCTIONAL-"&amp;A10,""))</f>
        <v/>
      </c>
      <c r="I10" s="15" t="s">
        <v>42</v>
      </c>
      <c r="J10" s="15"/>
      <c r="K10" s="16" t="s">
        <v>101</v>
      </c>
      <c r="L10" s="16" t="s">
        <v>102</v>
      </c>
    </row>
    <row r="11" customFormat="false" ht="45" hidden="false" customHeight="true" outlineLevel="0" collapsed="false">
      <c r="A11" s="14" t="s">
        <v>103</v>
      </c>
      <c r="B11" s="15" t="s">
        <v>36</v>
      </c>
      <c r="C11" s="15" t="s">
        <v>104</v>
      </c>
      <c r="D11" s="15" t="s">
        <v>105</v>
      </c>
      <c r="E11" s="15" t="s">
        <v>106</v>
      </c>
      <c r="F11" s="15" t="s">
        <v>107</v>
      </c>
      <c r="G11" s="15" t="s">
        <v>74</v>
      </c>
      <c r="H11" s="15" t="str">
        <f aca="false">IF(G11="BUG","BUG-"&amp;A11,IF(G11="FUNCTIONAL","FUNCTIONAL-"&amp;A11,""))</f>
        <v/>
      </c>
      <c r="I11" s="15" t="s">
        <v>42</v>
      </c>
      <c r="J11" s="15"/>
      <c r="K11" s="16" t="s">
        <v>101</v>
      </c>
      <c r="L11" s="16" t="s">
        <v>102</v>
      </c>
    </row>
    <row r="12" customFormat="false" ht="45" hidden="false" customHeight="true" outlineLevel="0" collapsed="false">
      <c r="A12" s="14" t="s">
        <v>108</v>
      </c>
      <c r="B12" s="15" t="s">
        <v>36</v>
      </c>
      <c r="C12" s="15" t="s">
        <v>109</v>
      </c>
      <c r="D12" s="15" t="s">
        <v>110</v>
      </c>
      <c r="E12" s="15" t="s">
        <v>111</v>
      </c>
      <c r="F12" s="15" t="s">
        <v>112</v>
      </c>
      <c r="G12" s="15" t="s">
        <v>74</v>
      </c>
      <c r="H12" s="15" t="str">
        <f aca="false">IF(G12="BUG","BUG-"&amp;A12,IF(G12="FUNCTIONAL","FUNCTIONAL-"&amp;A12,""))</f>
        <v/>
      </c>
      <c r="I12" s="15" t="s">
        <v>56</v>
      </c>
      <c r="J12" s="15"/>
      <c r="K12" s="16"/>
      <c r="L12" s="16"/>
    </row>
    <row r="13" customFormat="false" ht="45" hidden="false" customHeight="true" outlineLevel="0" collapsed="false">
      <c r="A13" s="14" t="s">
        <v>113</v>
      </c>
      <c r="B13" s="15" t="s">
        <v>114</v>
      </c>
      <c r="C13" s="15" t="s">
        <v>115</v>
      </c>
      <c r="D13" s="15" t="s">
        <v>116</v>
      </c>
      <c r="E13" s="15" t="s">
        <v>117</v>
      </c>
      <c r="F13" s="15" t="s">
        <v>118</v>
      </c>
      <c r="G13" s="15" t="s">
        <v>64</v>
      </c>
      <c r="H13" s="15" t="str">
        <f aca="false">IF(G13="BUG","BUG-"&amp;A13,IF(G13="FUNCTIONAL","FUNCTIONAL-"&amp;A13,""))</f>
        <v>FUNCTIONAL-TC-012</v>
      </c>
      <c r="I13" s="15" t="s">
        <v>42</v>
      </c>
      <c r="J13" s="15" t="s">
        <v>119</v>
      </c>
      <c r="K13" s="16" t="s">
        <v>120</v>
      </c>
      <c r="L13" s="16" t="s">
        <v>121</v>
      </c>
    </row>
    <row r="14" customFormat="false" ht="45" hidden="false" customHeight="true" outlineLevel="0" collapsed="false">
      <c r="A14" s="14" t="s">
        <v>122</v>
      </c>
      <c r="B14" s="15" t="s">
        <v>114</v>
      </c>
      <c r="C14" s="15" t="s">
        <v>123</v>
      </c>
      <c r="D14" s="15" t="s">
        <v>61</v>
      </c>
      <c r="E14" s="15" t="s">
        <v>124</v>
      </c>
      <c r="F14" s="15" t="s">
        <v>125</v>
      </c>
      <c r="G14" s="15" t="s">
        <v>55</v>
      </c>
      <c r="H14" s="15" t="str">
        <f aca="false">IF(G14="BUG","BUG-"&amp;A14,IF(G14="FUNCTIONAL","FUNCTIONAL-"&amp;A14,""))</f>
        <v>BUG-TC-013</v>
      </c>
      <c r="I14" s="15" t="s">
        <v>42</v>
      </c>
      <c r="J14" s="15" t="s">
        <v>126</v>
      </c>
      <c r="K14" s="16" t="s">
        <v>127</v>
      </c>
      <c r="L14" s="16" t="s">
        <v>128</v>
      </c>
    </row>
    <row r="15" customFormat="false" ht="45" hidden="false" customHeight="true" outlineLevel="0" collapsed="false">
      <c r="A15" s="14" t="s">
        <v>129</v>
      </c>
      <c r="B15" s="15" t="s">
        <v>114</v>
      </c>
      <c r="C15" s="15" t="s">
        <v>130</v>
      </c>
      <c r="D15" s="15" t="s">
        <v>131</v>
      </c>
      <c r="E15" s="15" t="s">
        <v>132</v>
      </c>
      <c r="F15" s="15" t="s">
        <v>133</v>
      </c>
      <c r="G15" s="15" t="s">
        <v>134</v>
      </c>
      <c r="H15" s="15" t="str">
        <f aca="false">IF(G15="BUG","BUG-"&amp;A15,IF(G15="FUNCTIONAL","FUNCTIONAL-"&amp;A15,""))</f>
        <v/>
      </c>
      <c r="I15" s="15" t="s">
        <v>56</v>
      </c>
      <c r="J15" s="15" t="s">
        <v>126</v>
      </c>
      <c r="K15" s="16" t="s">
        <v>135</v>
      </c>
      <c r="L15" s="16" t="s">
        <v>136</v>
      </c>
    </row>
    <row r="16" customFormat="false" ht="45" hidden="false" customHeight="true" outlineLevel="0" collapsed="false">
      <c r="A16" s="14" t="s">
        <v>137</v>
      </c>
      <c r="B16" s="15" t="s">
        <v>114</v>
      </c>
      <c r="C16" s="15" t="s">
        <v>138</v>
      </c>
      <c r="D16" s="15" t="s">
        <v>61</v>
      </c>
      <c r="E16" s="15" t="s">
        <v>139</v>
      </c>
      <c r="F16" s="15" t="s">
        <v>140</v>
      </c>
      <c r="G16" s="15" t="s">
        <v>134</v>
      </c>
      <c r="H16" s="15" t="str">
        <f aca="false">IF(G16="BUG","BUG-"&amp;A16,IF(G16="FUNCTIONAL","FUNCTIONAL-"&amp;A16,""))</f>
        <v/>
      </c>
      <c r="I16" s="15" t="s">
        <v>65</v>
      </c>
      <c r="J16" s="15"/>
      <c r="K16" s="16" t="s">
        <v>141</v>
      </c>
      <c r="L16" s="16" t="s">
        <v>142</v>
      </c>
    </row>
    <row r="17" customFormat="false" ht="45" hidden="false" customHeight="true" outlineLevel="0" collapsed="false">
      <c r="A17" s="14" t="s">
        <v>143</v>
      </c>
      <c r="B17" s="15" t="s">
        <v>144</v>
      </c>
      <c r="C17" s="15" t="s">
        <v>145</v>
      </c>
      <c r="D17" s="15" t="s">
        <v>61</v>
      </c>
      <c r="E17" s="15" t="s">
        <v>146</v>
      </c>
      <c r="F17" s="15" t="s">
        <v>147</v>
      </c>
      <c r="G17" s="15" t="s">
        <v>55</v>
      </c>
      <c r="H17" s="15" t="str">
        <f aca="false">IF(G17="BUG","BUG-"&amp;A17,IF(G17="FUNCTIONAL","FUNCTIONAL-"&amp;A17,""))</f>
        <v>BUG-TC-016</v>
      </c>
      <c r="I17" s="15" t="s">
        <v>42</v>
      </c>
      <c r="J17" s="15"/>
      <c r="K17" s="16" t="s">
        <v>148</v>
      </c>
      <c r="L17" s="16" t="s">
        <v>149</v>
      </c>
    </row>
    <row r="18" customFormat="false" ht="45" hidden="false" customHeight="true" outlineLevel="0" collapsed="false">
      <c r="A18" s="14" t="s">
        <v>150</v>
      </c>
      <c r="B18" s="15" t="s">
        <v>144</v>
      </c>
      <c r="C18" s="15" t="s">
        <v>151</v>
      </c>
      <c r="D18" s="15" t="s">
        <v>61</v>
      </c>
      <c r="E18" s="15" t="s">
        <v>152</v>
      </c>
      <c r="F18" s="15" t="s">
        <v>153</v>
      </c>
      <c r="G18" s="15" t="s">
        <v>134</v>
      </c>
      <c r="H18" s="15" t="str">
        <f aca="false">IF(G18="BUG","BUG-"&amp;A18,IF(G18="FUNCTIONAL","FUNCTIONAL-"&amp;A18,""))</f>
        <v/>
      </c>
      <c r="I18" s="15" t="s">
        <v>56</v>
      </c>
      <c r="J18" s="15" t="s">
        <v>154</v>
      </c>
      <c r="K18" s="16" t="s">
        <v>155</v>
      </c>
      <c r="L18" s="16" t="s">
        <v>156</v>
      </c>
    </row>
    <row r="19" customFormat="false" ht="45" hidden="false" customHeight="true" outlineLevel="0" collapsed="false">
      <c r="A19" s="14" t="s">
        <v>157</v>
      </c>
      <c r="B19" s="15" t="s">
        <v>144</v>
      </c>
      <c r="C19" s="15" t="s">
        <v>158</v>
      </c>
      <c r="D19" s="15" t="s">
        <v>61</v>
      </c>
      <c r="E19" s="15" t="s">
        <v>159</v>
      </c>
      <c r="F19" s="15" t="s">
        <v>160</v>
      </c>
      <c r="G19" s="15" t="s">
        <v>41</v>
      </c>
      <c r="H19" s="15" t="str">
        <f aca="false">IF(G19="BUG","BUG-"&amp;A19,IF(G19="FUNCTIONAL","FUNCTIONAL-"&amp;A19,""))</f>
        <v/>
      </c>
      <c r="I19" s="15" t="s">
        <v>56</v>
      </c>
      <c r="J19" s="15" t="s">
        <v>154</v>
      </c>
      <c r="K19" s="16" t="s">
        <v>161</v>
      </c>
      <c r="L19" s="16" t="s">
        <v>162</v>
      </c>
    </row>
    <row r="20" customFormat="false" ht="45" hidden="false" customHeight="true" outlineLevel="0" collapsed="false">
      <c r="A20" s="14" t="s">
        <v>163</v>
      </c>
      <c r="B20" s="15" t="s">
        <v>144</v>
      </c>
      <c r="C20" s="15" t="s">
        <v>164</v>
      </c>
      <c r="D20" s="15" t="s">
        <v>61</v>
      </c>
      <c r="E20" s="15" t="s">
        <v>165</v>
      </c>
      <c r="F20" s="15" t="s">
        <v>166</v>
      </c>
      <c r="G20" s="15" t="s">
        <v>134</v>
      </c>
      <c r="H20" s="15" t="str">
        <f aca="false">IF(G20="BUG","BUG-"&amp;A20,IF(G20="FUNCTIONAL","FUNCTIONAL-"&amp;A20,""))</f>
        <v/>
      </c>
      <c r="I20" s="15" t="s">
        <v>56</v>
      </c>
      <c r="J20" s="15" t="s">
        <v>154</v>
      </c>
      <c r="K20" s="16" t="s">
        <v>167</v>
      </c>
      <c r="L20" s="16" t="s">
        <v>168</v>
      </c>
    </row>
    <row r="21" customFormat="false" ht="45" hidden="false" customHeight="true" outlineLevel="0" collapsed="false">
      <c r="A21" s="14" t="s">
        <v>169</v>
      </c>
      <c r="B21" s="15" t="s">
        <v>144</v>
      </c>
      <c r="C21" s="15" t="s">
        <v>170</v>
      </c>
      <c r="D21" s="15" t="s">
        <v>171</v>
      </c>
      <c r="E21" s="15" t="s">
        <v>172</v>
      </c>
      <c r="F21" s="15" t="s">
        <v>173</v>
      </c>
      <c r="G21" s="15" t="s">
        <v>41</v>
      </c>
      <c r="H21" s="15" t="str">
        <f aca="false">IF(G21="BUG","BUG-"&amp;A21,IF(G21="FUNCTIONAL","FUNCTIONAL-"&amp;A21,""))</f>
        <v/>
      </c>
      <c r="I21" s="15" t="s">
        <v>42</v>
      </c>
      <c r="J21" s="15" t="s">
        <v>154</v>
      </c>
      <c r="K21" s="16" t="s">
        <v>161</v>
      </c>
      <c r="L21" s="16" t="s">
        <v>162</v>
      </c>
    </row>
    <row r="22" customFormat="false" ht="45" hidden="false" customHeight="true" outlineLevel="0" collapsed="false">
      <c r="A22" s="14" t="s">
        <v>174</v>
      </c>
      <c r="B22" s="15" t="s">
        <v>144</v>
      </c>
      <c r="C22" s="15" t="s">
        <v>175</v>
      </c>
      <c r="D22" s="15" t="s">
        <v>61</v>
      </c>
      <c r="E22" s="15" t="s">
        <v>176</v>
      </c>
      <c r="F22" s="15" t="s">
        <v>177</v>
      </c>
      <c r="G22" s="15" t="s">
        <v>134</v>
      </c>
      <c r="H22" s="15" t="str">
        <f aca="false">IF(G22="BUG","BUG-"&amp;A22,IF(G22="FUNCTIONAL","FUNCTIONAL-"&amp;A22,""))</f>
        <v/>
      </c>
      <c r="I22" s="15" t="s">
        <v>56</v>
      </c>
      <c r="J22" s="15" t="s">
        <v>154</v>
      </c>
      <c r="K22" s="16" t="s">
        <v>178</v>
      </c>
      <c r="L22" s="16" t="s">
        <v>179</v>
      </c>
    </row>
    <row r="23" customFormat="false" ht="45" hidden="false" customHeight="true" outlineLevel="0" collapsed="false">
      <c r="A23" s="14" t="s">
        <v>180</v>
      </c>
      <c r="B23" s="15" t="s">
        <v>144</v>
      </c>
      <c r="C23" s="15" t="s">
        <v>181</v>
      </c>
      <c r="D23" s="15" t="s">
        <v>182</v>
      </c>
      <c r="E23" s="15" t="s">
        <v>183</v>
      </c>
      <c r="F23" s="15" t="s">
        <v>184</v>
      </c>
      <c r="G23" s="15" t="s">
        <v>134</v>
      </c>
      <c r="H23" s="15" t="str">
        <f aca="false">IF(G23="BUG","BUG-"&amp;A23,IF(G23="FUNCTIONAL","FUNCTIONAL-"&amp;A23,""))</f>
        <v/>
      </c>
      <c r="I23" s="15" t="s">
        <v>65</v>
      </c>
      <c r="J23" s="15"/>
      <c r="K23" s="16" t="s">
        <v>185</v>
      </c>
      <c r="L23" s="16" t="s">
        <v>186</v>
      </c>
    </row>
    <row r="24" customFormat="false" ht="45" hidden="false" customHeight="true" outlineLevel="0" collapsed="false">
      <c r="A24" s="14" t="s">
        <v>187</v>
      </c>
      <c r="B24" s="15" t="s">
        <v>144</v>
      </c>
      <c r="C24" s="15" t="s">
        <v>188</v>
      </c>
      <c r="D24" s="15" t="s">
        <v>189</v>
      </c>
      <c r="E24" s="15" t="s">
        <v>190</v>
      </c>
      <c r="F24" s="15" t="s">
        <v>191</v>
      </c>
      <c r="G24" s="15" t="s">
        <v>55</v>
      </c>
      <c r="H24" s="15" t="str">
        <f aca="false">IF(G24="BUG","BUG-"&amp;A24,IF(G24="FUNCTIONAL","FUNCTIONAL-"&amp;A24,""))</f>
        <v>BUG-TC-023</v>
      </c>
      <c r="I24" s="15" t="s">
        <v>56</v>
      </c>
      <c r="J24" s="15" t="s">
        <v>126</v>
      </c>
      <c r="K24" s="16" t="s">
        <v>192</v>
      </c>
      <c r="L24" s="16" t="s">
        <v>193</v>
      </c>
    </row>
    <row r="25" customFormat="false" ht="45" hidden="false" customHeight="true" outlineLevel="0" collapsed="false">
      <c r="A25" s="14" t="s">
        <v>194</v>
      </c>
      <c r="B25" s="15" t="s">
        <v>144</v>
      </c>
      <c r="C25" s="15" t="s">
        <v>195</v>
      </c>
      <c r="D25" s="15" t="s">
        <v>61</v>
      </c>
      <c r="E25" s="15" t="s">
        <v>196</v>
      </c>
      <c r="F25" s="15" t="s">
        <v>197</v>
      </c>
      <c r="G25" s="15" t="s">
        <v>74</v>
      </c>
      <c r="H25" s="15" t="str">
        <f aca="false">IF(G25="BUG","BUG-"&amp;A25,IF(G25="FUNCTIONAL","FUNCTIONAL-"&amp;A25,""))</f>
        <v/>
      </c>
      <c r="I25" s="15" t="s">
        <v>65</v>
      </c>
      <c r="J25" s="15"/>
      <c r="K25" s="16" t="s">
        <v>198</v>
      </c>
      <c r="L25" s="16" t="s">
        <v>199</v>
      </c>
    </row>
    <row r="26" customFormat="false" ht="45" hidden="false" customHeight="true" outlineLevel="0" collapsed="false">
      <c r="A26" s="17" t="s">
        <v>200</v>
      </c>
      <c r="B26" s="15" t="s">
        <v>201</v>
      </c>
      <c r="C26" s="15" t="s">
        <v>202</v>
      </c>
      <c r="D26" s="15" t="s">
        <v>61</v>
      </c>
      <c r="E26" s="15" t="s">
        <v>203</v>
      </c>
      <c r="F26" s="15" t="s">
        <v>204</v>
      </c>
      <c r="G26" s="15"/>
      <c r="H26" s="15" t="str">
        <f aca="false">IF(G26="BUG","BUG-"&amp;A26,IF(G26="FUNCTIONAL","FUNCTIONAL-"&amp;A26,""))</f>
        <v/>
      </c>
      <c r="I26" s="15" t="s">
        <v>42</v>
      </c>
      <c r="J26" s="15"/>
      <c r="K26" s="16"/>
      <c r="L26" s="16"/>
    </row>
    <row r="27" customFormat="false" ht="45" hidden="false" customHeight="true" outlineLevel="0" collapsed="false">
      <c r="A27" s="17" t="s">
        <v>205</v>
      </c>
      <c r="B27" s="15" t="s">
        <v>201</v>
      </c>
      <c r="C27" s="15" t="s">
        <v>206</v>
      </c>
      <c r="D27" s="15" t="s">
        <v>61</v>
      </c>
      <c r="E27" s="15" t="s">
        <v>207</v>
      </c>
      <c r="F27" s="15" t="s">
        <v>208</v>
      </c>
      <c r="G27" s="15" t="s">
        <v>55</v>
      </c>
      <c r="H27" s="15" t="str">
        <f aca="false">IF(G27="BUG","BUG-"&amp;A27,IF(G27="FUNCTIONAL","FUNCTIONAL-"&amp;A27,""))</f>
        <v>BUG-TC-026</v>
      </c>
      <c r="I27" s="15" t="s">
        <v>42</v>
      </c>
      <c r="J27" s="15" t="s">
        <v>209</v>
      </c>
      <c r="K27" s="16" t="s">
        <v>210</v>
      </c>
      <c r="L27" s="16" t="s">
        <v>211</v>
      </c>
    </row>
    <row r="28" customFormat="false" ht="45" hidden="false" customHeight="true" outlineLevel="0" collapsed="false">
      <c r="A28" s="17" t="s">
        <v>212</v>
      </c>
      <c r="B28" s="15" t="s">
        <v>201</v>
      </c>
      <c r="C28" s="15" t="s">
        <v>213</v>
      </c>
      <c r="D28" s="15" t="s">
        <v>214</v>
      </c>
      <c r="E28" s="15" t="s">
        <v>215</v>
      </c>
      <c r="F28" s="15" t="s">
        <v>216</v>
      </c>
      <c r="G28" s="15" t="s">
        <v>64</v>
      </c>
      <c r="H28" s="15" t="str">
        <f aca="false">IF(G28="BUG","BUG-"&amp;A28,IF(G28="FUNCTIONAL","FUNCTIONAL-"&amp;A28,""))</f>
        <v>FUNCTIONAL-TC-027</v>
      </c>
      <c r="I28" s="15" t="s">
        <v>56</v>
      </c>
      <c r="J28" s="15" t="s">
        <v>217</v>
      </c>
      <c r="K28" s="16" t="s">
        <v>218</v>
      </c>
      <c r="L28" s="16" t="s">
        <v>219</v>
      </c>
    </row>
    <row r="29" customFormat="false" ht="45" hidden="false" customHeight="true" outlineLevel="0" collapsed="false">
      <c r="A29" s="17" t="s">
        <v>220</v>
      </c>
      <c r="B29" s="15" t="s">
        <v>201</v>
      </c>
      <c r="C29" s="15" t="s">
        <v>221</v>
      </c>
      <c r="D29" s="15" t="s">
        <v>222</v>
      </c>
      <c r="E29" s="15" t="s">
        <v>223</v>
      </c>
      <c r="F29" s="15" t="s">
        <v>224</v>
      </c>
      <c r="G29" s="15"/>
      <c r="H29" s="15" t="str">
        <f aca="false">IF(G29="BUG","BUG-"&amp;A29,IF(G29="FUNCTIONAL","FUNCTIONAL-"&amp;A29,""))</f>
        <v/>
      </c>
      <c r="I29" s="15" t="s">
        <v>56</v>
      </c>
      <c r="J29" s="15"/>
      <c r="K29" s="16"/>
      <c r="L29" s="16"/>
    </row>
    <row r="30" customFormat="false" ht="45" hidden="false" customHeight="true" outlineLevel="0" collapsed="false">
      <c r="A30" s="17" t="s">
        <v>225</v>
      </c>
      <c r="B30" s="15" t="s">
        <v>226</v>
      </c>
      <c r="C30" s="15" t="s">
        <v>227</v>
      </c>
      <c r="D30" s="15" t="s">
        <v>228</v>
      </c>
      <c r="E30" s="15" t="s">
        <v>229</v>
      </c>
      <c r="F30" s="15" t="s">
        <v>230</v>
      </c>
      <c r="G30" s="15"/>
      <c r="H30" s="15" t="str">
        <f aca="false">IF(G30="BUG","BUG-"&amp;A30,IF(G30="FUNCTIONAL","FUNCTIONAL-"&amp;A30,""))</f>
        <v/>
      </c>
      <c r="I30" s="15" t="s">
        <v>42</v>
      </c>
      <c r="J30" s="15"/>
      <c r="K30" s="16"/>
      <c r="L30" s="16"/>
    </row>
    <row r="31" customFormat="false" ht="45" hidden="false" customHeight="true" outlineLevel="0" collapsed="false">
      <c r="A31" s="17" t="s">
        <v>231</v>
      </c>
      <c r="B31" s="15" t="s">
        <v>226</v>
      </c>
      <c r="C31" s="15" t="s">
        <v>232</v>
      </c>
      <c r="D31" s="15" t="s">
        <v>233</v>
      </c>
      <c r="E31" s="15" t="s">
        <v>234</v>
      </c>
      <c r="F31" s="15" t="s">
        <v>235</v>
      </c>
      <c r="G31" s="15"/>
      <c r="H31" s="15" t="str">
        <f aca="false">IF(G31="BUG","BUG-"&amp;A31,IF(G31="FUNCTIONAL","FUNCTIONAL-"&amp;A31,""))</f>
        <v/>
      </c>
      <c r="I31" s="15" t="s">
        <v>56</v>
      </c>
      <c r="J31" s="15" t="s">
        <v>236</v>
      </c>
      <c r="K31" s="16"/>
      <c r="L31" s="16"/>
    </row>
    <row r="32" customFormat="false" ht="45" hidden="false" customHeight="true" outlineLevel="0" collapsed="false">
      <c r="A32" s="17" t="s">
        <v>237</v>
      </c>
      <c r="B32" s="15" t="s">
        <v>226</v>
      </c>
      <c r="C32" s="15" t="s">
        <v>238</v>
      </c>
      <c r="D32" s="15" t="s">
        <v>239</v>
      </c>
      <c r="E32" s="15" t="s">
        <v>240</v>
      </c>
      <c r="F32" s="15" t="s">
        <v>241</v>
      </c>
      <c r="G32" s="15"/>
      <c r="H32" s="15" t="str">
        <f aca="false">IF(G32="BUG","BUG-"&amp;A32,IF(G32="FUNCTIONAL","FUNCTIONAL-"&amp;A32,""))</f>
        <v/>
      </c>
      <c r="I32" s="15" t="s">
        <v>42</v>
      </c>
      <c r="J32" s="15" t="s">
        <v>236</v>
      </c>
      <c r="K32" s="16"/>
      <c r="L32" s="16" t="s">
        <v>242</v>
      </c>
    </row>
    <row r="33" customFormat="false" ht="45" hidden="false" customHeight="true" outlineLevel="0" collapsed="false">
      <c r="A33" s="17" t="s">
        <v>243</v>
      </c>
      <c r="B33" s="15" t="s">
        <v>226</v>
      </c>
      <c r="C33" s="15" t="s">
        <v>244</v>
      </c>
      <c r="D33" s="15" t="s">
        <v>245</v>
      </c>
      <c r="E33" s="15" t="s">
        <v>246</v>
      </c>
      <c r="F33" s="15" t="s">
        <v>247</v>
      </c>
      <c r="G33" s="15"/>
      <c r="H33" s="15" t="str">
        <f aca="false">IF(G33="BUG","BUG-"&amp;A33,IF(G33="FUNCTIONAL","FUNCTIONAL-"&amp;A33,""))</f>
        <v/>
      </c>
      <c r="I33" s="15" t="s">
        <v>56</v>
      </c>
      <c r="J33" s="15"/>
      <c r="K33" s="16"/>
      <c r="L33" s="16"/>
    </row>
    <row r="34" customFormat="false" ht="45" hidden="false" customHeight="true" outlineLevel="0" collapsed="false">
      <c r="A34" s="17" t="s">
        <v>248</v>
      </c>
      <c r="B34" s="15" t="s">
        <v>226</v>
      </c>
      <c r="C34" s="15" t="s">
        <v>249</v>
      </c>
      <c r="D34" s="15" t="s">
        <v>250</v>
      </c>
      <c r="E34" s="15" t="s">
        <v>251</v>
      </c>
      <c r="F34" s="15" t="s">
        <v>252</v>
      </c>
      <c r="G34" s="15" t="s">
        <v>41</v>
      </c>
      <c r="H34" s="15" t="str">
        <f aca="false">IF(G34="BUG","BUG-"&amp;A34,IF(G34="FUNCTIONAL","FUNCTIONAL-"&amp;A34,""))</f>
        <v/>
      </c>
      <c r="I34" s="15" t="s">
        <v>42</v>
      </c>
      <c r="J34" s="15" t="s">
        <v>253</v>
      </c>
      <c r="K34" s="16"/>
      <c r="L34" s="16" t="s">
        <v>254</v>
      </c>
    </row>
    <row r="35" customFormat="false" ht="45" hidden="false" customHeight="true" outlineLevel="0" collapsed="false">
      <c r="A35" s="17" t="s">
        <v>255</v>
      </c>
      <c r="B35" s="15" t="s">
        <v>226</v>
      </c>
      <c r="C35" s="15" t="s">
        <v>256</v>
      </c>
      <c r="D35" s="15" t="s">
        <v>61</v>
      </c>
      <c r="E35" s="15" t="s">
        <v>257</v>
      </c>
      <c r="F35" s="15" t="s">
        <v>258</v>
      </c>
      <c r="G35" s="15" t="s">
        <v>64</v>
      </c>
      <c r="H35" s="15" t="str">
        <f aca="false">IF(G35="BUG","BUG-"&amp;A35,IF(G35="FUNCTIONAL","FUNCTIONAL-"&amp;A35,""))</f>
        <v>FUNCTIONAL-TC-034</v>
      </c>
      <c r="I35" s="15" t="s">
        <v>65</v>
      </c>
      <c r="J35" s="15"/>
      <c r="K35" s="16" t="s">
        <v>259</v>
      </c>
      <c r="L35" s="16" t="s">
        <v>260</v>
      </c>
    </row>
    <row r="36" customFormat="false" ht="45" hidden="false" customHeight="true" outlineLevel="0" collapsed="false">
      <c r="A36" s="17" t="s">
        <v>261</v>
      </c>
      <c r="B36" s="15" t="s">
        <v>262</v>
      </c>
      <c r="C36" s="15" t="s">
        <v>263</v>
      </c>
      <c r="D36" s="15" t="s">
        <v>264</v>
      </c>
      <c r="E36" s="15" t="s">
        <v>265</v>
      </c>
      <c r="F36" s="15" t="s">
        <v>266</v>
      </c>
      <c r="G36" s="15" t="s">
        <v>55</v>
      </c>
      <c r="H36" s="15" t="str">
        <f aca="false">IF(G36="BUG","BUG-"&amp;A36,IF(G36="FUNCTIONAL","FUNCTIONAL-"&amp;A36,""))</f>
        <v>BUG-TC-035</v>
      </c>
      <c r="I36" s="15" t="s">
        <v>42</v>
      </c>
      <c r="J36" s="15"/>
      <c r="K36" s="16" t="s">
        <v>198</v>
      </c>
      <c r="L36" s="16" t="s">
        <v>267</v>
      </c>
    </row>
    <row r="37" customFormat="false" ht="45" hidden="false" customHeight="true" outlineLevel="0" collapsed="false">
      <c r="A37" s="17" t="s">
        <v>268</v>
      </c>
      <c r="B37" s="15" t="s">
        <v>262</v>
      </c>
      <c r="C37" s="15" t="s">
        <v>269</v>
      </c>
      <c r="D37" s="15" t="s">
        <v>270</v>
      </c>
      <c r="E37" s="15" t="s">
        <v>271</v>
      </c>
      <c r="F37" s="15" t="s">
        <v>272</v>
      </c>
      <c r="G37" s="15"/>
      <c r="H37" s="15" t="str">
        <f aca="false">IF(G37="BUG","BUG-"&amp;A37,IF(G37="FUNCTIONAL","FUNCTIONAL-"&amp;A37,""))</f>
        <v/>
      </c>
      <c r="I37" s="15" t="s">
        <v>42</v>
      </c>
      <c r="J37" s="15"/>
      <c r="K37" s="16"/>
      <c r="L37" s="16"/>
    </row>
    <row r="38" customFormat="false" ht="45" hidden="false" customHeight="true" outlineLevel="0" collapsed="false">
      <c r="A38" s="17" t="s">
        <v>273</v>
      </c>
      <c r="B38" s="15" t="s">
        <v>262</v>
      </c>
      <c r="C38" s="15" t="s">
        <v>274</v>
      </c>
      <c r="D38" s="15" t="s">
        <v>275</v>
      </c>
      <c r="E38" s="15" t="s">
        <v>276</v>
      </c>
      <c r="F38" s="15" t="s">
        <v>277</v>
      </c>
      <c r="G38" s="15"/>
      <c r="H38" s="15" t="str">
        <f aca="false">IF(G38="BUG","BUG-"&amp;A38,IF(G38="FUNCTIONAL","FUNCTIONAL-"&amp;A38,""))</f>
        <v/>
      </c>
      <c r="I38" s="15" t="s">
        <v>42</v>
      </c>
      <c r="J38" s="15"/>
      <c r="K38" s="16"/>
      <c r="L38" s="16"/>
    </row>
    <row r="39" customFormat="false" ht="45" hidden="false" customHeight="true" outlineLevel="0" collapsed="false">
      <c r="A39" s="17" t="s">
        <v>278</v>
      </c>
      <c r="B39" s="15" t="s">
        <v>262</v>
      </c>
      <c r="C39" s="15" t="s">
        <v>279</v>
      </c>
      <c r="D39" s="15" t="s">
        <v>270</v>
      </c>
      <c r="E39" s="15" t="s">
        <v>280</v>
      </c>
      <c r="F39" s="15" t="s">
        <v>281</v>
      </c>
      <c r="G39" s="15"/>
      <c r="H39" s="15" t="str">
        <f aca="false">IF(G39="BUG","BUG-"&amp;A39,IF(G39="FUNCTIONAL","FUNCTIONAL-"&amp;A39,""))</f>
        <v/>
      </c>
      <c r="I39" s="15" t="s">
        <v>42</v>
      </c>
      <c r="J39" s="15"/>
      <c r="K39" s="16"/>
      <c r="L39" s="16" t="s">
        <v>282</v>
      </c>
    </row>
    <row r="40" customFormat="false" ht="45" hidden="false" customHeight="true" outlineLevel="0" collapsed="false">
      <c r="A40" s="17" t="s">
        <v>283</v>
      </c>
      <c r="B40" s="15" t="s">
        <v>262</v>
      </c>
      <c r="C40" s="15" t="s">
        <v>284</v>
      </c>
      <c r="D40" s="15" t="s">
        <v>285</v>
      </c>
      <c r="E40" s="15" t="s">
        <v>286</v>
      </c>
      <c r="F40" s="15" t="s">
        <v>287</v>
      </c>
      <c r="G40" s="15"/>
      <c r="H40" s="15" t="str">
        <f aca="false">IF(G40="BUG","BUG-"&amp;A40,IF(G40="FUNCTIONAL","FUNCTIONAL-"&amp;A40,""))</f>
        <v/>
      </c>
      <c r="I40" s="15" t="s">
        <v>42</v>
      </c>
      <c r="J40" s="15"/>
      <c r="K40" s="16"/>
      <c r="L40" s="16"/>
    </row>
    <row r="41" customFormat="false" ht="45" hidden="false" customHeight="true" outlineLevel="0" collapsed="false">
      <c r="A41" s="17" t="s">
        <v>288</v>
      </c>
      <c r="B41" s="15" t="s">
        <v>262</v>
      </c>
      <c r="C41" s="15" t="s">
        <v>289</v>
      </c>
      <c r="D41" s="15" t="s">
        <v>290</v>
      </c>
      <c r="E41" s="15" t="s">
        <v>291</v>
      </c>
      <c r="F41" s="15" t="s">
        <v>292</v>
      </c>
      <c r="G41" s="15"/>
      <c r="H41" s="15" t="str">
        <f aca="false">IF(G41="BUG","BUG-"&amp;A41,IF(G41="FUNCTIONAL","FUNCTIONAL-"&amp;A41,""))</f>
        <v/>
      </c>
      <c r="I41" s="15" t="s">
        <v>56</v>
      </c>
      <c r="J41" s="15"/>
      <c r="K41" s="16"/>
      <c r="L41" s="16"/>
    </row>
    <row r="42" customFormat="false" ht="45" hidden="false" customHeight="true" outlineLevel="0" collapsed="false">
      <c r="A42" s="17" t="s">
        <v>293</v>
      </c>
      <c r="B42" s="15" t="s">
        <v>262</v>
      </c>
      <c r="C42" s="15" t="s">
        <v>294</v>
      </c>
      <c r="D42" s="15" t="s">
        <v>295</v>
      </c>
      <c r="E42" s="15" t="s">
        <v>296</v>
      </c>
      <c r="F42" s="15" t="s">
        <v>297</v>
      </c>
      <c r="G42" s="15"/>
      <c r="H42" s="15" t="str">
        <f aca="false">IF(G42="BUG","BUG-"&amp;A42,IF(G42="FUNCTIONAL","FUNCTIONAL-"&amp;A42,""))</f>
        <v/>
      </c>
      <c r="I42" s="15" t="s">
        <v>42</v>
      </c>
      <c r="J42" s="15"/>
      <c r="K42" s="16"/>
      <c r="L42" s="16" t="s">
        <v>298</v>
      </c>
    </row>
    <row r="43" customFormat="false" ht="45" hidden="false" customHeight="true" outlineLevel="0" collapsed="false">
      <c r="A43" s="17" t="s">
        <v>299</v>
      </c>
      <c r="B43" s="15" t="s">
        <v>262</v>
      </c>
      <c r="C43" s="15" t="s">
        <v>300</v>
      </c>
      <c r="D43" s="15" t="s">
        <v>301</v>
      </c>
      <c r="E43" s="15" t="s">
        <v>302</v>
      </c>
      <c r="F43" s="15" t="s">
        <v>303</v>
      </c>
      <c r="G43" s="15"/>
      <c r="H43" s="15" t="str">
        <f aca="false">IF(G43="BUG","BUG-"&amp;A43,IF(G43="FUNCTIONAL","FUNCTIONAL-"&amp;A43,""))</f>
        <v/>
      </c>
      <c r="I43" s="15" t="s">
        <v>56</v>
      </c>
      <c r="J43" s="15"/>
      <c r="K43" s="16"/>
      <c r="L43" s="16"/>
    </row>
    <row r="44" customFormat="false" ht="45" hidden="false" customHeight="true" outlineLevel="0" collapsed="false">
      <c r="A44" s="17" t="s">
        <v>304</v>
      </c>
      <c r="B44" s="15" t="s">
        <v>262</v>
      </c>
      <c r="C44" s="15" t="s">
        <v>305</v>
      </c>
      <c r="D44" s="15" t="s">
        <v>306</v>
      </c>
      <c r="E44" s="15" t="s">
        <v>307</v>
      </c>
      <c r="F44" s="15" t="s">
        <v>308</v>
      </c>
      <c r="G44" s="15"/>
      <c r="H44" s="15" t="str">
        <f aca="false">IF(G44="BUG","BUG-"&amp;A44,IF(G44="FUNCTIONAL","FUNCTIONAL-"&amp;A44,""))</f>
        <v/>
      </c>
      <c r="I44" s="15" t="s">
        <v>56</v>
      </c>
      <c r="J44" s="15"/>
      <c r="K44" s="16"/>
      <c r="L44" s="16"/>
    </row>
    <row r="45" customFormat="false" ht="45" hidden="false" customHeight="true" outlineLevel="0" collapsed="false">
      <c r="A45" s="17" t="s">
        <v>309</v>
      </c>
      <c r="B45" s="15" t="s">
        <v>262</v>
      </c>
      <c r="C45" s="15" t="s">
        <v>310</v>
      </c>
      <c r="D45" s="15" t="s">
        <v>311</v>
      </c>
      <c r="E45" s="15" t="s">
        <v>312</v>
      </c>
      <c r="F45" s="15" t="s">
        <v>313</v>
      </c>
      <c r="G45" s="15"/>
      <c r="H45" s="15" t="str">
        <f aca="false">IF(G45="BUG","BUG-"&amp;A45,IF(G45="FUNCTIONAL","FUNCTIONAL-"&amp;A45,""))</f>
        <v/>
      </c>
      <c r="I45" s="15" t="s">
        <v>42</v>
      </c>
      <c r="J45" s="15"/>
      <c r="K45" s="16"/>
      <c r="L45" s="16" t="s">
        <v>314</v>
      </c>
    </row>
    <row r="46" customFormat="false" ht="45" hidden="false" customHeight="true" outlineLevel="0" collapsed="false">
      <c r="A46" s="17" t="s">
        <v>315</v>
      </c>
      <c r="B46" s="15" t="s">
        <v>262</v>
      </c>
      <c r="C46" s="15" t="s">
        <v>316</v>
      </c>
      <c r="D46" s="15" t="s">
        <v>317</v>
      </c>
      <c r="E46" s="15" t="s">
        <v>318</v>
      </c>
      <c r="F46" s="15" t="s">
        <v>319</v>
      </c>
      <c r="G46" s="15"/>
      <c r="H46" s="15" t="str">
        <f aca="false">IF(G46="BUG","BUG-"&amp;A46,IF(G46="FUNCTIONAL","FUNCTIONAL-"&amp;A46,""))</f>
        <v/>
      </c>
      <c r="I46" s="15" t="s">
        <v>42</v>
      </c>
      <c r="J46" s="15"/>
      <c r="K46" s="16"/>
      <c r="L46" s="16"/>
    </row>
    <row r="47" customFormat="false" ht="45" hidden="false" customHeight="true" outlineLevel="0" collapsed="false">
      <c r="A47" s="17" t="s">
        <v>320</v>
      </c>
      <c r="B47" s="15" t="s">
        <v>262</v>
      </c>
      <c r="C47" s="15" t="s">
        <v>321</v>
      </c>
      <c r="D47" s="15" t="s">
        <v>322</v>
      </c>
      <c r="E47" s="15" t="s">
        <v>323</v>
      </c>
      <c r="F47" s="15" t="s">
        <v>324</v>
      </c>
      <c r="G47" s="15"/>
      <c r="H47" s="15" t="str">
        <f aca="false">IF(G47="BUG","BUG-"&amp;A47,IF(G47="FUNCTIONAL","FUNCTIONAL-"&amp;A47,""))</f>
        <v/>
      </c>
      <c r="I47" s="15" t="s">
        <v>56</v>
      </c>
      <c r="J47" s="15"/>
      <c r="K47" s="16"/>
      <c r="L47" s="16"/>
    </row>
    <row r="48" customFormat="false" ht="45" hidden="false" customHeight="true" outlineLevel="0" collapsed="false">
      <c r="A48" s="17" t="s">
        <v>325</v>
      </c>
      <c r="B48" s="15" t="s">
        <v>262</v>
      </c>
      <c r="C48" s="15" t="s">
        <v>326</v>
      </c>
      <c r="D48" s="15" t="s">
        <v>327</v>
      </c>
      <c r="E48" s="15" t="s">
        <v>328</v>
      </c>
      <c r="F48" s="15" t="s">
        <v>329</v>
      </c>
      <c r="G48" s="15"/>
      <c r="H48" s="15" t="str">
        <f aca="false">IF(G48="BUG","BUG-"&amp;A48,IF(G48="FUNCTIONAL","FUNCTIONAL-"&amp;A48,""))</f>
        <v/>
      </c>
      <c r="I48" s="15" t="s">
        <v>56</v>
      </c>
      <c r="J48" s="15"/>
      <c r="K48" s="16"/>
      <c r="L48" s="16"/>
    </row>
    <row r="49" customFormat="false" ht="45" hidden="false" customHeight="true" outlineLevel="0" collapsed="false">
      <c r="A49" s="17" t="s">
        <v>330</v>
      </c>
      <c r="B49" s="15" t="s">
        <v>262</v>
      </c>
      <c r="C49" s="15" t="s">
        <v>331</v>
      </c>
      <c r="D49" s="15" t="s">
        <v>332</v>
      </c>
      <c r="E49" s="15" t="s">
        <v>333</v>
      </c>
      <c r="F49" s="15" t="s">
        <v>334</v>
      </c>
      <c r="G49" s="15"/>
      <c r="H49" s="15" t="str">
        <f aca="false">IF(G49="BUG","BUG-"&amp;A49,IF(G49="FUNCTIONAL","FUNCTIONAL-"&amp;A49,""))</f>
        <v/>
      </c>
      <c r="I49" s="15" t="s">
        <v>42</v>
      </c>
      <c r="J49" s="15"/>
      <c r="K49" s="16"/>
      <c r="L49" s="16"/>
    </row>
    <row r="50" customFormat="false" ht="45" hidden="false" customHeight="true" outlineLevel="0" collapsed="false">
      <c r="A50" s="17" t="s">
        <v>335</v>
      </c>
      <c r="B50" s="15" t="s">
        <v>262</v>
      </c>
      <c r="C50" s="15" t="s">
        <v>336</v>
      </c>
      <c r="D50" s="15" t="s">
        <v>337</v>
      </c>
      <c r="E50" s="15" t="s">
        <v>338</v>
      </c>
      <c r="F50" s="15" t="s">
        <v>339</v>
      </c>
      <c r="G50" s="15"/>
      <c r="H50" s="15" t="str">
        <f aca="false">IF(G50="BUG","BUG-"&amp;A50,IF(G50="FUNCTIONAL","FUNCTIONAL-"&amp;A50,""))</f>
        <v/>
      </c>
      <c r="I50" s="15" t="s">
        <v>42</v>
      </c>
      <c r="J50" s="15"/>
      <c r="K50" s="16"/>
      <c r="L50" s="16"/>
    </row>
    <row r="51" customFormat="false" ht="45" hidden="false" customHeight="true" outlineLevel="0" collapsed="false">
      <c r="A51" s="17" t="s">
        <v>340</v>
      </c>
      <c r="B51" s="15" t="s">
        <v>262</v>
      </c>
      <c r="C51" s="15" t="s">
        <v>341</v>
      </c>
      <c r="D51" s="15" t="s">
        <v>342</v>
      </c>
      <c r="E51" s="15" t="s">
        <v>343</v>
      </c>
      <c r="F51" s="15" t="s">
        <v>344</v>
      </c>
      <c r="G51" s="15"/>
      <c r="H51" s="15" t="str">
        <f aca="false">IF(G51="BUG","BUG-"&amp;A51,IF(G51="FUNCTIONAL","FUNCTIONAL-"&amp;A51,""))</f>
        <v/>
      </c>
      <c r="I51" s="15" t="s">
        <v>42</v>
      </c>
      <c r="J51" s="15"/>
      <c r="K51" s="16"/>
      <c r="L51" s="16" t="s">
        <v>345</v>
      </c>
    </row>
    <row r="52" customFormat="false" ht="45" hidden="false" customHeight="true" outlineLevel="0" collapsed="false">
      <c r="A52" s="17" t="s">
        <v>346</v>
      </c>
      <c r="B52" s="15" t="s">
        <v>262</v>
      </c>
      <c r="C52" s="15" t="s">
        <v>347</v>
      </c>
      <c r="D52" s="15" t="s">
        <v>348</v>
      </c>
      <c r="E52" s="15" t="s">
        <v>349</v>
      </c>
      <c r="F52" s="15" t="s">
        <v>350</v>
      </c>
      <c r="G52" s="15"/>
      <c r="H52" s="15" t="str">
        <f aca="false">IF(G52="BUG","BUG-"&amp;A52,IF(G52="FUNCTIONAL","FUNCTIONAL-"&amp;A52,""))</f>
        <v/>
      </c>
      <c r="I52" s="15" t="s">
        <v>56</v>
      </c>
      <c r="J52" s="15"/>
      <c r="K52" s="16"/>
      <c r="L52" s="16"/>
    </row>
    <row r="53" customFormat="false" ht="45" hidden="false" customHeight="true" outlineLevel="0" collapsed="false">
      <c r="A53" s="17" t="s">
        <v>351</v>
      </c>
      <c r="B53" s="15" t="s">
        <v>352</v>
      </c>
      <c r="C53" s="15" t="s">
        <v>353</v>
      </c>
      <c r="D53" s="15" t="s">
        <v>354</v>
      </c>
      <c r="E53" s="15" t="s">
        <v>355</v>
      </c>
      <c r="F53" s="15" t="s">
        <v>356</v>
      </c>
      <c r="G53" s="15"/>
      <c r="H53" s="15" t="str">
        <f aca="false">IF(G53="BUG","BUG-"&amp;A53,IF(G53="FUNCTIONAL","FUNCTIONAL-"&amp;A53,""))</f>
        <v/>
      </c>
      <c r="I53" s="15" t="s">
        <v>42</v>
      </c>
      <c r="J53" s="15"/>
      <c r="K53" s="16"/>
      <c r="L53" s="16"/>
    </row>
    <row r="54" customFormat="false" ht="45" hidden="false" customHeight="true" outlineLevel="0" collapsed="false">
      <c r="A54" s="17" t="s">
        <v>357</v>
      </c>
      <c r="B54" s="15" t="s">
        <v>352</v>
      </c>
      <c r="C54" s="15" t="s">
        <v>358</v>
      </c>
      <c r="D54" s="15" t="s">
        <v>359</v>
      </c>
      <c r="E54" s="15" t="s">
        <v>360</v>
      </c>
      <c r="F54" s="15" t="s">
        <v>361</v>
      </c>
      <c r="G54" s="15"/>
      <c r="H54" s="15" t="str">
        <f aca="false">IF(G54="BUG","BUG-"&amp;A54,IF(G54="FUNCTIONAL","FUNCTIONAL-"&amp;A54,""))</f>
        <v/>
      </c>
      <c r="I54" s="15" t="s">
        <v>42</v>
      </c>
      <c r="J54" s="15"/>
      <c r="K54" s="16"/>
      <c r="L54" s="16"/>
    </row>
    <row r="55" customFormat="false" ht="45" hidden="false" customHeight="true" outlineLevel="0" collapsed="false">
      <c r="A55" s="17" t="s">
        <v>362</v>
      </c>
      <c r="B55" s="15" t="s">
        <v>352</v>
      </c>
      <c r="C55" s="15" t="s">
        <v>363</v>
      </c>
      <c r="D55" s="15" t="s">
        <v>364</v>
      </c>
      <c r="E55" s="15" t="s">
        <v>365</v>
      </c>
      <c r="F55" s="15" t="s">
        <v>366</v>
      </c>
      <c r="G55" s="15"/>
      <c r="H55" s="15" t="str">
        <f aca="false">IF(G55="BUG","BUG-"&amp;A55,IF(G55="FUNCTIONAL","FUNCTIONAL-"&amp;A55,""))</f>
        <v/>
      </c>
      <c r="I55" s="15" t="s">
        <v>42</v>
      </c>
      <c r="J55" s="15"/>
      <c r="K55" s="16"/>
      <c r="L55" s="16" t="s">
        <v>367</v>
      </c>
    </row>
    <row r="56" customFormat="false" ht="45" hidden="false" customHeight="true" outlineLevel="0" collapsed="false">
      <c r="A56" s="17" t="s">
        <v>368</v>
      </c>
      <c r="B56" s="15" t="s">
        <v>352</v>
      </c>
      <c r="C56" s="15" t="s">
        <v>369</v>
      </c>
      <c r="D56" s="15" t="s">
        <v>370</v>
      </c>
      <c r="E56" s="15" t="s">
        <v>371</v>
      </c>
      <c r="F56" s="15" t="s">
        <v>372</v>
      </c>
      <c r="G56" s="15"/>
      <c r="H56" s="15" t="str">
        <f aca="false">IF(G56="BUG","BUG-"&amp;A56,IF(G56="FUNCTIONAL","FUNCTIONAL-"&amp;A56,""))</f>
        <v/>
      </c>
      <c r="I56" s="15" t="s">
        <v>65</v>
      </c>
      <c r="J56" s="15"/>
      <c r="K56" s="16"/>
      <c r="L56" s="16"/>
    </row>
    <row r="57" customFormat="false" ht="45" hidden="false" customHeight="true" outlineLevel="0" collapsed="false">
      <c r="A57" s="17" t="s">
        <v>373</v>
      </c>
      <c r="B57" s="15" t="s">
        <v>374</v>
      </c>
      <c r="C57" s="15" t="s">
        <v>375</v>
      </c>
      <c r="D57" s="15" t="s">
        <v>376</v>
      </c>
      <c r="E57" s="15" t="s">
        <v>377</v>
      </c>
      <c r="F57" s="15" t="s">
        <v>378</v>
      </c>
      <c r="G57" s="15"/>
      <c r="H57" s="15" t="str">
        <f aca="false">IF(G57="BUG","BUG-"&amp;A57,IF(G57="FUNCTIONAL","FUNCTIONAL-"&amp;A57,""))</f>
        <v/>
      </c>
      <c r="I57" s="15" t="s">
        <v>42</v>
      </c>
      <c r="J57" s="15"/>
      <c r="K57" s="16"/>
      <c r="L57" s="16"/>
    </row>
    <row r="58" customFormat="false" ht="45" hidden="false" customHeight="true" outlineLevel="0" collapsed="false">
      <c r="A58" s="17" t="s">
        <v>379</v>
      </c>
      <c r="B58" s="15" t="s">
        <v>374</v>
      </c>
      <c r="C58" s="15" t="s">
        <v>380</v>
      </c>
      <c r="D58" s="15" t="s">
        <v>381</v>
      </c>
      <c r="E58" s="15" t="s">
        <v>382</v>
      </c>
      <c r="F58" s="15" t="s">
        <v>383</v>
      </c>
      <c r="G58" s="15"/>
      <c r="H58" s="15" t="str">
        <f aca="false">IF(G58="BUG","BUG-"&amp;A58,IF(G58="FUNCTIONAL","FUNCTIONAL-"&amp;A58,""))</f>
        <v/>
      </c>
      <c r="I58" s="15" t="s">
        <v>56</v>
      </c>
      <c r="J58" s="15"/>
      <c r="K58" s="16"/>
      <c r="L58" s="16"/>
    </row>
    <row r="59" customFormat="false" ht="45" hidden="false" customHeight="true" outlineLevel="0" collapsed="false">
      <c r="A59" s="17" t="s">
        <v>384</v>
      </c>
      <c r="B59" s="15" t="s">
        <v>374</v>
      </c>
      <c r="C59" s="15" t="s">
        <v>385</v>
      </c>
      <c r="D59" s="15" t="s">
        <v>386</v>
      </c>
      <c r="E59" s="15" t="s">
        <v>387</v>
      </c>
      <c r="F59" s="15" t="s">
        <v>388</v>
      </c>
      <c r="G59" s="15"/>
      <c r="H59" s="15" t="str">
        <f aca="false">IF(G59="BUG","BUG-"&amp;A59,IF(G59="FUNCTIONAL","FUNCTIONAL-"&amp;A59,""))</f>
        <v/>
      </c>
      <c r="I59" s="15" t="s">
        <v>56</v>
      </c>
      <c r="J59" s="15"/>
      <c r="K59" s="16"/>
      <c r="L59" s="16"/>
    </row>
    <row r="60" customFormat="false" ht="45" hidden="false" customHeight="true" outlineLevel="0" collapsed="false">
      <c r="A60" s="17" t="s">
        <v>389</v>
      </c>
      <c r="B60" s="15" t="s">
        <v>374</v>
      </c>
      <c r="C60" s="15" t="s">
        <v>390</v>
      </c>
      <c r="D60" s="15" t="s">
        <v>391</v>
      </c>
      <c r="E60" s="15" t="s">
        <v>392</v>
      </c>
      <c r="F60" s="15" t="s">
        <v>393</v>
      </c>
      <c r="G60" s="15"/>
      <c r="H60" s="15" t="str">
        <f aca="false">IF(G60="BUG","BUG-"&amp;A60,IF(G60="FUNCTIONAL","FUNCTIONAL-"&amp;A60,""))</f>
        <v/>
      </c>
      <c r="I60" s="15" t="s">
        <v>42</v>
      </c>
      <c r="J60" s="15"/>
      <c r="K60" s="16"/>
      <c r="L60" s="16"/>
    </row>
    <row r="61" customFormat="false" ht="45" hidden="false" customHeight="true" outlineLevel="0" collapsed="false">
      <c r="A61" s="17" t="s">
        <v>394</v>
      </c>
      <c r="B61" s="15" t="s">
        <v>374</v>
      </c>
      <c r="C61" s="15" t="s">
        <v>395</v>
      </c>
      <c r="D61" s="15" t="s">
        <v>396</v>
      </c>
      <c r="E61" s="15" t="s">
        <v>397</v>
      </c>
      <c r="F61" s="15" t="s">
        <v>398</v>
      </c>
      <c r="G61" s="15"/>
      <c r="H61" s="15" t="str">
        <f aca="false">IF(G61="BUG","BUG-"&amp;A61,IF(G61="FUNCTIONAL","FUNCTIONAL-"&amp;A61,""))</f>
        <v/>
      </c>
      <c r="I61" s="15" t="s">
        <v>42</v>
      </c>
      <c r="J61" s="15"/>
      <c r="K61" s="16"/>
      <c r="L61" s="16"/>
    </row>
    <row r="62" customFormat="false" ht="45" hidden="false" customHeight="true" outlineLevel="0" collapsed="false">
      <c r="A62" s="17" t="s">
        <v>399</v>
      </c>
      <c r="B62" s="15" t="s">
        <v>374</v>
      </c>
      <c r="C62" s="15" t="s">
        <v>400</v>
      </c>
      <c r="D62" s="15" t="s">
        <v>401</v>
      </c>
      <c r="E62" s="15" t="s">
        <v>402</v>
      </c>
      <c r="F62" s="15" t="s">
        <v>403</v>
      </c>
      <c r="G62" s="15"/>
      <c r="H62" s="15" t="str">
        <f aca="false">IF(G62="BUG","BUG-"&amp;A62,IF(G62="FUNCTIONAL","FUNCTIONAL-"&amp;A62,""))</f>
        <v/>
      </c>
      <c r="I62" s="15" t="s">
        <v>42</v>
      </c>
      <c r="J62" s="15"/>
      <c r="K62" s="16"/>
      <c r="L62" s="16" t="s">
        <v>404</v>
      </c>
    </row>
    <row r="63" customFormat="false" ht="45" hidden="false" customHeight="true" outlineLevel="0" collapsed="false">
      <c r="A63" s="17" t="s">
        <v>405</v>
      </c>
      <c r="B63" s="15" t="s">
        <v>374</v>
      </c>
      <c r="C63" s="15" t="s">
        <v>406</v>
      </c>
      <c r="D63" s="15" t="s">
        <v>407</v>
      </c>
      <c r="E63" s="15" t="s">
        <v>402</v>
      </c>
      <c r="F63" s="15" t="s">
        <v>408</v>
      </c>
      <c r="G63" s="15"/>
      <c r="H63" s="15" t="str">
        <f aca="false">IF(G63="BUG","BUG-"&amp;A63,IF(G63="FUNCTIONAL","FUNCTIONAL-"&amp;A63,""))</f>
        <v/>
      </c>
      <c r="I63" s="15" t="s">
        <v>42</v>
      </c>
      <c r="J63" s="15"/>
      <c r="K63" s="16"/>
      <c r="L63" s="16"/>
    </row>
    <row r="64" customFormat="false" ht="45" hidden="false" customHeight="true" outlineLevel="0" collapsed="false">
      <c r="A64" s="17" t="s">
        <v>409</v>
      </c>
      <c r="B64" s="15" t="s">
        <v>374</v>
      </c>
      <c r="C64" s="15" t="s">
        <v>410</v>
      </c>
      <c r="D64" s="15" t="s">
        <v>411</v>
      </c>
      <c r="E64" s="15" t="s">
        <v>412</v>
      </c>
      <c r="F64" s="15" t="s">
        <v>413</v>
      </c>
      <c r="G64" s="15"/>
      <c r="H64" s="15" t="str">
        <f aca="false">IF(G64="BUG","BUG-"&amp;A64,IF(G64="FUNCTIONAL","FUNCTIONAL-"&amp;A64,""))</f>
        <v/>
      </c>
      <c r="I64" s="15" t="s">
        <v>65</v>
      </c>
      <c r="J64" s="15"/>
      <c r="K64" s="16"/>
      <c r="L64" s="16"/>
    </row>
    <row r="65" customFormat="false" ht="45" hidden="false" customHeight="true" outlineLevel="0" collapsed="false">
      <c r="A65" s="17" t="s">
        <v>414</v>
      </c>
      <c r="B65" s="15" t="s">
        <v>415</v>
      </c>
      <c r="C65" s="15" t="s">
        <v>416</v>
      </c>
      <c r="D65" s="15" t="s">
        <v>417</v>
      </c>
      <c r="E65" s="15" t="s">
        <v>418</v>
      </c>
      <c r="F65" s="15" t="s">
        <v>419</v>
      </c>
      <c r="G65" s="15"/>
      <c r="H65" s="15" t="str">
        <f aca="false">IF(G65="BUG","BUG-"&amp;A65,IF(G65="FUNCTIONAL","FUNCTIONAL-"&amp;A65,""))</f>
        <v/>
      </c>
      <c r="I65" s="15" t="s">
        <v>42</v>
      </c>
      <c r="J65" s="15" t="s">
        <v>420</v>
      </c>
      <c r="K65" s="16"/>
      <c r="L65" s="16"/>
    </row>
    <row r="66" customFormat="false" ht="45" hidden="false" customHeight="true" outlineLevel="0" collapsed="false">
      <c r="A66" s="17" t="s">
        <v>421</v>
      </c>
      <c r="B66" s="15" t="s">
        <v>415</v>
      </c>
      <c r="C66" s="15" t="s">
        <v>422</v>
      </c>
      <c r="D66" s="15" t="s">
        <v>423</v>
      </c>
      <c r="E66" s="15" t="s">
        <v>424</v>
      </c>
      <c r="F66" s="15" t="s">
        <v>425</v>
      </c>
      <c r="G66" s="15" t="s">
        <v>64</v>
      </c>
      <c r="H66" s="15" t="str">
        <f aca="false">IF(G66="BUG","BUG-"&amp;A66,IF(G66="FUNCTIONAL","FUNCTIONAL-"&amp;A66,""))</f>
        <v>FUNCTIONAL-TC-065</v>
      </c>
      <c r="I66" s="15" t="s">
        <v>56</v>
      </c>
      <c r="J66" s="15" t="s">
        <v>426</v>
      </c>
      <c r="K66" s="16" t="s">
        <v>427</v>
      </c>
      <c r="L66" s="16" t="s">
        <v>428</v>
      </c>
    </row>
    <row r="67" customFormat="false" ht="45" hidden="false" customHeight="true" outlineLevel="0" collapsed="false">
      <c r="A67" s="17" t="s">
        <v>429</v>
      </c>
      <c r="B67" s="15" t="s">
        <v>430</v>
      </c>
      <c r="C67" s="15" t="s">
        <v>431</v>
      </c>
      <c r="D67" s="15" t="s">
        <v>264</v>
      </c>
      <c r="E67" s="15" t="s">
        <v>432</v>
      </c>
      <c r="F67" s="15" t="s">
        <v>433</v>
      </c>
      <c r="G67" s="15"/>
      <c r="H67" s="15" t="str">
        <f aca="false">IF(G67="BUG","BUG-"&amp;A67,IF(G67="FUNCTIONAL","FUNCTIONAL-"&amp;A67,""))</f>
        <v/>
      </c>
      <c r="I67" s="15" t="s">
        <v>42</v>
      </c>
      <c r="J67" s="15"/>
      <c r="K67" s="16"/>
      <c r="L67" s="16"/>
    </row>
    <row r="68" customFormat="false" ht="45" hidden="false" customHeight="true" outlineLevel="0" collapsed="false">
      <c r="A68" s="17" t="s">
        <v>434</v>
      </c>
      <c r="B68" s="15" t="s">
        <v>430</v>
      </c>
      <c r="C68" s="15" t="s">
        <v>435</v>
      </c>
      <c r="D68" s="15" t="s">
        <v>61</v>
      </c>
      <c r="E68" s="15" t="s">
        <v>436</v>
      </c>
      <c r="F68" s="15" t="s">
        <v>437</v>
      </c>
      <c r="G68" s="15"/>
      <c r="H68" s="15" t="str">
        <f aca="false">IF(G68="BUG","BUG-"&amp;A68,IF(G68="FUNCTIONAL","FUNCTIONAL-"&amp;A68,""))</f>
        <v/>
      </c>
      <c r="I68" s="15" t="s">
        <v>42</v>
      </c>
      <c r="J68" s="15"/>
      <c r="K68" s="16"/>
      <c r="L68" s="16"/>
    </row>
    <row r="69" customFormat="false" ht="45" hidden="false" customHeight="true" outlineLevel="0" collapsed="false">
      <c r="A69" s="17" t="s">
        <v>438</v>
      </c>
      <c r="B69" s="15" t="s">
        <v>430</v>
      </c>
      <c r="C69" s="15" t="s">
        <v>439</v>
      </c>
      <c r="D69" s="15" t="s">
        <v>61</v>
      </c>
      <c r="E69" s="15" t="s">
        <v>440</v>
      </c>
      <c r="F69" s="15" t="s">
        <v>441</v>
      </c>
      <c r="G69" s="15" t="s">
        <v>64</v>
      </c>
      <c r="H69" s="15" t="str">
        <f aca="false">IF(G69="BUG","BUG-"&amp;A69,IF(G69="FUNCTIONAL","FUNCTIONAL-"&amp;A69,""))</f>
        <v>FUNCTIONAL-TC-068</v>
      </c>
      <c r="I69" s="15" t="s">
        <v>65</v>
      </c>
      <c r="J69" s="15"/>
      <c r="K69" s="16" t="s">
        <v>442</v>
      </c>
      <c r="L69" s="16" t="s">
        <v>443</v>
      </c>
    </row>
    <row r="70" customFormat="false" ht="45" hidden="false" customHeight="true" outlineLevel="0" collapsed="false">
      <c r="A70" s="17" t="s">
        <v>444</v>
      </c>
      <c r="B70" s="15" t="s">
        <v>430</v>
      </c>
      <c r="C70" s="15" t="s">
        <v>445</v>
      </c>
      <c r="D70" s="15" t="s">
        <v>61</v>
      </c>
      <c r="E70" s="15" t="s">
        <v>446</v>
      </c>
      <c r="F70" s="15" t="s">
        <v>447</v>
      </c>
      <c r="G70" s="15" t="s">
        <v>64</v>
      </c>
      <c r="H70" s="15" t="str">
        <f aca="false">IF(G70="BUG","BUG-"&amp;A70,IF(G70="FUNCTIONAL","FUNCTIONAL-"&amp;A70,""))</f>
        <v>FUNCTIONAL-TC-069</v>
      </c>
      <c r="I70" s="15" t="s">
        <v>65</v>
      </c>
      <c r="J70" s="15"/>
      <c r="K70" s="16" t="s">
        <v>448</v>
      </c>
      <c r="L70" s="16" t="s">
        <v>449</v>
      </c>
    </row>
    <row r="71" customFormat="false" ht="45" hidden="false" customHeight="true" outlineLevel="0" collapsed="false">
      <c r="A71" s="17" t="s">
        <v>450</v>
      </c>
      <c r="B71" s="15" t="s">
        <v>430</v>
      </c>
      <c r="C71" s="15" t="s">
        <v>451</v>
      </c>
      <c r="D71" s="15" t="s">
        <v>61</v>
      </c>
      <c r="E71" s="15" t="s">
        <v>452</v>
      </c>
      <c r="F71" s="15" t="s">
        <v>453</v>
      </c>
      <c r="G71" s="15" t="s">
        <v>64</v>
      </c>
      <c r="H71" s="15" t="str">
        <f aca="false">IF(G71="BUG","BUG-"&amp;A71,IF(G71="FUNCTIONAL","FUNCTIONAL-"&amp;A71,""))</f>
        <v>FUNCTIONAL-TC-070</v>
      </c>
      <c r="I71" s="15" t="s">
        <v>65</v>
      </c>
      <c r="J71" s="15" t="s">
        <v>454</v>
      </c>
      <c r="K71" s="16" t="s">
        <v>455</v>
      </c>
      <c r="L71" s="16" t="s">
        <v>456</v>
      </c>
    </row>
    <row r="72" customFormat="false" ht="45" hidden="false" customHeight="true" outlineLevel="0" collapsed="false">
      <c r="A72" s="17" t="s">
        <v>457</v>
      </c>
      <c r="B72" s="15" t="s">
        <v>430</v>
      </c>
      <c r="C72" s="15" t="s">
        <v>458</v>
      </c>
      <c r="D72" s="15" t="s">
        <v>459</v>
      </c>
      <c r="E72" s="15" t="s">
        <v>460</v>
      </c>
      <c r="F72" s="15" t="s">
        <v>461</v>
      </c>
      <c r="G72" s="15"/>
      <c r="H72" s="15" t="str">
        <f aca="false">IF(G72="BUG","BUG-"&amp;A72,IF(G72="FUNCTIONAL","FUNCTIONAL-"&amp;A72,""))</f>
        <v/>
      </c>
      <c r="I72" s="15" t="s">
        <v>56</v>
      </c>
      <c r="J72" s="15"/>
      <c r="K72" s="16"/>
      <c r="L72" s="16"/>
    </row>
    <row r="73" customFormat="false" ht="45" hidden="false" customHeight="true" outlineLevel="0" collapsed="false">
      <c r="A73" s="17" t="s">
        <v>462</v>
      </c>
      <c r="B73" s="15" t="s">
        <v>463</v>
      </c>
      <c r="C73" s="15" t="s">
        <v>464</v>
      </c>
      <c r="D73" s="15" t="s">
        <v>465</v>
      </c>
      <c r="E73" s="15" t="s">
        <v>466</v>
      </c>
      <c r="F73" s="15" t="s">
        <v>467</v>
      </c>
      <c r="G73" s="15" t="s">
        <v>55</v>
      </c>
      <c r="H73" s="15" t="str">
        <f aca="false">IF(G73="BUG","BUG-"&amp;A73,IF(G73="FUNCTIONAL","FUNCTIONAL-"&amp;A73,""))</f>
        <v>BUG-TC-072</v>
      </c>
      <c r="I73" s="15" t="s">
        <v>42</v>
      </c>
      <c r="J73" s="15" t="s">
        <v>468</v>
      </c>
      <c r="K73" s="16" t="s">
        <v>469</v>
      </c>
      <c r="L73" s="16" t="s">
        <v>470</v>
      </c>
    </row>
    <row r="74" customFormat="false" ht="45" hidden="false" customHeight="true" outlineLevel="0" collapsed="false">
      <c r="A74" s="17" t="s">
        <v>471</v>
      </c>
      <c r="B74" s="15" t="s">
        <v>472</v>
      </c>
      <c r="C74" s="15" t="s">
        <v>473</v>
      </c>
      <c r="D74" s="15" t="s">
        <v>474</v>
      </c>
      <c r="E74" s="15" t="s">
        <v>475</v>
      </c>
      <c r="F74" s="15" t="s">
        <v>476</v>
      </c>
      <c r="G74" s="15"/>
      <c r="H74" s="15" t="str">
        <f aca="false">IF(G74="BUG","BUG-"&amp;A74,IF(G74="FUNCTIONAL","FUNCTIONAL-"&amp;A74,""))</f>
        <v/>
      </c>
      <c r="I74" s="15" t="s">
        <v>42</v>
      </c>
      <c r="J74" s="15"/>
      <c r="K74" s="16"/>
      <c r="L74" s="16"/>
    </row>
    <row r="75" customFormat="false" ht="45" hidden="false" customHeight="true" outlineLevel="0" collapsed="false">
      <c r="A75" s="17" t="s">
        <v>477</v>
      </c>
      <c r="B75" s="15" t="s">
        <v>472</v>
      </c>
      <c r="C75" s="15" t="s">
        <v>478</v>
      </c>
      <c r="D75" s="15" t="s">
        <v>61</v>
      </c>
      <c r="E75" s="15" t="s">
        <v>479</v>
      </c>
      <c r="F75" s="15" t="s">
        <v>480</v>
      </c>
      <c r="G75" s="15"/>
      <c r="H75" s="15" t="str">
        <f aca="false">IF(G75="BUG","BUG-"&amp;A75,IF(G75="FUNCTIONAL","FUNCTIONAL-"&amp;A75,""))</f>
        <v/>
      </c>
      <c r="I75" s="15" t="s">
        <v>42</v>
      </c>
      <c r="J75" s="15"/>
      <c r="K75" s="16"/>
      <c r="L75" s="16"/>
    </row>
    <row r="76" customFormat="false" ht="45" hidden="false" customHeight="true" outlineLevel="0" collapsed="false">
      <c r="A76" s="17" t="s">
        <v>481</v>
      </c>
      <c r="B76" s="15" t="s">
        <v>472</v>
      </c>
      <c r="C76" s="15" t="s">
        <v>482</v>
      </c>
      <c r="D76" s="15" t="s">
        <v>483</v>
      </c>
      <c r="E76" s="15" t="s">
        <v>484</v>
      </c>
      <c r="F76" s="15" t="s">
        <v>485</v>
      </c>
      <c r="G76" s="15"/>
      <c r="H76" s="15" t="str">
        <f aca="false">IF(G76="BUG","BUG-"&amp;A76,IF(G76="FUNCTIONAL","FUNCTIONAL-"&amp;A76,""))</f>
        <v/>
      </c>
      <c r="I76" s="15" t="s">
        <v>42</v>
      </c>
      <c r="J76" s="15"/>
      <c r="K76" s="16"/>
      <c r="L76" s="16" t="s">
        <v>486</v>
      </c>
    </row>
    <row r="77" customFormat="false" ht="45" hidden="false" customHeight="true" outlineLevel="0" collapsed="false">
      <c r="A77" s="17" t="s">
        <v>487</v>
      </c>
      <c r="B77" s="15" t="s">
        <v>472</v>
      </c>
      <c r="C77" s="15" t="s">
        <v>488</v>
      </c>
      <c r="D77" s="15" t="s">
        <v>483</v>
      </c>
      <c r="E77" s="15" t="s">
        <v>489</v>
      </c>
      <c r="F77" s="15" t="s">
        <v>490</v>
      </c>
      <c r="G77" s="15"/>
      <c r="H77" s="15" t="str">
        <f aca="false">IF(G77="BUG","BUG-"&amp;A77,IF(G77="FUNCTIONAL","FUNCTIONAL-"&amp;A77,""))</f>
        <v/>
      </c>
      <c r="I77" s="15" t="s">
        <v>56</v>
      </c>
      <c r="J77" s="15"/>
      <c r="K77" s="16"/>
      <c r="L77" s="16"/>
    </row>
    <row r="78" customFormat="false" ht="45" hidden="false" customHeight="true" outlineLevel="0" collapsed="false">
      <c r="A78" s="17" t="s">
        <v>491</v>
      </c>
      <c r="B78" s="15" t="s">
        <v>472</v>
      </c>
      <c r="C78" s="15" t="s">
        <v>492</v>
      </c>
      <c r="D78" s="15" t="s">
        <v>493</v>
      </c>
      <c r="E78" s="15" t="s">
        <v>494</v>
      </c>
      <c r="F78" s="15" t="s">
        <v>495</v>
      </c>
      <c r="G78" s="15"/>
      <c r="H78" s="15" t="str">
        <f aca="false">IF(G78="BUG","BUG-"&amp;A78,IF(G78="FUNCTIONAL","FUNCTIONAL-"&amp;A78,""))</f>
        <v/>
      </c>
      <c r="I78" s="15" t="s">
        <v>56</v>
      </c>
      <c r="J78" s="15"/>
      <c r="K78" s="16"/>
      <c r="L78" s="16"/>
    </row>
    <row r="79" customFormat="false" ht="45" hidden="false" customHeight="true" outlineLevel="0" collapsed="false">
      <c r="A79" s="17" t="s">
        <v>496</v>
      </c>
      <c r="B79" s="15" t="s">
        <v>497</v>
      </c>
      <c r="C79" s="15" t="s">
        <v>498</v>
      </c>
      <c r="D79" s="15" t="s">
        <v>483</v>
      </c>
      <c r="E79" s="15" t="s">
        <v>499</v>
      </c>
      <c r="F79" s="15" t="s">
        <v>500</v>
      </c>
      <c r="G79" s="15"/>
      <c r="H79" s="15" t="str">
        <f aca="false">IF(G79="BUG","BUG-"&amp;A79,IF(G79="FUNCTIONAL","FUNCTIONAL-"&amp;A79,""))</f>
        <v/>
      </c>
      <c r="I79" s="15" t="s">
        <v>56</v>
      </c>
      <c r="J79" s="15"/>
      <c r="K79" s="16"/>
      <c r="L79" s="16"/>
    </row>
    <row r="80" customFormat="false" ht="45" hidden="false" customHeight="true" outlineLevel="0" collapsed="false">
      <c r="A80" s="17" t="s">
        <v>501</v>
      </c>
      <c r="B80" s="15" t="s">
        <v>497</v>
      </c>
      <c r="C80" s="15" t="s">
        <v>502</v>
      </c>
      <c r="D80" s="15" t="s">
        <v>503</v>
      </c>
      <c r="E80" s="15" t="s">
        <v>504</v>
      </c>
      <c r="F80" s="15" t="s">
        <v>505</v>
      </c>
      <c r="G80" s="15"/>
      <c r="H80" s="15" t="str">
        <f aca="false">IF(G80="BUG","BUG-"&amp;A80,IF(G80="FUNCTIONAL","FUNCTIONAL-"&amp;A80,""))</f>
        <v/>
      </c>
      <c r="I80" s="15" t="s">
        <v>65</v>
      </c>
      <c r="J80" s="15"/>
      <c r="K80" s="16"/>
      <c r="L80" s="16"/>
    </row>
    <row r="81" customFormat="false" ht="45" hidden="false" customHeight="true" outlineLevel="0" collapsed="false">
      <c r="A81" s="17" t="s">
        <v>506</v>
      </c>
      <c r="B81" s="15" t="s">
        <v>507</v>
      </c>
      <c r="C81" s="15" t="s">
        <v>508</v>
      </c>
      <c r="D81" s="15" t="s">
        <v>509</v>
      </c>
      <c r="E81" s="15" t="s">
        <v>510</v>
      </c>
      <c r="F81" s="15" t="s">
        <v>511</v>
      </c>
      <c r="G81" s="15"/>
      <c r="H81" s="15" t="str">
        <f aca="false">IF(G81="BUG","BUG-"&amp;A81,IF(G81="FUNCTIONAL","FUNCTIONAL-"&amp;A81,""))</f>
        <v/>
      </c>
      <c r="I81" s="15" t="s">
        <v>56</v>
      </c>
      <c r="J81" s="15"/>
      <c r="K81" s="16"/>
      <c r="L81" s="16"/>
    </row>
    <row r="82" customFormat="false" ht="45" hidden="false" customHeight="true" outlineLevel="0" collapsed="false">
      <c r="A82" s="17" t="s">
        <v>512</v>
      </c>
      <c r="B82" s="15" t="s">
        <v>507</v>
      </c>
      <c r="C82" s="15" t="s">
        <v>513</v>
      </c>
      <c r="D82" s="15" t="s">
        <v>61</v>
      </c>
      <c r="E82" s="15" t="s">
        <v>514</v>
      </c>
      <c r="F82" s="15" t="s">
        <v>515</v>
      </c>
      <c r="G82" s="15"/>
      <c r="H82" s="15" t="str">
        <f aca="false">IF(G82="BUG","BUG-"&amp;A82,IF(G82="FUNCTIONAL","FUNCTIONAL-"&amp;A82,""))</f>
        <v/>
      </c>
      <c r="I82" s="15" t="s">
        <v>42</v>
      </c>
      <c r="J82" s="15"/>
      <c r="K82" s="16"/>
      <c r="L82" s="16"/>
    </row>
    <row r="83" customFormat="false" ht="45" hidden="false" customHeight="true" outlineLevel="0" collapsed="false">
      <c r="A83" s="17" t="s">
        <v>516</v>
      </c>
      <c r="B83" s="15" t="s">
        <v>517</v>
      </c>
      <c r="C83" s="15" t="s">
        <v>518</v>
      </c>
      <c r="D83" s="15" t="s">
        <v>519</v>
      </c>
      <c r="E83" s="15" t="s">
        <v>520</v>
      </c>
      <c r="F83" s="15" t="s">
        <v>521</v>
      </c>
      <c r="G83" s="15" t="s">
        <v>64</v>
      </c>
      <c r="H83" s="15" t="str">
        <f aca="false">IF(G83="BUG","BUG-"&amp;A83,IF(G83="FUNCTIONAL","FUNCTIONAL-"&amp;A83,""))</f>
        <v>FUNCTIONAL-TC-082</v>
      </c>
      <c r="I83" s="15" t="s">
        <v>42</v>
      </c>
      <c r="J83" s="15" t="s">
        <v>468</v>
      </c>
      <c r="K83" s="16" t="s">
        <v>522</v>
      </c>
      <c r="L83" s="16" t="s">
        <v>523</v>
      </c>
    </row>
    <row r="84" customFormat="false" ht="45" hidden="false" customHeight="true" outlineLevel="0" collapsed="false">
      <c r="A84" s="17" t="s">
        <v>524</v>
      </c>
      <c r="B84" s="15" t="s">
        <v>525</v>
      </c>
      <c r="C84" s="15" t="s">
        <v>526</v>
      </c>
      <c r="D84" s="15" t="s">
        <v>61</v>
      </c>
      <c r="E84" s="15" t="s">
        <v>527</v>
      </c>
      <c r="F84" s="15" t="s">
        <v>528</v>
      </c>
      <c r="G84" s="15" t="s">
        <v>64</v>
      </c>
      <c r="H84" s="15" t="str">
        <f aca="false">IF(G84="BUG","BUG-"&amp;A84,IF(G84="FUNCTIONAL","FUNCTIONAL-"&amp;A84,""))</f>
        <v>FUNCTIONAL-TC-083</v>
      </c>
      <c r="I84" s="15" t="s">
        <v>56</v>
      </c>
      <c r="J84" s="15" t="s">
        <v>468</v>
      </c>
      <c r="K84" s="16" t="s">
        <v>522</v>
      </c>
      <c r="L84" s="16" t="s">
        <v>529</v>
      </c>
    </row>
    <row r="85" customFormat="false" ht="45" hidden="false" customHeight="true" outlineLevel="0" collapsed="false">
      <c r="A85" s="17" t="s">
        <v>530</v>
      </c>
      <c r="B85" s="15" t="s">
        <v>525</v>
      </c>
      <c r="C85" s="15" t="s">
        <v>531</v>
      </c>
      <c r="D85" s="15" t="s">
        <v>61</v>
      </c>
      <c r="E85" s="15" t="s">
        <v>532</v>
      </c>
      <c r="F85" s="15" t="s">
        <v>533</v>
      </c>
      <c r="G85" s="15" t="s">
        <v>64</v>
      </c>
      <c r="H85" s="15" t="str">
        <f aca="false">IF(G85="BUG","BUG-"&amp;A85,IF(G85="FUNCTIONAL","FUNCTIONAL-"&amp;A85,""))</f>
        <v>FUNCTIONAL-TC-084</v>
      </c>
      <c r="I85" s="15" t="s">
        <v>56</v>
      </c>
      <c r="J85" s="15" t="s">
        <v>468</v>
      </c>
      <c r="K85" s="16" t="s">
        <v>522</v>
      </c>
      <c r="L85" s="16" t="s">
        <v>529</v>
      </c>
    </row>
    <row r="86" customFormat="false" ht="45" hidden="false" customHeight="true" outlineLevel="0" collapsed="false">
      <c r="A86" s="17" t="s">
        <v>534</v>
      </c>
      <c r="B86" s="15" t="s">
        <v>525</v>
      </c>
      <c r="C86" s="15" t="s">
        <v>535</v>
      </c>
      <c r="D86" s="15" t="s">
        <v>61</v>
      </c>
      <c r="E86" s="15" t="s">
        <v>536</v>
      </c>
      <c r="F86" s="15" t="s">
        <v>537</v>
      </c>
      <c r="G86" s="15" t="s">
        <v>64</v>
      </c>
      <c r="H86" s="15" t="str">
        <f aca="false">IF(G86="BUG","BUG-"&amp;A86,IF(G86="FUNCTIONAL","FUNCTIONAL-"&amp;A86,""))</f>
        <v>FUNCTIONAL-TC-085</v>
      </c>
      <c r="I86" s="15" t="s">
        <v>56</v>
      </c>
      <c r="J86" s="15" t="s">
        <v>468</v>
      </c>
      <c r="K86" s="16" t="s">
        <v>522</v>
      </c>
      <c r="L86" s="16" t="s">
        <v>538</v>
      </c>
    </row>
    <row r="87" customFormat="false" ht="45" hidden="false" customHeight="true" outlineLevel="0" collapsed="false">
      <c r="A87" s="17" t="s">
        <v>539</v>
      </c>
      <c r="B87" s="15" t="s">
        <v>525</v>
      </c>
      <c r="C87" s="15" t="s">
        <v>540</v>
      </c>
      <c r="D87" s="15" t="s">
        <v>61</v>
      </c>
      <c r="E87" s="15" t="s">
        <v>541</v>
      </c>
      <c r="F87" s="15" t="s">
        <v>542</v>
      </c>
      <c r="G87" s="15"/>
      <c r="H87" s="15" t="str">
        <f aca="false">IF(G87="BUG","BUG-"&amp;A87,IF(G87="FUNCTIONAL","FUNCTIONAL-"&amp;A87,""))</f>
        <v/>
      </c>
      <c r="I87" s="15" t="s">
        <v>42</v>
      </c>
      <c r="J87" s="15"/>
      <c r="K87" s="16"/>
      <c r="L87" s="16"/>
    </row>
    <row r="88" customFormat="false" ht="45" hidden="false" customHeight="true" outlineLevel="0" collapsed="false">
      <c r="A88" s="17" t="s">
        <v>543</v>
      </c>
      <c r="B88" s="15" t="s">
        <v>525</v>
      </c>
      <c r="C88" s="15" t="s">
        <v>544</v>
      </c>
      <c r="D88" s="15" t="s">
        <v>545</v>
      </c>
      <c r="E88" s="15" t="s">
        <v>546</v>
      </c>
      <c r="F88" s="15" t="s">
        <v>547</v>
      </c>
      <c r="G88" s="15" t="s">
        <v>64</v>
      </c>
      <c r="H88" s="15" t="str">
        <f aca="false">IF(G88="BUG","BUG-"&amp;A88,IF(G88="FUNCTIONAL","FUNCTIONAL-"&amp;A88,""))</f>
        <v>FUNCTIONAL-TC-087</v>
      </c>
      <c r="I88" s="15" t="s">
        <v>65</v>
      </c>
      <c r="J88" s="15" t="s">
        <v>468</v>
      </c>
      <c r="K88" s="16" t="s">
        <v>522</v>
      </c>
      <c r="L88" s="16" t="s">
        <v>529</v>
      </c>
    </row>
    <row r="89" customFormat="false" ht="45" hidden="false" customHeight="true" outlineLevel="0" collapsed="false">
      <c r="A89" s="17" t="s">
        <v>548</v>
      </c>
      <c r="B89" s="15" t="s">
        <v>525</v>
      </c>
      <c r="C89" s="15" t="s">
        <v>549</v>
      </c>
      <c r="D89" s="15" t="s">
        <v>61</v>
      </c>
      <c r="E89" s="15" t="s">
        <v>550</v>
      </c>
      <c r="F89" s="15" t="s">
        <v>551</v>
      </c>
      <c r="G89" s="15"/>
      <c r="H89" s="15" t="str">
        <f aca="false">IF(G89="BUG","BUG-"&amp;A89,IF(G89="FUNCTIONAL","FUNCTIONAL-"&amp;A89,""))</f>
        <v/>
      </c>
      <c r="I89" s="15" t="s">
        <v>42</v>
      </c>
      <c r="J89" s="15"/>
      <c r="K89" s="16"/>
      <c r="L89" s="16"/>
    </row>
    <row r="90" customFormat="false" ht="45" hidden="false" customHeight="true" outlineLevel="0" collapsed="false">
      <c r="A90" s="17" t="s">
        <v>552</v>
      </c>
      <c r="B90" s="15" t="s">
        <v>553</v>
      </c>
      <c r="C90" s="15" t="s">
        <v>554</v>
      </c>
      <c r="D90" s="15" t="s">
        <v>555</v>
      </c>
      <c r="E90" s="15" t="s">
        <v>556</v>
      </c>
      <c r="F90" s="15" t="s">
        <v>557</v>
      </c>
      <c r="G90" s="15"/>
      <c r="H90" s="15" t="str">
        <f aca="false">IF(G90="BUG","BUG-"&amp;A90,IF(G90="FUNCTIONAL","FUNCTIONAL-"&amp;A90,""))</f>
        <v/>
      </c>
      <c r="I90" s="15" t="s">
        <v>42</v>
      </c>
      <c r="J90" s="15"/>
      <c r="K90" s="16"/>
      <c r="L90" s="16" t="s">
        <v>558</v>
      </c>
    </row>
    <row r="91" customFormat="false" ht="45" hidden="false" customHeight="true" outlineLevel="0" collapsed="false">
      <c r="A91" s="17" t="s">
        <v>559</v>
      </c>
      <c r="B91" s="15" t="s">
        <v>560</v>
      </c>
      <c r="C91" s="15" t="s">
        <v>561</v>
      </c>
      <c r="D91" s="15" t="s">
        <v>562</v>
      </c>
      <c r="E91" s="15" t="s">
        <v>563</v>
      </c>
      <c r="F91" s="15" t="s">
        <v>564</v>
      </c>
      <c r="G91" s="15"/>
      <c r="H91" s="15" t="str">
        <f aca="false">IF(G91="BUG","BUG-"&amp;A91,IF(G91="FUNCTIONAL","FUNCTIONAL-"&amp;A91,""))</f>
        <v/>
      </c>
      <c r="I91" s="15" t="s">
        <v>42</v>
      </c>
      <c r="J91" s="15"/>
      <c r="K91" s="16"/>
      <c r="L91" s="16"/>
    </row>
    <row r="92" customFormat="false" ht="45" hidden="false" customHeight="true" outlineLevel="0" collapsed="false">
      <c r="A92" s="17" t="s">
        <v>565</v>
      </c>
      <c r="B92" s="15" t="s">
        <v>560</v>
      </c>
      <c r="C92" s="15" t="s">
        <v>566</v>
      </c>
      <c r="D92" s="15" t="s">
        <v>61</v>
      </c>
      <c r="E92" s="15" t="s">
        <v>567</v>
      </c>
      <c r="F92" s="15" t="s">
        <v>568</v>
      </c>
      <c r="G92" s="15" t="s">
        <v>64</v>
      </c>
      <c r="H92" s="15" t="str">
        <f aca="false">IF(G92="BUG","BUG-"&amp;A92,IF(G92="FUNCTIONAL","FUNCTIONAL-"&amp;A92,""))</f>
        <v>FUNCTIONAL-TC-091</v>
      </c>
      <c r="I92" s="15" t="s">
        <v>56</v>
      </c>
      <c r="J92" s="15" t="s">
        <v>569</v>
      </c>
      <c r="K92" s="16" t="s">
        <v>570</v>
      </c>
      <c r="L92" s="16" t="s">
        <v>571</v>
      </c>
    </row>
    <row r="93" customFormat="false" ht="45" hidden="false" customHeight="true" outlineLevel="0" collapsed="false">
      <c r="A93" s="17" t="s">
        <v>572</v>
      </c>
      <c r="B93" s="15" t="s">
        <v>560</v>
      </c>
      <c r="C93" s="15" t="s">
        <v>573</v>
      </c>
      <c r="D93" s="15" t="s">
        <v>61</v>
      </c>
      <c r="E93" s="15" t="s">
        <v>574</v>
      </c>
      <c r="F93" s="15" t="s">
        <v>575</v>
      </c>
      <c r="G93" s="15" t="s">
        <v>64</v>
      </c>
      <c r="H93" s="15" t="str">
        <f aca="false">IF(G93="BUG","BUG-"&amp;A93,IF(G93="FUNCTIONAL","FUNCTIONAL-"&amp;A93,""))</f>
        <v>FUNCTIONAL-TC-092</v>
      </c>
      <c r="I93" s="15" t="s">
        <v>65</v>
      </c>
      <c r="J93" s="15" t="s">
        <v>569</v>
      </c>
      <c r="K93" s="16" t="s">
        <v>570</v>
      </c>
      <c r="L93" s="16" t="s">
        <v>576</v>
      </c>
    </row>
    <row r="94" customFormat="false" ht="45" hidden="false" customHeight="true" outlineLevel="0" collapsed="false">
      <c r="A94" s="17" t="s">
        <v>577</v>
      </c>
      <c r="B94" s="15" t="s">
        <v>578</v>
      </c>
      <c r="C94" s="15" t="s">
        <v>579</v>
      </c>
      <c r="D94" s="15" t="s">
        <v>580</v>
      </c>
      <c r="E94" s="15" t="s">
        <v>581</v>
      </c>
      <c r="F94" s="15" t="s">
        <v>582</v>
      </c>
      <c r="G94" s="15"/>
      <c r="H94" s="15" t="str">
        <f aca="false">IF(G94="BUG","BUG-"&amp;A94,IF(G94="FUNCTIONAL","FUNCTIONAL-"&amp;A94,""))</f>
        <v/>
      </c>
      <c r="I94" s="15" t="s">
        <v>42</v>
      </c>
      <c r="J94" s="15"/>
      <c r="K94" s="16"/>
      <c r="L94" s="16"/>
    </row>
    <row r="95" customFormat="false" ht="45" hidden="false" customHeight="true" outlineLevel="0" collapsed="false">
      <c r="A95" s="17" t="s">
        <v>583</v>
      </c>
      <c r="B95" s="15" t="s">
        <v>578</v>
      </c>
      <c r="C95" s="15" t="s">
        <v>584</v>
      </c>
      <c r="D95" s="15" t="s">
        <v>61</v>
      </c>
      <c r="E95" s="15" t="s">
        <v>585</v>
      </c>
      <c r="F95" s="15" t="s">
        <v>586</v>
      </c>
      <c r="G95" s="15"/>
      <c r="H95" s="15" t="str">
        <f aca="false">IF(G95="BUG","BUG-"&amp;A95,IF(G95="FUNCTIONAL","FUNCTIONAL-"&amp;A95,""))</f>
        <v/>
      </c>
      <c r="I95" s="15" t="s">
        <v>42</v>
      </c>
      <c r="J95" s="15"/>
      <c r="K95" s="16"/>
      <c r="L95" s="16"/>
    </row>
    <row r="96" customFormat="false" ht="45" hidden="false" customHeight="true" outlineLevel="0" collapsed="false">
      <c r="A96" s="17" t="s">
        <v>587</v>
      </c>
      <c r="B96" s="15" t="s">
        <v>578</v>
      </c>
      <c r="C96" s="15" t="s">
        <v>588</v>
      </c>
      <c r="D96" s="15" t="s">
        <v>589</v>
      </c>
      <c r="E96" s="15" t="s">
        <v>590</v>
      </c>
      <c r="F96" s="15" t="s">
        <v>591</v>
      </c>
      <c r="G96" s="15"/>
      <c r="H96" s="15" t="str">
        <f aca="false">IF(G96="BUG","BUG-"&amp;A96,IF(G96="FUNCTIONAL","FUNCTIONAL-"&amp;A96,""))</f>
        <v/>
      </c>
      <c r="I96" s="15" t="s">
        <v>42</v>
      </c>
      <c r="J96" s="15"/>
      <c r="K96" s="16"/>
      <c r="L96" s="16"/>
    </row>
    <row r="97" customFormat="false" ht="45" hidden="false" customHeight="true" outlineLevel="0" collapsed="false">
      <c r="A97" s="17" t="s">
        <v>592</v>
      </c>
      <c r="B97" s="15" t="s">
        <v>578</v>
      </c>
      <c r="C97" s="15" t="s">
        <v>593</v>
      </c>
      <c r="D97" s="15" t="s">
        <v>594</v>
      </c>
      <c r="E97" s="15" t="s">
        <v>595</v>
      </c>
      <c r="F97" s="15" t="s">
        <v>596</v>
      </c>
      <c r="G97" s="15" t="s">
        <v>41</v>
      </c>
      <c r="H97" s="15" t="str">
        <f aca="false">IF(G97="BUG","BUG-"&amp;A97,IF(G97="FUNCTIONAL","FUNCTIONAL-"&amp;A97,""))</f>
        <v/>
      </c>
      <c r="I97" s="15" t="s">
        <v>56</v>
      </c>
      <c r="J97" s="15"/>
      <c r="K97" s="16"/>
      <c r="L97" s="16" t="s">
        <v>597</v>
      </c>
    </row>
    <row r="98" customFormat="false" ht="45" hidden="false" customHeight="true" outlineLevel="0" collapsed="false">
      <c r="A98" s="17" t="s">
        <v>598</v>
      </c>
      <c r="B98" s="15" t="s">
        <v>578</v>
      </c>
      <c r="C98" s="15" t="s">
        <v>599</v>
      </c>
      <c r="D98" s="15" t="s">
        <v>600</v>
      </c>
      <c r="E98" s="15" t="s">
        <v>601</v>
      </c>
      <c r="F98" s="15" t="s">
        <v>602</v>
      </c>
      <c r="G98" s="15"/>
      <c r="H98" s="15" t="str">
        <f aca="false">IF(G98="BUG","BUG-"&amp;A98,IF(G98="FUNCTIONAL","FUNCTIONAL-"&amp;A98,""))</f>
        <v/>
      </c>
      <c r="I98" s="15" t="s">
        <v>42</v>
      </c>
      <c r="J98" s="15" t="s">
        <v>603</v>
      </c>
      <c r="K98" s="16" t="s">
        <v>604</v>
      </c>
      <c r="L98" s="16" t="s">
        <v>605</v>
      </c>
    </row>
    <row r="99" customFormat="false" ht="45" hidden="false" customHeight="true" outlineLevel="0" collapsed="false">
      <c r="A99" s="17" t="s">
        <v>606</v>
      </c>
      <c r="B99" s="15" t="s">
        <v>607</v>
      </c>
      <c r="C99" s="15" t="s">
        <v>608</v>
      </c>
      <c r="D99" s="15" t="s">
        <v>609</v>
      </c>
      <c r="E99" s="15" t="s">
        <v>610</v>
      </c>
      <c r="F99" s="15" t="s">
        <v>611</v>
      </c>
      <c r="G99" s="15" t="s">
        <v>64</v>
      </c>
      <c r="H99" s="15" t="str">
        <f aca="false">IF(G99="BUG","BUG-"&amp;A99,IF(G99="FUNCTIONAL","FUNCTIONAL-"&amp;A99,""))</f>
        <v>FUNCTIONAL-TC-098</v>
      </c>
      <c r="I99" s="15" t="s">
        <v>65</v>
      </c>
      <c r="J99" s="15" t="s">
        <v>612</v>
      </c>
      <c r="K99" s="16" t="s">
        <v>613</v>
      </c>
      <c r="L99" s="16" t="s">
        <v>614</v>
      </c>
    </row>
    <row r="100" customFormat="false" ht="45" hidden="false" customHeight="true" outlineLevel="0" collapsed="false">
      <c r="A100" s="17" t="s">
        <v>615</v>
      </c>
      <c r="B100" s="15" t="s">
        <v>607</v>
      </c>
      <c r="C100" s="15" t="s">
        <v>616</v>
      </c>
      <c r="D100" s="15" t="s">
        <v>61</v>
      </c>
      <c r="E100" s="15" t="s">
        <v>617</v>
      </c>
      <c r="F100" s="15" t="s">
        <v>618</v>
      </c>
      <c r="G100" s="15" t="s">
        <v>64</v>
      </c>
      <c r="H100" s="15" t="str">
        <f aca="false">IF(G100="BUG","BUG-"&amp;A100,IF(G100="FUNCTIONAL","FUNCTIONAL-"&amp;A100,""))</f>
        <v>FUNCTIONAL-TC-099</v>
      </c>
      <c r="I100" s="15" t="s">
        <v>65</v>
      </c>
      <c r="J100" s="15" t="s">
        <v>619</v>
      </c>
      <c r="K100" s="16" t="s">
        <v>620</v>
      </c>
      <c r="L100" s="16" t="s">
        <v>621</v>
      </c>
    </row>
    <row r="101" customFormat="false" ht="45" hidden="false" customHeight="true" outlineLevel="0" collapsed="false">
      <c r="A101" s="17" t="s">
        <v>622</v>
      </c>
      <c r="B101" s="15" t="s">
        <v>607</v>
      </c>
      <c r="C101" s="15" t="s">
        <v>623</v>
      </c>
      <c r="D101" s="15" t="s">
        <v>624</v>
      </c>
      <c r="E101" s="15" t="s">
        <v>625</v>
      </c>
      <c r="F101" s="15" t="s">
        <v>626</v>
      </c>
      <c r="G101" s="15" t="s">
        <v>64</v>
      </c>
      <c r="H101" s="15" t="str">
        <f aca="false">IF(G101="BUG","BUG-"&amp;A101,IF(G101="FUNCTIONAL","FUNCTIONAL-"&amp;A101,""))</f>
        <v>FUNCTIONAL-TC-100</v>
      </c>
      <c r="I101" s="15" t="s">
        <v>65</v>
      </c>
      <c r="J101" s="15" t="s">
        <v>627</v>
      </c>
      <c r="K101" s="16" t="s">
        <v>628</v>
      </c>
      <c r="L101" s="16" t="s">
        <v>629</v>
      </c>
    </row>
    <row r="102" customFormat="false" ht="45" hidden="false" customHeight="true" outlineLevel="0" collapsed="false">
      <c r="A102" s="14" t="s">
        <v>630</v>
      </c>
      <c r="B102" s="15" t="s">
        <v>631</v>
      </c>
      <c r="C102" s="15" t="s">
        <v>632</v>
      </c>
      <c r="D102" s="15" t="s">
        <v>633</v>
      </c>
      <c r="E102" s="15" t="s">
        <v>634</v>
      </c>
      <c r="F102" s="15" t="s">
        <v>635</v>
      </c>
      <c r="G102" s="15" t="s">
        <v>74</v>
      </c>
      <c r="H102" s="15" t="str">
        <f aca="false">IF(G102="BUG","BUG-"&amp;A102,IF(G102="FUNCTIONAL","FUNCTIONAL-"&amp;A102,""))</f>
        <v/>
      </c>
      <c r="I102" s="15" t="s">
        <v>42</v>
      </c>
      <c r="J102" s="15" t="s">
        <v>636</v>
      </c>
      <c r="K102" s="16" t="s">
        <v>637</v>
      </c>
      <c r="L102" s="16" t="s">
        <v>638</v>
      </c>
    </row>
    <row r="103" customFormat="false" ht="45" hidden="false" customHeight="true" outlineLevel="0" collapsed="false">
      <c r="A103" s="14" t="s">
        <v>639</v>
      </c>
      <c r="B103" s="15" t="s">
        <v>631</v>
      </c>
      <c r="C103" s="15" t="s">
        <v>640</v>
      </c>
      <c r="D103" s="15" t="s">
        <v>641</v>
      </c>
      <c r="E103" s="15" t="s">
        <v>642</v>
      </c>
      <c r="F103" s="15" t="s">
        <v>643</v>
      </c>
      <c r="G103" s="15" t="s">
        <v>74</v>
      </c>
      <c r="H103" s="15" t="str">
        <f aca="false">IF(G103="BUG","BUG-"&amp;A103,IF(G103="FUNCTIONAL","FUNCTIONAL-"&amp;A103,""))</f>
        <v/>
      </c>
      <c r="I103" s="15" t="s">
        <v>42</v>
      </c>
      <c r="J103" s="15" t="s">
        <v>644</v>
      </c>
      <c r="K103" s="16" t="s">
        <v>637</v>
      </c>
      <c r="L103" s="16" t="s">
        <v>645</v>
      </c>
    </row>
    <row r="104" customFormat="false" ht="45" hidden="false" customHeight="true" outlineLevel="0" collapsed="false">
      <c r="A104" s="14" t="s">
        <v>646</v>
      </c>
      <c r="B104" s="15" t="s">
        <v>631</v>
      </c>
      <c r="C104" s="15" t="s">
        <v>647</v>
      </c>
      <c r="D104" s="15" t="s">
        <v>648</v>
      </c>
      <c r="E104" s="15" t="s">
        <v>649</v>
      </c>
      <c r="F104" s="15" t="s">
        <v>650</v>
      </c>
      <c r="G104" s="15" t="s">
        <v>74</v>
      </c>
      <c r="H104" s="15" t="str">
        <f aca="false">IF(G104="BUG","BUG-"&amp;A104,IF(G104="FUNCTIONAL","FUNCTIONAL-"&amp;A104,""))</f>
        <v/>
      </c>
      <c r="I104" s="15" t="s">
        <v>56</v>
      </c>
      <c r="J104" s="15" t="s">
        <v>651</v>
      </c>
      <c r="K104" s="16" t="s">
        <v>652</v>
      </c>
      <c r="L104" s="16" t="s">
        <v>653</v>
      </c>
    </row>
    <row r="105" customFormat="false" ht="45" hidden="false" customHeight="true" outlineLevel="0" collapsed="false">
      <c r="A105" s="14" t="s">
        <v>654</v>
      </c>
      <c r="B105" s="15" t="s">
        <v>631</v>
      </c>
      <c r="C105" s="15" t="s">
        <v>655</v>
      </c>
      <c r="D105" s="15" t="s">
        <v>656</v>
      </c>
      <c r="E105" s="15" t="s">
        <v>657</v>
      </c>
      <c r="F105" s="15" t="s">
        <v>658</v>
      </c>
      <c r="G105" s="15" t="s">
        <v>74</v>
      </c>
      <c r="H105" s="15" t="str">
        <f aca="false">IF(G105="BUG","BUG-"&amp;A105,IF(G105="FUNCTIONAL","FUNCTIONAL-"&amp;A105,""))</f>
        <v/>
      </c>
      <c r="I105" s="15" t="s">
        <v>65</v>
      </c>
      <c r="J105" s="15" t="s">
        <v>659</v>
      </c>
      <c r="K105" s="16" t="s">
        <v>660</v>
      </c>
      <c r="L105" s="16" t="s">
        <v>661</v>
      </c>
    </row>
    <row r="106" customFormat="false" ht="45" hidden="false" customHeight="true" outlineLevel="0" collapsed="false">
      <c r="A106" s="14" t="s">
        <v>662</v>
      </c>
      <c r="B106" s="15" t="s">
        <v>631</v>
      </c>
      <c r="C106" s="15" t="s">
        <v>663</v>
      </c>
      <c r="D106" s="15" t="s">
        <v>664</v>
      </c>
      <c r="E106" s="15" t="s">
        <v>665</v>
      </c>
      <c r="F106" s="15" t="s">
        <v>666</v>
      </c>
      <c r="G106" s="15" t="s">
        <v>74</v>
      </c>
      <c r="H106" s="15" t="str">
        <f aca="false">IF(G106="BUG","BUG-"&amp;A106,IF(G106="FUNCTIONAL","FUNCTIONAL-"&amp;A106,""))</f>
        <v/>
      </c>
      <c r="I106" s="15" t="s">
        <v>56</v>
      </c>
      <c r="J106" s="15" t="s">
        <v>667</v>
      </c>
      <c r="K106" s="16" t="s">
        <v>660</v>
      </c>
      <c r="L106" s="16" t="s">
        <v>668</v>
      </c>
    </row>
    <row r="107" customFormat="false" ht="45" hidden="false" customHeight="true" outlineLevel="0" collapsed="false">
      <c r="A107" s="14" t="s">
        <v>669</v>
      </c>
      <c r="B107" s="15" t="s">
        <v>631</v>
      </c>
      <c r="C107" s="15" t="s">
        <v>670</v>
      </c>
      <c r="D107" s="15" t="s">
        <v>671</v>
      </c>
      <c r="E107" s="15" t="s">
        <v>672</v>
      </c>
      <c r="F107" s="15" t="s">
        <v>673</v>
      </c>
      <c r="G107" s="15" t="s">
        <v>74</v>
      </c>
      <c r="H107" s="15" t="str">
        <f aca="false">IF(G107="BUG","BUG-"&amp;A107,IF(G107="FUNCTIONAL","FUNCTIONAL-"&amp;A107,""))</f>
        <v/>
      </c>
      <c r="I107" s="15" t="s">
        <v>42</v>
      </c>
      <c r="J107" s="15" t="s">
        <v>674</v>
      </c>
      <c r="K107" s="16" t="s">
        <v>652</v>
      </c>
      <c r="L107" s="16" t="s">
        <v>675</v>
      </c>
    </row>
    <row r="108" customFormat="false" ht="45" hidden="false" customHeight="true" outlineLevel="0" collapsed="false">
      <c r="A108" s="14" t="s">
        <v>676</v>
      </c>
      <c r="B108" s="15" t="s">
        <v>631</v>
      </c>
      <c r="C108" s="15" t="s">
        <v>677</v>
      </c>
      <c r="D108" s="15" t="s">
        <v>678</v>
      </c>
      <c r="E108" s="15" t="s">
        <v>679</v>
      </c>
      <c r="F108" s="15" t="s">
        <v>680</v>
      </c>
      <c r="G108" s="15" t="s">
        <v>74</v>
      </c>
      <c r="H108" s="15" t="str">
        <f aca="false">IF(G108="BUG","BUG-"&amp;A108,IF(G108="FUNCTIONAL","FUNCTIONAL-"&amp;A108,""))</f>
        <v/>
      </c>
      <c r="I108" s="15" t="s">
        <v>42</v>
      </c>
      <c r="J108" s="15" t="s">
        <v>681</v>
      </c>
      <c r="K108" s="16" t="s">
        <v>652</v>
      </c>
      <c r="L108" s="16" t="s">
        <v>682</v>
      </c>
    </row>
    <row r="109" customFormat="false" ht="45" hidden="false" customHeight="true" outlineLevel="0" collapsed="false">
      <c r="A109" s="14" t="s">
        <v>683</v>
      </c>
      <c r="B109" s="15" t="s">
        <v>226</v>
      </c>
      <c r="C109" s="15" t="s">
        <v>684</v>
      </c>
      <c r="D109" s="15" t="s">
        <v>685</v>
      </c>
      <c r="E109" s="15" t="s">
        <v>686</v>
      </c>
      <c r="F109" s="15" t="s">
        <v>687</v>
      </c>
      <c r="G109" s="15" t="s">
        <v>74</v>
      </c>
      <c r="H109" s="15" t="str">
        <f aca="false">IF(G109="BUG","BUG-"&amp;A109,IF(G109="FUNCTIONAL","FUNCTIONAL-"&amp;A109,""))</f>
        <v/>
      </c>
      <c r="I109" s="15" t="s">
        <v>42</v>
      </c>
      <c r="J109" s="15" t="s">
        <v>688</v>
      </c>
      <c r="K109" s="16" t="s">
        <v>689</v>
      </c>
      <c r="L109" s="16" t="s">
        <v>690</v>
      </c>
    </row>
    <row r="110" customFormat="false" ht="45" hidden="false" customHeight="true" outlineLevel="0" collapsed="false">
      <c r="A110" s="14" t="s">
        <v>691</v>
      </c>
      <c r="B110" s="15" t="s">
        <v>226</v>
      </c>
      <c r="C110" s="15" t="s">
        <v>692</v>
      </c>
      <c r="D110" s="15" t="s">
        <v>61</v>
      </c>
      <c r="E110" s="15" t="s">
        <v>693</v>
      </c>
      <c r="F110" s="15" t="s">
        <v>694</v>
      </c>
      <c r="G110" s="15" t="s">
        <v>74</v>
      </c>
      <c r="H110" s="15" t="str">
        <f aca="false">IF(G110="BUG","BUG-"&amp;A110,IF(G110="FUNCTIONAL","FUNCTIONAL-"&amp;A110,""))</f>
        <v/>
      </c>
      <c r="I110" s="15" t="s">
        <v>65</v>
      </c>
      <c r="J110" s="15" t="s">
        <v>695</v>
      </c>
      <c r="K110" s="16" t="s">
        <v>696</v>
      </c>
      <c r="L110" s="16" t="s">
        <v>697</v>
      </c>
    </row>
    <row r="111" customFormat="false" ht="45" hidden="false" customHeight="true" outlineLevel="0" collapsed="false">
      <c r="A111" s="14" t="s">
        <v>698</v>
      </c>
      <c r="B111" s="15" t="s">
        <v>226</v>
      </c>
      <c r="C111" s="15" t="s">
        <v>699</v>
      </c>
      <c r="D111" s="15" t="s">
        <v>700</v>
      </c>
      <c r="E111" s="15" t="s">
        <v>701</v>
      </c>
      <c r="F111" s="15" t="s">
        <v>702</v>
      </c>
      <c r="G111" s="15" t="s">
        <v>74</v>
      </c>
      <c r="H111" s="15" t="str">
        <f aca="false">IF(G111="BUG","BUG-"&amp;A111,IF(G111="FUNCTIONAL","FUNCTIONAL-"&amp;A111,""))</f>
        <v/>
      </c>
      <c r="I111" s="15" t="s">
        <v>56</v>
      </c>
      <c r="J111" s="15" t="s">
        <v>703</v>
      </c>
      <c r="K111" s="16" t="s">
        <v>652</v>
      </c>
      <c r="L111" s="16" t="s">
        <v>704</v>
      </c>
    </row>
    <row r="112" customFormat="false" ht="45" hidden="false" customHeight="true" outlineLevel="0" collapsed="false">
      <c r="A112" s="14" t="s">
        <v>705</v>
      </c>
      <c r="B112" s="15" t="s">
        <v>226</v>
      </c>
      <c r="C112" s="15" t="s">
        <v>706</v>
      </c>
      <c r="D112" s="15" t="s">
        <v>707</v>
      </c>
      <c r="E112" s="15" t="s">
        <v>708</v>
      </c>
      <c r="F112" s="15" t="s">
        <v>709</v>
      </c>
      <c r="G112" s="15" t="s">
        <v>74</v>
      </c>
      <c r="H112" s="15" t="str">
        <f aca="false">IF(G112="BUG","BUG-"&amp;A112,IF(G112="FUNCTIONAL","FUNCTIONAL-"&amp;A112,""))</f>
        <v/>
      </c>
      <c r="I112" s="15" t="s">
        <v>42</v>
      </c>
      <c r="J112" s="15" t="s">
        <v>710</v>
      </c>
      <c r="K112" s="16" t="s">
        <v>652</v>
      </c>
      <c r="L112" s="16" t="s">
        <v>711</v>
      </c>
    </row>
    <row r="113" customFormat="false" ht="45" hidden="false" customHeight="true" outlineLevel="0" collapsed="false">
      <c r="A113" s="14" t="s">
        <v>712</v>
      </c>
      <c r="B113" s="15" t="s">
        <v>226</v>
      </c>
      <c r="C113" s="15" t="s">
        <v>713</v>
      </c>
      <c r="D113" s="15" t="s">
        <v>609</v>
      </c>
      <c r="E113" s="15" t="s">
        <v>714</v>
      </c>
      <c r="F113" s="15" t="s">
        <v>715</v>
      </c>
      <c r="G113" s="15" t="s">
        <v>74</v>
      </c>
      <c r="H113" s="15" t="str">
        <f aca="false">IF(G113="BUG","BUG-"&amp;A113,IF(G113="FUNCTIONAL","FUNCTIONAL-"&amp;A113,""))</f>
        <v/>
      </c>
      <c r="I113" s="15" t="s">
        <v>65</v>
      </c>
      <c r="J113" s="15" t="s">
        <v>716</v>
      </c>
      <c r="K113" s="16" t="s">
        <v>652</v>
      </c>
      <c r="L113" s="16" t="s">
        <v>717</v>
      </c>
    </row>
    <row r="114" customFormat="false" ht="45" hidden="false" customHeight="true" outlineLevel="0" collapsed="false">
      <c r="A114" s="14" t="s">
        <v>718</v>
      </c>
      <c r="B114" s="15" t="s">
        <v>430</v>
      </c>
      <c r="C114" s="15" t="s">
        <v>719</v>
      </c>
      <c r="D114" s="15" t="s">
        <v>720</v>
      </c>
      <c r="E114" s="15" t="s">
        <v>721</v>
      </c>
      <c r="F114" s="15" t="s">
        <v>722</v>
      </c>
      <c r="G114" s="15" t="s">
        <v>74</v>
      </c>
      <c r="H114" s="15" t="str">
        <f aca="false">IF(G114="BUG","BUG-"&amp;A114,IF(G114="FUNCTIONAL","FUNCTIONAL-"&amp;A114,""))</f>
        <v/>
      </c>
      <c r="I114" s="15" t="s">
        <v>56</v>
      </c>
      <c r="J114" s="15" t="s">
        <v>723</v>
      </c>
      <c r="K114" s="16" t="s">
        <v>724</v>
      </c>
      <c r="L114" s="16" t="s">
        <v>725</v>
      </c>
    </row>
    <row r="115" customFormat="false" ht="45" hidden="false" customHeight="true" outlineLevel="0" collapsed="false">
      <c r="A115" s="14" t="s">
        <v>726</v>
      </c>
      <c r="B115" s="15" t="s">
        <v>430</v>
      </c>
      <c r="C115" s="15" t="s">
        <v>727</v>
      </c>
      <c r="D115" s="15" t="s">
        <v>728</v>
      </c>
      <c r="E115" s="15" t="s">
        <v>729</v>
      </c>
      <c r="F115" s="15" t="s">
        <v>730</v>
      </c>
      <c r="G115" s="15" t="s">
        <v>74</v>
      </c>
      <c r="H115" s="15" t="str">
        <f aca="false">IF(G115="BUG","BUG-"&amp;A115,IF(G115="FUNCTIONAL","FUNCTIONAL-"&amp;A115,""))</f>
        <v/>
      </c>
      <c r="I115" s="15" t="s">
        <v>65</v>
      </c>
      <c r="J115" s="15" t="s">
        <v>723</v>
      </c>
      <c r="K115" s="16" t="s">
        <v>731</v>
      </c>
      <c r="L115" s="16"/>
    </row>
    <row r="116" customFormat="false" ht="45" hidden="false" customHeight="true" outlineLevel="0" collapsed="false">
      <c r="A116" s="14" t="s">
        <v>732</v>
      </c>
      <c r="B116" s="15" t="s">
        <v>201</v>
      </c>
      <c r="C116" s="15" t="s">
        <v>733</v>
      </c>
      <c r="D116" s="15" t="s">
        <v>734</v>
      </c>
      <c r="E116" s="15" t="s">
        <v>735</v>
      </c>
      <c r="F116" s="15" t="s">
        <v>736</v>
      </c>
      <c r="G116" s="15" t="s">
        <v>74</v>
      </c>
      <c r="H116" s="15" t="str">
        <f aca="false">IF(G116="BUG","BUG-"&amp;A116,IF(G116="FUNCTIONAL","FUNCTIONAL-"&amp;A116,""))</f>
        <v/>
      </c>
      <c r="I116" s="15" t="s">
        <v>65</v>
      </c>
      <c r="J116" s="15" t="s">
        <v>723</v>
      </c>
      <c r="K116" s="16" t="s">
        <v>652</v>
      </c>
      <c r="L116" s="16" t="s">
        <v>737</v>
      </c>
    </row>
    <row r="117" customFormat="false" ht="45" hidden="false" customHeight="true" outlineLevel="0" collapsed="false">
      <c r="A117" s="14" t="s">
        <v>738</v>
      </c>
      <c r="B117" s="15" t="s">
        <v>472</v>
      </c>
      <c r="C117" s="15" t="s">
        <v>739</v>
      </c>
      <c r="D117" s="15" t="s">
        <v>740</v>
      </c>
      <c r="E117" s="15" t="s">
        <v>741</v>
      </c>
      <c r="F117" s="15" t="s">
        <v>742</v>
      </c>
      <c r="G117" s="15" t="s">
        <v>74</v>
      </c>
      <c r="H117" s="15" t="str">
        <f aca="false">IF(G117="BUG","BUG-"&amp;A117,IF(G117="FUNCTIONAL","FUNCTIONAL-"&amp;A117,""))</f>
        <v/>
      </c>
      <c r="I117" s="15" t="s">
        <v>56</v>
      </c>
      <c r="J117" s="15" t="s">
        <v>723</v>
      </c>
      <c r="K117" s="16" t="s">
        <v>652</v>
      </c>
      <c r="L117" s="16" t="s">
        <v>743</v>
      </c>
    </row>
    <row r="118" customFormat="false" ht="45" hidden="false" customHeight="true" outlineLevel="0" collapsed="false">
      <c r="A118" s="14" t="s">
        <v>744</v>
      </c>
      <c r="B118" s="15" t="s">
        <v>507</v>
      </c>
      <c r="C118" s="15" t="s">
        <v>745</v>
      </c>
      <c r="D118" s="15" t="s">
        <v>746</v>
      </c>
      <c r="E118" s="15" t="s">
        <v>747</v>
      </c>
      <c r="F118" s="15" t="s">
        <v>748</v>
      </c>
      <c r="G118" s="15" t="s">
        <v>74</v>
      </c>
      <c r="H118" s="15" t="str">
        <f aca="false">IF(G118="BUG","BUG-"&amp;A118,IF(G118="FUNCTIONAL","FUNCTIONAL-"&amp;A118,""))</f>
        <v/>
      </c>
      <c r="I118" s="15" t="s">
        <v>65</v>
      </c>
      <c r="J118" s="15" t="s">
        <v>723</v>
      </c>
      <c r="K118" s="16" t="s">
        <v>652</v>
      </c>
      <c r="L118" s="16"/>
    </row>
    <row r="119" customFormat="false" ht="45" hidden="false" customHeight="true" outlineLevel="0" collapsed="false">
      <c r="A119" s="14" t="s">
        <v>749</v>
      </c>
      <c r="B119" s="15" t="s">
        <v>525</v>
      </c>
      <c r="C119" s="15" t="s">
        <v>750</v>
      </c>
      <c r="D119" s="15" t="s">
        <v>751</v>
      </c>
      <c r="E119" s="15" t="s">
        <v>752</v>
      </c>
      <c r="F119" s="15" t="s">
        <v>753</v>
      </c>
      <c r="G119" s="15" t="s">
        <v>74</v>
      </c>
      <c r="H119" s="15" t="str">
        <f aca="false">IF(G119="BUG","BUG-"&amp;A119,IF(G119="FUNCTIONAL","FUNCTIONAL-"&amp;A119,""))</f>
        <v/>
      </c>
      <c r="I119" s="15" t="s">
        <v>65</v>
      </c>
      <c r="J119" s="15" t="s">
        <v>723</v>
      </c>
      <c r="K119" s="16" t="s">
        <v>652</v>
      </c>
      <c r="L119" s="16"/>
    </row>
    <row r="120" customFormat="false" ht="45" hidden="false" customHeight="true" outlineLevel="0" collapsed="false">
      <c r="A120" s="14" t="s">
        <v>754</v>
      </c>
      <c r="B120" s="15" t="s">
        <v>463</v>
      </c>
      <c r="C120" s="15" t="s">
        <v>755</v>
      </c>
      <c r="D120" s="15" t="s">
        <v>756</v>
      </c>
      <c r="E120" s="15" t="s">
        <v>757</v>
      </c>
      <c r="F120" s="15" t="s">
        <v>758</v>
      </c>
      <c r="G120" s="15" t="s">
        <v>55</v>
      </c>
      <c r="H120" s="15" t="str">
        <f aca="false">IF(G120="BUG","BUG-"&amp;A120,IF(G120="FUNCTIONAL","FUNCTIONAL-"&amp;A120,""))</f>
        <v>BUG-TC-119</v>
      </c>
      <c r="I120" s="15" t="s">
        <v>56</v>
      </c>
      <c r="J120" s="15" t="s">
        <v>759</v>
      </c>
      <c r="K120" s="16" t="s">
        <v>760</v>
      </c>
      <c r="L120" s="16" t="s">
        <v>761</v>
      </c>
    </row>
    <row r="121" customFormat="false" ht="45" hidden="false" customHeight="true" outlineLevel="0" collapsed="false">
      <c r="A121" s="14" t="s">
        <v>762</v>
      </c>
      <c r="B121" s="15" t="s">
        <v>463</v>
      </c>
      <c r="C121" s="15" t="s">
        <v>763</v>
      </c>
      <c r="D121" s="15" t="s">
        <v>764</v>
      </c>
      <c r="E121" s="15" t="s">
        <v>466</v>
      </c>
      <c r="F121" s="15" t="s">
        <v>765</v>
      </c>
      <c r="G121" s="15" t="s">
        <v>55</v>
      </c>
      <c r="H121" s="15" t="str">
        <f aca="false">IF(G121="BUG","BUG-"&amp;A121,IF(G121="FUNCTIONAL","FUNCTIONAL-"&amp;A121,""))</f>
        <v>BUG-TC-120</v>
      </c>
      <c r="I121" s="15" t="s">
        <v>56</v>
      </c>
      <c r="J121" s="15" t="s">
        <v>759</v>
      </c>
      <c r="K121" s="16" t="s">
        <v>766</v>
      </c>
      <c r="L121" s="16" t="s">
        <v>767</v>
      </c>
    </row>
    <row r="122" customFormat="false" ht="45" hidden="false" customHeight="true" outlineLevel="0" collapsed="false">
      <c r="A122" s="14" t="s">
        <v>768</v>
      </c>
      <c r="B122" s="15" t="s">
        <v>463</v>
      </c>
      <c r="C122" s="15" t="s">
        <v>769</v>
      </c>
      <c r="D122" s="15" t="s">
        <v>746</v>
      </c>
      <c r="E122" s="15" t="s">
        <v>770</v>
      </c>
      <c r="F122" s="15" t="s">
        <v>771</v>
      </c>
      <c r="G122" s="15" t="s">
        <v>74</v>
      </c>
      <c r="H122" s="15" t="str">
        <f aca="false">IF(G122="BUG","BUG-"&amp;A122,IF(G122="FUNCTIONAL","FUNCTIONAL-"&amp;A122,""))</f>
        <v/>
      </c>
      <c r="I122" s="15" t="s">
        <v>65</v>
      </c>
      <c r="J122" s="15" t="s">
        <v>759</v>
      </c>
      <c r="K122" s="16" t="s">
        <v>652</v>
      </c>
      <c r="L122" s="16" t="s">
        <v>772</v>
      </c>
    </row>
    <row r="123" customFormat="false" ht="34.5" hidden="false" customHeight="true" outlineLevel="0" collapsed="false">
      <c r="A123" s="14" t="s">
        <v>773</v>
      </c>
      <c r="B123" s="15" t="s">
        <v>774</v>
      </c>
      <c r="C123" s="15" t="s">
        <v>775</v>
      </c>
      <c r="D123" s="15" t="s">
        <v>465</v>
      </c>
      <c r="E123" s="15" t="s">
        <v>776</v>
      </c>
      <c r="F123" s="15" t="s">
        <v>777</v>
      </c>
      <c r="G123" s="15" t="s">
        <v>74</v>
      </c>
      <c r="H123" s="15" t="str">
        <f aca="false">IF(G123="BUG","BUG-"&amp;A123,IF(G123="FUNCTIONAL","FUNCTIONAL-"&amp;A123,""))</f>
        <v/>
      </c>
      <c r="I123" s="15" t="s">
        <v>56</v>
      </c>
      <c r="J123" s="15"/>
      <c r="K123" s="16"/>
      <c r="L123" s="16"/>
    </row>
    <row r="124" customFormat="false" ht="34.5" hidden="false" customHeight="true" outlineLevel="0" collapsed="false">
      <c r="A124" s="14" t="s">
        <v>778</v>
      </c>
      <c r="B124" s="15" t="s">
        <v>774</v>
      </c>
      <c r="C124" s="15" t="s">
        <v>779</v>
      </c>
      <c r="D124" s="15" t="s">
        <v>780</v>
      </c>
      <c r="E124" s="15" t="s">
        <v>781</v>
      </c>
      <c r="F124" s="15" t="s">
        <v>782</v>
      </c>
      <c r="G124" s="15" t="s">
        <v>74</v>
      </c>
      <c r="H124" s="15" t="str">
        <f aca="false">IF(G124="BUG","BUG-"&amp;A124,IF(G124="FUNCTIONAL","FUNCTIONAL-"&amp;A124,""))</f>
        <v/>
      </c>
      <c r="I124" s="15" t="s">
        <v>56</v>
      </c>
      <c r="J124" s="15"/>
      <c r="K124" s="16"/>
      <c r="L124" s="16"/>
    </row>
    <row r="125" customFormat="false" ht="34.5" hidden="false" customHeight="true" outlineLevel="0" collapsed="false">
      <c r="A125" s="14" t="s">
        <v>783</v>
      </c>
      <c r="B125" s="15" t="s">
        <v>774</v>
      </c>
      <c r="C125" s="15" t="s">
        <v>784</v>
      </c>
      <c r="D125" s="15" t="s">
        <v>785</v>
      </c>
      <c r="E125" s="15" t="s">
        <v>786</v>
      </c>
      <c r="F125" s="15" t="s">
        <v>787</v>
      </c>
      <c r="G125" s="15" t="s">
        <v>74</v>
      </c>
      <c r="H125" s="15" t="str">
        <f aca="false">IF(G125="BUG","BUG-"&amp;A125,IF(G125="FUNCTIONAL","FUNCTIONAL-"&amp;A125,""))</f>
        <v/>
      </c>
      <c r="I125" s="15" t="s">
        <v>65</v>
      </c>
      <c r="J125" s="15"/>
      <c r="K125" s="16"/>
      <c r="L125" s="16"/>
    </row>
    <row r="126" customFormat="false" ht="34.5" hidden="false" customHeight="true" outlineLevel="0" collapsed="false">
      <c r="A126" s="14" t="s">
        <v>788</v>
      </c>
      <c r="B126" s="15" t="s">
        <v>774</v>
      </c>
      <c r="C126" s="15" t="s">
        <v>789</v>
      </c>
      <c r="D126" s="15" t="s">
        <v>790</v>
      </c>
      <c r="E126" s="15" t="s">
        <v>791</v>
      </c>
      <c r="F126" s="15" t="s">
        <v>792</v>
      </c>
      <c r="G126" s="15" t="s">
        <v>74</v>
      </c>
      <c r="H126" s="15" t="str">
        <f aca="false">IF(G126="BUG","BUG-"&amp;A126,IF(G126="FUNCTIONAL","FUNCTIONAL-"&amp;A126,""))</f>
        <v/>
      </c>
      <c r="I126" s="15" t="s">
        <v>56</v>
      </c>
      <c r="J126" s="15"/>
      <c r="K126" s="16"/>
      <c r="L126" s="16"/>
    </row>
    <row r="127" customFormat="false" ht="23.25" hidden="false" customHeight="true" outlineLevel="0" collapsed="false">
      <c r="A127" s="14" t="s">
        <v>793</v>
      </c>
      <c r="B127" s="15" t="s">
        <v>774</v>
      </c>
      <c r="C127" s="15" t="s">
        <v>794</v>
      </c>
      <c r="D127" s="15" t="s">
        <v>795</v>
      </c>
      <c r="E127" s="15" t="s">
        <v>796</v>
      </c>
      <c r="F127" s="15" t="s">
        <v>797</v>
      </c>
      <c r="G127" s="15" t="s">
        <v>74</v>
      </c>
      <c r="H127" s="15" t="str">
        <f aca="false">IF(G127="BUG","BUG-"&amp;A127,IF(G127="FUNCTIONAL","FUNCTIONAL-"&amp;A127,""))</f>
        <v/>
      </c>
      <c r="I127" s="15" t="s">
        <v>65</v>
      </c>
      <c r="J127" s="15"/>
      <c r="K127" s="16"/>
      <c r="L127" s="16"/>
    </row>
    <row r="128" customFormat="false" ht="34.5" hidden="false" customHeight="true" outlineLevel="0" collapsed="false">
      <c r="A128" s="14" t="s">
        <v>798</v>
      </c>
      <c r="B128" s="15" t="s">
        <v>799</v>
      </c>
      <c r="C128" s="15" t="s">
        <v>800</v>
      </c>
      <c r="D128" s="15" t="s">
        <v>801</v>
      </c>
      <c r="E128" s="15" t="s">
        <v>802</v>
      </c>
      <c r="F128" s="15" t="s">
        <v>803</v>
      </c>
      <c r="G128" s="15" t="s">
        <v>74</v>
      </c>
      <c r="H128" s="15" t="str">
        <f aca="false">IF(G128="BUG","BUG-"&amp;A128,IF(G128="FUNCTIONAL","FUNCTIONAL-"&amp;A128,""))</f>
        <v/>
      </c>
      <c r="I128" s="15" t="s">
        <v>56</v>
      </c>
      <c r="J128" s="15"/>
      <c r="K128" s="16"/>
      <c r="L128" s="16"/>
    </row>
    <row r="129" customFormat="false" ht="34.5" hidden="false" customHeight="true" outlineLevel="0" collapsed="false">
      <c r="A129" s="14" t="s">
        <v>804</v>
      </c>
      <c r="B129" s="15" t="s">
        <v>799</v>
      </c>
      <c r="C129" s="15" t="s">
        <v>805</v>
      </c>
      <c r="D129" s="15" t="s">
        <v>806</v>
      </c>
      <c r="E129" s="15" t="s">
        <v>807</v>
      </c>
      <c r="F129" s="15" t="s">
        <v>808</v>
      </c>
      <c r="G129" s="15" t="s">
        <v>74</v>
      </c>
      <c r="H129" s="15" t="str">
        <f aca="false">IF(G129="BUG","BUG-"&amp;A129,IF(G129="FUNCTIONAL","FUNCTIONAL-"&amp;A129,""))</f>
        <v/>
      </c>
      <c r="I129" s="15" t="s">
        <v>42</v>
      </c>
      <c r="J129" s="15"/>
      <c r="K129" s="16"/>
      <c r="L129" s="16"/>
    </row>
    <row r="130" customFormat="false" ht="23.25" hidden="false" customHeight="true" outlineLevel="0" collapsed="false">
      <c r="A130" s="14" t="s">
        <v>809</v>
      </c>
      <c r="B130" s="15" t="s">
        <v>226</v>
      </c>
      <c r="C130" s="15" t="s">
        <v>810</v>
      </c>
      <c r="D130" s="15" t="s">
        <v>811</v>
      </c>
      <c r="E130" s="15" t="s">
        <v>812</v>
      </c>
      <c r="F130" s="15" t="s">
        <v>813</v>
      </c>
      <c r="G130" s="15" t="s">
        <v>74</v>
      </c>
      <c r="H130" s="15" t="str">
        <f aca="false">IF(G130="BUG","BUG-"&amp;A130,IF(G130="FUNCTIONAL","FUNCTIONAL-"&amp;A130,""))</f>
        <v/>
      </c>
      <c r="I130" s="15" t="s">
        <v>42</v>
      </c>
      <c r="J130" s="15"/>
      <c r="K130" s="16"/>
      <c r="L130" s="16"/>
    </row>
    <row r="131" customFormat="false" ht="23.25" hidden="false" customHeight="true" outlineLevel="0" collapsed="false">
      <c r="A131" s="14" t="s">
        <v>814</v>
      </c>
      <c r="B131" s="15" t="s">
        <v>226</v>
      </c>
      <c r="C131" s="15" t="s">
        <v>815</v>
      </c>
      <c r="D131" s="15" t="s">
        <v>816</v>
      </c>
      <c r="E131" s="15" t="s">
        <v>817</v>
      </c>
      <c r="F131" s="15" t="s">
        <v>818</v>
      </c>
      <c r="G131" s="15" t="s">
        <v>74</v>
      </c>
      <c r="H131" s="15" t="str">
        <f aca="false">IF(G131="BUG","BUG-"&amp;A131,IF(G131="FUNCTIONAL","FUNCTIONAL-"&amp;A131,""))</f>
        <v/>
      </c>
      <c r="I131" s="15" t="s">
        <v>56</v>
      </c>
      <c r="J131" s="15"/>
      <c r="K131" s="16"/>
      <c r="L131" s="16"/>
    </row>
    <row r="132" customFormat="false" ht="34.5" hidden="false" customHeight="true" outlineLevel="0" collapsed="false">
      <c r="A132" s="14" t="s">
        <v>819</v>
      </c>
      <c r="B132" s="15" t="s">
        <v>774</v>
      </c>
      <c r="C132" s="15" t="s">
        <v>820</v>
      </c>
      <c r="D132" s="15" t="s">
        <v>821</v>
      </c>
      <c r="E132" s="15" t="s">
        <v>822</v>
      </c>
      <c r="F132" s="15" t="s">
        <v>823</v>
      </c>
      <c r="G132" s="15" t="s">
        <v>74</v>
      </c>
      <c r="H132" s="15" t="str">
        <f aca="false">IF(G132="BUG","BUG-"&amp;A132,IF(G132="FUNCTIONAL","FUNCTIONAL-"&amp;A132,""))</f>
        <v/>
      </c>
      <c r="I132" s="15" t="s">
        <v>65</v>
      </c>
      <c r="J132" s="15"/>
      <c r="K132" s="16"/>
      <c r="L132" s="16"/>
    </row>
    <row r="133" customFormat="false" ht="23.25" hidden="false" customHeight="true" outlineLevel="0" collapsed="false">
      <c r="A133" s="14" t="s">
        <v>824</v>
      </c>
      <c r="B133" s="15" t="s">
        <v>430</v>
      </c>
      <c r="C133" s="15" t="s">
        <v>825</v>
      </c>
      <c r="D133" s="15" t="s">
        <v>264</v>
      </c>
      <c r="E133" s="15" t="s">
        <v>826</v>
      </c>
      <c r="F133" s="15" t="s">
        <v>827</v>
      </c>
      <c r="G133" s="15" t="s">
        <v>74</v>
      </c>
      <c r="H133" s="15" t="str">
        <f aca="false">IF(G133="BUG","BUG-"&amp;A133,IF(G133="FUNCTIONAL","FUNCTIONAL-"&amp;A133,""))</f>
        <v/>
      </c>
      <c r="I133" s="15" t="s">
        <v>42</v>
      </c>
      <c r="J133" s="15"/>
      <c r="K133" s="16"/>
      <c r="L133" s="16"/>
    </row>
    <row r="134" customFormat="false" ht="34.5" hidden="false" customHeight="true" outlineLevel="0" collapsed="false">
      <c r="A134" s="14" t="s">
        <v>828</v>
      </c>
      <c r="B134" s="15" t="s">
        <v>430</v>
      </c>
      <c r="C134" s="15" t="s">
        <v>829</v>
      </c>
      <c r="D134" s="15" t="s">
        <v>264</v>
      </c>
      <c r="E134" s="15" t="s">
        <v>830</v>
      </c>
      <c r="F134" s="15" t="s">
        <v>831</v>
      </c>
      <c r="G134" s="15" t="s">
        <v>74</v>
      </c>
      <c r="H134" s="15" t="str">
        <f aca="false">IF(G134="BUG","BUG-"&amp;A134,IF(G134="FUNCTIONAL","FUNCTIONAL-"&amp;A134,""))</f>
        <v/>
      </c>
      <c r="I134" s="15" t="s">
        <v>42</v>
      </c>
      <c r="J134" s="15"/>
      <c r="K134" s="16"/>
      <c r="L134" s="16" t="s">
        <v>832</v>
      </c>
    </row>
    <row r="135" customFormat="false" ht="34.5" hidden="false" customHeight="true" outlineLevel="0" collapsed="false">
      <c r="A135" s="14" t="s">
        <v>833</v>
      </c>
      <c r="B135" s="15" t="s">
        <v>430</v>
      </c>
      <c r="C135" s="15" t="s">
        <v>834</v>
      </c>
      <c r="D135" s="15" t="s">
        <v>264</v>
      </c>
      <c r="E135" s="15" t="s">
        <v>835</v>
      </c>
      <c r="F135" s="15" t="s">
        <v>836</v>
      </c>
      <c r="G135" s="15" t="s">
        <v>74</v>
      </c>
      <c r="H135" s="15" t="str">
        <f aca="false">IF(G135="BUG","BUG-"&amp;A135,IF(G135="FUNCTIONAL","FUNCTIONAL-"&amp;A135,""))</f>
        <v/>
      </c>
      <c r="I135" s="15" t="s">
        <v>56</v>
      </c>
      <c r="J135" s="15"/>
      <c r="K135" s="16"/>
      <c r="L135" s="16" t="s">
        <v>837</v>
      </c>
    </row>
    <row r="136" customFormat="false" ht="23.25" hidden="false" customHeight="true" outlineLevel="0" collapsed="false">
      <c r="A136" s="14" t="s">
        <v>838</v>
      </c>
      <c r="B136" s="15" t="s">
        <v>430</v>
      </c>
      <c r="C136" s="15" t="s">
        <v>839</v>
      </c>
      <c r="D136" s="15" t="s">
        <v>264</v>
      </c>
      <c r="E136" s="15" t="s">
        <v>840</v>
      </c>
      <c r="F136" s="15" t="s">
        <v>841</v>
      </c>
      <c r="G136" s="15" t="s">
        <v>74</v>
      </c>
      <c r="H136" s="15" t="str">
        <f aca="false">IF(G136="BUG","BUG-"&amp;A136,IF(G136="FUNCTIONAL","FUNCTIONAL-"&amp;A136,""))</f>
        <v/>
      </c>
      <c r="I136" s="15" t="s">
        <v>65</v>
      </c>
      <c r="J136" s="15"/>
      <c r="K136" s="16"/>
      <c r="L136" s="16" t="s">
        <v>842</v>
      </c>
    </row>
    <row r="137" customFormat="false" ht="23.25" hidden="false" customHeight="true" outlineLevel="0" collapsed="false">
      <c r="A137" s="14" t="s">
        <v>843</v>
      </c>
      <c r="B137" s="15" t="s">
        <v>430</v>
      </c>
      <c r="C137" s="15" t="s">
        <v>844</v>
      </c>
      <c r="D137" s="15" t="s">
        <v>264</v>
      </c>
      <c r="E137" s="15" t="s">
        <v>845</v>
      </c>
      <c r="F137" s="15" t="s">
        <v>846</v>
      </c>
      <c r="G137" s="15" t="s">
        <v>74</v>
      </c>
      <c r="H137" s="15" t="str">
        <f aca="false">IF(G137="BUG","BUG-"&amp;A137,IF(G137="FUNCTIONAL","FUNCTIONAL-"&amp;A137,""))</f>
        <v/>
      </c>
      <c r="I137" s="15" t="s">
        <v>56</v>
      </c>
      <c r="J137" s="15"/>
      <c r="K137" s="16"/>
      <c r="L137" s="16" t="s">
        <v>847</v>
      </c>
    </row>
    <row r="138" customFormat="false" ht="23.25" hidden="false" customHeight="true" outlineLevel="0" collapsed="false">
      <c r="A138" s="14" t="s">
        <v>848</v>
      </c>
      <c r="B138" s="15" t="s">
        <v>430</v>
      </c>
      <c r="C138" s="15" t="s">
        <v>849</v>
      </c>
      <c r="D138" s="15" t="s">
        <v>264</v>
      </c>
      <c r="E138" s="15" t="s">
        <v>850</v>
      </c>
      <c r="F138" s="15" t="s">
        <v>851</v>
      </c>
      <c r="G138" s="15" t="s">
        <v>74</v>
      </c>
      <c r="H138" s="15" t="str">
        <f aca="false">IF(G138="BUG","BUG-"&amp;A138,IF(G138="FUNCTIONAL","FUNCTIONAL-"&amp;A138,""))</f>
        <v/>
      </c>
      <c r="I138" s="15" t="s">
        <v>56</v>
      </c>
      <c r="J138" s="15"/>
      <c r="K138" s="16"/>
      <c r="L138" s="16" t="s">
        <v>847</v>
      </c>
    </row>
    <row r="139" customFormat="false" ht="34.5" hidden="false" customHeight="true" outlineLevel="0" collapsed="false">
      <c r="A139" s="14" t="s">
        <v>852</v>
      </c>
      <c r="B139" s="15" t="s">
        <v>853</v>
      </c>
      <c r="C139" s="15" t="s">
        <v>854</v>
      </c>
      <c r="D139" s="15" t="s">
        <v>855</v>
      </c>
      <c r="E139" s="15" t="s">
        <v>856</v>
      </c>
      <c r="F139" s="15" t="s">
        <v>857</v>
      </c>
      <c r="G139" s="15" t="s">
        <v>74</v>
      </c>
      <c r="H139" s="15" t="str">
        <f aca="false">IF(G139="BUG","BUG-"&amp;A139,IF(G139="FUNCTIONAL","FUNCTIONAL-"&amp;A139,""))</f>
        <v/>
      </c>
      <c r="I139" s="15" t="s">
        <v>42</v>
      </c>
      <c r="J139" s="15"/>
      <c r="K139" s="16"/>
      <c r="L139" s="16" t="s">
        <v>858</v>
      </c>
    </row>
    <row r="140" customFormat="false" ht="23.25" hidden="false" customHeight="true" outlineLevel="0" collapsed="false">
      <c r="A140" s="14" t="s">
        <v>859</v>
      </c>
      <c r="B140" s="15" t="s">
        <v>860</v>
      </c>
      <c r="C140" s="15" t="s">
        <v>861</v>
      </c>
      <c r="D140" s="15" t="s">
        <v>862</v>
      </c>
      <c r="E140" s="15" t="s">
        <v>863</v>
      </c>
      <c r="F140" s="15" t="s">
        <v>864</v>
      </c>
      <c r="G140" s="15" t="s">
        <v>74</v>
      </c>
      <c r="H140" s="15" t="str">
        <f aca="false">IF(G140="BUG","BUG-"&amp;A140,IF(G140="FUNCTIONAL","FUNCTIONAL-"&amp;A140,""))</f>
        <v/>
      </c>
      <c r="I140" s="15" t="s">
        <v>42</v>
      </c>
      <c r="J140" s="15"/>
      <c r="K140" s="16"/>
      <c r="L140" s="16"/>
    </row>
    <row r="141" customFormat="false" ht="23.25" hidden="false" customHeight="true" outlineLevel="0" collapsed="false">
      <c r="A141" s="14" t="s">
        <v>865</v>
      </c>
      <c r="B141" s="15" t="s">
        <v>860</v>
      </c>
      <c r="C141" s="15" t="s">
        <v>866</v>
      </c>
      <c r="D141" s="15" t="s">
        <v>867</v>
      </c>
      <c r="E141" s="15" t="s">
        <v>868</v>
      </c>
      <c r="F141" s="15" t="s">
        <v>869</v>
      </c>
      <c r="G141" s="15" t="s">
        <v>74</v>
      </c>
      <c r="H141" s="15" t="str">
        <f aca="false">IF(G141="BUG","BUG-"&amp;A141,IF(G141="FUNCTIONAL","FUNCTIONAL-"&amp;A141,""))</f>
        <v/>
      </c>
      <c r="I141" s="15" t="s">
        <v>42</v>
      </c>
      <c r="J141" s="15"/>
      <c r="K141" s="16"/>
      <c r="L141" s="16" t="s">
        <v>870</v>
      </c>
    </row>
    <row r="142" customFormat="false" ht="15" hidden="false" customHeight="true" outlineLevel="0" collapsed="false">
      <c r="A142" s="14" t="s">
        <v>871</v>
      </c>
      <c r="B142" s="15" t="s">
        <v>114</v>
      </c>
      <c r="C142" s="15" t="s">
        <v>872</v>
      </c>
      <c r="D142" s="15" t="s">
        <v>264</v>
      </c>
      <c r="E142" s="15" t="s">
        <v>873</v>
      </c>
      <c r="F142" s="15" t="s">
        <v>874</v>
      </c>
      <c r="G142" s="15" t="s">
        <v>74</v>
      </c>
      <c r="H142" s="15" t="str">
        <f aca="false">IF(G142="BUG","BUG-"&amp;A142,IF(G142="FUNCTIONAL","FUNCTIONAL-"&amp;A142,""))</f>
        <v/>
      </c>
      <c r="I142" s="15" t="s">
        <v>42</v>
      </c>
      <c r="J142" s="15"/>
      <c r="K142" s="16"/>
      <c r="L142" s="16"/>
    </row>
    <row r="143" customFormat="false" ht="23.25" hidden="false" customHeight="true" outlineLevel="0" collapsed="false">
      <c r="A143" s="14" t="s">
        <v>875</v>
      </c>
      <c r="B143" s="15" t="s">
        <v>114</v>
      </c>
      <c r="C143" s="15" t="s">
        <v>876</v>
      </c>
      <c r="D143" s="15" t="s">
        <v>264</v>
      </c>
      <c r="E143" s="15" t="s">
        <v>877</v>
      </c>
      <c r="F143" s="15" t="s">
        <v>878</v>
      </c>
      <c r="G143" s="15" t="s">
        <v>74</v>
      </c>
      <c r="H143" s="15" t="str">
        <f aca="false">IF(G143="BUG","BUG-"&amp;A143,IF(G143="FUNCTIONAL","FUNCTIONAL-"&amp;A143,""))</f>
        <v/>
      </c>
      <c r="I143" s="15" t="s">
        <v>56</v>
      </c>
      <c r="J143" s="15"/>
      <c r="K143" s="16"/>
      <c r="L143" s="16"/>
    </row>
    <row r="144" customFormat="false" ht="57" hidden="false" customHeight="true" outlineLevel="0" collapsed="false">
      <c r="A144" s="14" t="s">
        <v>879</v>
      </c>
      <c r="B144" s="15" t="s">
        <v>114</v>
      </c>
      <c r="C144" s="15" t="s">
        <v>880</v>
      </c>
      <c r="D144" s="15" t="s">
        <v>881</v>
      </c>
      <c r="E144" s="15" t="s">
        <v>882</v>
      </c>
      <c r="F144" s="15" t="s">
        <v>883</v>
      </c>
      <c r="G144" s="15" t="s">
        <v>74</v>
      </c>
      <c r="H144" s="15" t="str">
        <f aca="false">IF(G144="BUG","BUG-"&amp;A144,IF(G144="FUNCTIONAL","FUNCTIONAL-"&amp;A144,""))</f>
        <v/>
      </c>
      <c r="I144" s="15" t="s">
        <v>56</v>
      </c>
      <c r="J144" s="15"/>
      <c r="K144" s="16"/>
      <c r="L144" s="16" t="s">
        <v>884</v>
      </c>
    </row>
    <row r="145" customFormat="false" ht="23.25" hidden="false" customHeight="true" outlineLevel="0" collapsed="false">
      <c r="A145" s="14" t="s">
        <v>885</v>
      </c>
      <c r="B145" s="15" t="s">
        <v>886</v>
      </c>
      <c r="C145" s="15" t="s">
        <v>887</v>
      </c>
      <c r="D145" s="15" t="s">
        <v>855</v>
      </c>
      <c r="E145" s="15" t="s">
        <v>888</v>
      </c>
      <c r="F145" s="15" t="s">
        <v>889</v>
      </c>
      <c r="G145" s="15" t="s">
        <v>74</v>
      </c>
      <c r="H145" s="15" t="str">
        <f aca="false">IF(G145="BUG","BUG-"&amp;A145,IF(G145="FUNCTIONAL","FUNCTIONAL-"&amp;A145,""))</f>
        <v/>
      </c>
      <c r="I145" s="15" t="s">
        <v>42</v>
      </c>
      <c r="J145" s="15"/>
      <c r="K145" s="16"/>
      <c r="L145" s="16"/>
    </row>
    <row r="146" customFormat="false" ht="15" hidden="false" customHeight="true" outlineLevel="0" collapsed="false">
      <c r="A146" s="1" t="s">
        <v>890</v>
      </c>
      <c r="B146" s="1" t="s">
        <v>430</v>
      </c>
      <c r="C146" s="1" t="s">
        <v>891</v>
      </c>
      <c r="D146" s="1" t="s">
        <v>720</v>
      </c>
      <c r="E146" s="1" t="s">
        <v>892</v>
      </c>
      <c r="F146" s="1" t="s">
        <v>893</v>
      </c>
      <c r="G146" s="18" t="s">
        <v>74</v>
      </c>
      <c r="H146" s="1" t="str">
        <f aca="false">IF(G146="BUG","BUG-"&amp;A146,IF(G146="FUNCTIONAL","FUNCTIONAL-"&amp;A146,""))</f>
        <v/>
      </c>
      <c r="I146" s="18" t="s">
        <v>56</v>
      </c>
      <c r="L146" s="1" t="s">
        <v>894</v>
      </c>
    </row>
    <row r="147" customFormat="false" ht="15" hidden="false" customHeight="true" outlineLevel="0" collapsed="false">
      <c r="A147" s="1" t="s">
        <v>895</v>
      </c>
      <c r="B147" s="1" t="s">
        <v>430</v>
      </c>
      <c r="C147" s="1" t="s">
        <v>896</v>
      </c>
      <c r="D147" s="1" t="s">
        <v>720</v>
      </c>
      <c r="E147" s="1" t="s">
        <v>897</v>
      </c>
      <c r="F147" s="1" t="s">
        <v>898</v>
      </c>
      <c r="G147" s="18" t="s">
        <v>74</v>
      </c>
      <c r="H147" s="1" t="str">
        <f aca="false">IF(G147="BUG","BUG-"&amp;A147,IF(G147="FUNCTIONAL","FUNCTIONAL-"&amp;A147,""))</f>
        <v/>
      </c>
      <c r="I147" s="18" t="s">
        <v>42</v>
      </c>
      <c r="L147" s="1" t="s">
        <v>899</v>
      </c>
    </row>
    <row r="148" customFormat="false" ht="15" hidden="false" customHeight="true" outlineLevel="0" collapsed="false">
      <c r="A148" s="1" t="s">
        <v>900</v>
      </c>
      <c r="B148" s="1" t="s">
        <v>860</v>
      </c>
      <c r="C148" s="1" t="s">
        <v>901</v>
      </c>
      <c r="D148" s="1" t="s">
        <v>902</v>
      </c>
      <c r="E148" s="1" t="s">
        <v>903</v>
      </c>
      <c r="F148" s="1" t="s">
        <v>904</v>
      </c>
      <c r="G148" s="18" t="s">
        <v>74</v>
      </c>
      <c r="H148" s="1" t="str">
        <f aca="false">IF(G148="BUG","BUG-"&amp;A148,IF(G148="FUNCTIONAL","FUNCTIONAL-"&amp;A148,""))</f>
        <v/>
      </c>
      <c r="I148" s="18" t="s">
        <v>56</v>
      </c>
      <c r="L148" s="1" t="s">
        <v>905</v>
      </c>
    </row>
    <row r="149" customFormat="false" ht="15" hidden="false" customHeight="true" outlineLevel="0" collapsed="false">
      <c r="A149" s="1" t="s">
        <v>906</v>
      </c>
      <c r="B149" s="1" t="s">
        <v>430</v>
      </c>
      <c r="C149" s="1" t="s">
        <v>907</v>
      </c>
      <c r="D149" s="1" t="s">
        <v>908</v>
      </c>
      <c r="E149" s="1" t="s">
        <v>909</v>
      </c>
      <c r="F149" s="1" t="s">
        <v>910</v>
      </c>
      <c r="G149" s="18" t="s">
        <v>55</v>
      </c>
      <c r="H149" s="1" t="str">
        <f aca="false">IF(G149="BUG","BUG-"&amp;A149,IF(G149="FUNCTIONAL","FUNCTIONAL-"&amp;A149,""))</f>
        <v>BUG-TC-150</v>
      </c>
      <c r="I149" s="18" t="s">
        <v>65</v>
      </c>
      <c r="K149" s="1" t="s">
        <v>198</v>
      </c>
      <c r="L149" s="1" t="s">
        <v>911</v>
      </c>
    </row>
    <row r="150" customFormat="false" ht="15" hidden="false" customHeight="true" outlineLevel="0" collapsed="false">
      <c r="A150" s="1" t="s">
        <v>912</v>
      </c>
      <c r="B150" s="1" t="s">
        <v>114</v>
      </c>
      <c r="C150" s="1" t="s">
        <v>913</v>
      </c>
      <c r="D150" s="1" t="s">
        <v>914</v>
      </c>
      <c r="E150" s="1" t="s">
        <v>915</v>
      </c>
      <c r="F150" s="1" t="s">
        <v>916</v>
      </c>
      <c r="G150" s="18" t="s">
        <v>74</v>
      </c>
      <c r="H150" s="1" t="str">
        <f aca="false">IF(G150="BUG","BUG-"&amp;A150,IF(G150="FUNCTIONAL","FUNCTIONAL-"&amp;A150,""))</f>
        <v/>
      </c>
      <c r="I150" s="18" t="s">
        <v>42</v>
      </c>
      <c r="L150" s="1" t="s">
        <v>917</v>
      </c>
    </row>
    <row r="151" customFormat="false" ht="15" hidden="false" customHeight="true" outlineLevel="0" collapsed="false">
      <c r="A151" s="1" t="s">
        <v>918</v>
      </c>
      <c r="B151" s="1" t="s">
        <v>860</v>
      </c>
      <c r="C151" s="1" t="s">
        <v>919</v>
      </c>
      <c r="D151" s="1" t="s">
        <v>920</v>
      </c>
      <c r="E151" s="1" t="s">
        <v>921</v>
      </c>
      <c r="F151" s="1" t="s">
        <v>922</v>
      </c>
      <c r="G151" s="18" t="s">
        <v>74</v>
      </c>
      <c r="H151" s="1" t="str">
        <f aca="false">IF(G151="BUG","BUG-"&amp;A151,IF(G151="FUNCTIONAL","FUNCTIONAL-"&amp;A151,""))</f>
        <v/>
      </c>
      <c r="I151" s="18" t="s">
        <v>42</v>
      </c>
      <c r="L151" s="1" t="s">
        <v>923</v>
      </c>
    </row>
    <row r="152" customFormat="false" ht="15" hidden="false" customHeight="true" outlineLevel="0" collapsed="false">
      <c r="A152" s="1" t="s">
        <v>924</v>
      </c>
      <c r="B152" s="1" t="s">
        <v>631</v>
      </c>
      <c r="C152" s="1" t="s">
        <v>925</v>
      </c>
      <c r="D152" s="1" t="s">
        <v>656</v>
      </c>
      <c r="E152" s="1" t="s">
        <v>926</v>
      </c>
      <c r="F152" s="1" t="s">
        <v>927</v>
      </c>
      <c r="G152" s="18" t="s">
        <v>74</v>
      </c>
      <c r="H152" s="1" t="str">
        <f aca="false">IF(G152="BUG","BUG-"&amp;A152,IF(G152="FUNCTIONAL","FUNCTIONAL-"&amp;A152,""))</f>
        <v/>
      </c>
      <c r="I152" s="18" t="s">
        <v>65</v>
      </c>
      <c r="K152" s="1" t="s">
        <v>198</v>
      </c>
      <c r="L152" s="1" t="s">
        <v>928</v>
      </c>
    </row>
    <row r="153" customFormat="false" ht="15" hidden="false" customHeight="true" outlineLevel="0" collapsed="false">
      <c r="A153" s="1" t="s">
        <v>929</v>
      </c>
      <c r="B153" s="1" t="s">
        <v>631</v>
      </c>
      <c r="C153" s="1" t="s">
        <v>930</v>
      </c>
      <c r="D153" s="1" t="s">
        <v>931</v>
      </c>
      <c r="E153" s="1" t="s">
        <v>932</v>
      </c>
      <c r="F153" s="1" t="s">
        <v>933</v>
      </c>
      <c r="G153" s="18" t="s">
        <v>74</v>
      </c>
      <c r="H153" s="1" t="str">
        <f aca="false">IF(G153="BUG","BUG-"&amp;A153,IF(G153="FUNCTIONAL","FUNCTIONAL-"&amp;A153,""))</f>
        <v/>
      </c>
      <c r="I153" s="18" t="s">
        <v>42</v>
      </c>
      <c r="K153" s="1" t="s">
        <v>198</v>
      </c>
      <c r="L153" s="1" t="s">
        <v>934</v>
      </c>
    </row>
    <row r="154" customFormat="false" ht="15" hidden="false" customHeight="true" outlineLevel="0" collapsed="false">
      <c r="A154" s="1" t="s">
        <v>935</v>
      </c>
      <c r="B154" s="1" t="s">
        <v>631</v>
      </c>
      <c r="C154" s="1" t="s">
        <v>936</v>
      </c>
      <c r="D154" s="1" t="s">
        <v>937</v>
      </c>
      <c r="E154" s="1" t="s">
        <v>938</v>
      </c>
      <c r="F154" s="1" t="s">
        <v>939</v>
      </c>
      <c r="G154" s="18" t="s">
        <v>74</v>
      </c>
      <c r="H154" s="1" t="str">
        <f aca="false">IF(G154="BUG","BUG-"&amp;A154,IF(G154="FUNCTIONAL","FUNCTIONAL-"&amp;A154,""))</f>
        <v/>
      </c>
      <c r="I154" s="18" t="s">
        <v>56</v>
      </c>
      <c r="K154" s="1" t="s">
        <v>198</v>
      </c>
      <c r="L154" s="1" t="s">
        <v>940</v>
      </c>
    </row>
    <row r="155" customFormat="false" ht="15" hidden="false" customHeight="true" outlineLevel="0" collapsed="false">
      <c r="A155" s="1" t="s">
        <v>941</v>
      </c>
      <c r="B155" s="1" t="s">
        <v>631</v>
      </c>
      <c r="C155" s="1" t="s">
        <v>942</v>
      </c>
      <c r="D155" s="1" t="s">
        <v>943</v>
      </c>
      <c r="E155" s="1" t="s">
        <v>944</v>
      </c>
      <c r="F155" s="1" t="s">
        <v>945</v>
      </c>
      <c r="G155" s="18" t="s">
        <v>74</v>
      </c>
      <c r="H155" s="1" t="str">
        <f aca="false">IF(G155="BUG","BUG-"&amp;A155,IF(G155="FUNCTIONAL","FUNCTIONAL-"&amp;A155,""))</f>
        <v/>
      </c>
      <c r="I155" s="18" t="s">
        <v>42</v>
      </c>
      <c r="K155" s="1" t="s">
        <v>198</v>
      </c>
      <c r="L155" s="1" t="s">
        <v>946</v>
      </c>
    </row>
    <row r="156" customFormat="false" ht="15" hidden="false" customHeight="true" outlineLevel="0" collapsed="false">
      <c r="A156" s="1" t="s">
        <v>947</v>
      </c>
      <c r="B156" s="1" t="s">
        <v>144</v>
      </c>
      <c r="C156" s="1" t="s">
        <v>948</v>
      </c>
      <c r="D156" s="1" t="s">
        <v>949</v>
      </c>
      <c r="E156" s="1" t="s">
        <v>950</v>
      </c>
      <c r="F156" s="1" t="s">
        <v>951</v>
      </c>
      <c r="G156" s="18" t="s">
        <v>74</v>
      </c>
      <c r="H156" s="1" t="str">
        <f aca="false">IF(G156="BUG","BUG-"&amp;A156,IF(G156="FUNCTIONAL","FUNCTIONAL-"&amp;A156,""))</f>
        <v/>
      </c>
      <c r="I156" s="18" t="s">
        <v>42</v>
      </c>
      <c r="K156" s="1" t="s">
        <v>198</v>
      </c>
      <c r="L156" s="1" t="s">
        <v>952</v>
      </c>
    </row>
    <row r="157" customFormat="false" ht="15" hidden="false" customHeight="true" outlineLevel="0" collapsed="false">
      <c r="A157" s="1" t="s">
        <v>953</v>
      </c>
      <c r="B157" s="1" t="s">
        <v>226</v>
      </c>
      <c r="C157" s="1" t="s">
        <v>954</v>
      </c>
      <c r="D157" s="1" t="s">
        <v>955</v>
      </c>
      <c r="E157" s="1" t="s">
        <v>956</v>
      </c>
      <c r="F157" s="1" t="s">
        <v>957</v>
      </c>
      <c r="G157" s="18" t="s">
        <v>74</v>
      </c>
      <c r="H157" s="1" t="str">
        <f aca="false">IF(G157="BUG","BUG-"&amp;A157,IF(G157="FUNCTIONAL","FUNCTIONAL-"&amp;A157,""))</f>
        <v/>
      </c>
      <c r="I157" s="18" t="s">
        <v>42</v>
      </c>
      <c r="K157" s="1" t="s">
        <v>198</v>
      </c>
      <c r="L157" s="1" t="s">
        <v>958</v>
      </c>
    </row>
    <row r="158" customFormat="false" ht="15" hidden="false" customHeight="true" outlineLevel="0" collapsed="false">
      <c r="A158" s="1" t="s">
        <v>959</v>
      </c>
      <c r="B158" s="1" t="s">
        <v>201</v>
      </c>
      <c r="C158" s="1" t="s">
        <v>960</v>
      </c>
      <c r="D158" s="1" t="s">
        <v>961</v>
      </c>
      <c r="E158" s="1" t="s">
        <v>962</v>
      </c>
      <c r="F158" s="1" t="s">
        <v>963</v>
      </c>
      <c r="G158" s="18" t="s">
        <v>74</v>
      </c>
      <c r="H158" s="1" t="str">
        <f aca="false">IF(G158="BUG","BUG-"&amp;A158,IF(G158="FUNCTIONAL","FUNCTIONAL-"&amp;A158,""))</f>
        <v/>
      </c>
      <c r="I158" s="18" t="s">
        <v>42</v>
      </c>
      <c r="K158" s="1" t="s">
        <v>198</v>
      </c>
      <c r="L158" s="1" t="s">
        <v>964</v>
      </c>
    </row>
    <row r="159" customFormat="false" ht="15" hidden="false" customHeight="true" outlineLevel="0" collapsed="false">
      <c r="A159" s="1" t="s">
        <v>965</v>
      </c>
      <c r="B159" s="1" t="s">
        <v>201</v>
      </c>
      <c r="C159" s="1" t="s">
        <v>966</v>
      </c>
      <c r="D159" s="1" t="s">
        <v>967</v>
      </c>
      <c r="E159" s="1" t="s">
        <v>968</v>
      </c>
      <c r="F159" s="1" t="s">
        <v>969</v>
      </c>
      <c r="G159" s="18" t="s">
        <v>74</v>
      </c>
      <c r="H159" s="1" t="str">
        <f aca="false">IF(G159="BUG","BUG-"&amp;A159,IF(G159="FUNCTIONAL","FUNCTIONAL-"&amp;A159,""))</f>
        <v/>
      </c>
      <c r="I159" s="18" t="s">
        <v>65</v>
      </c>
      <c r="K159" s="1" t="s">
        <v>198</v>
      </c>
      <c r="L159" s="1" t="s">
        <v>970</v>
      </c>
    </row>
    <row r="160" customFormat="false" ht="15" hidden="false" customHeight="true" outlineLevel="0" collapsed="false">
      <c r="A160" s="1" t="s">
        <v>971</v>
      </c>
      <c r="B160" s="1" t="s">
        <v>201</v>
      </c>
      <c r="C160" s="1" t="s">
        <v>972</v>
      </c>
      <c r="D160" s="1" t="s">
        <v>973</v>
      </c>
      <c r="E160" s="1" t="s">
        <v>974</v>
      </c>
      <c r="F160" s="1" t="s">
        <v>975</v>
      </c>
      <c r="G160" s="18" t="s">
        <v>74</v>
      </c>
      <c r="H160" s="1" t="str">
        <f aca="false">IF(G160="BUG","BUG-"&amp;A160,IF(G160="FUNCTIONAL","FUNCTIONAL-"&amp;A160,""))</f>
        <v/>
      </c>
      <c r="I160" s="18" t="s">
        <v>42</v>
      </c>
      <c r="L160" s="1" t="s">
        <v>976</v>
      </c>
    </row>
    <row r="161" customFormat="false" ht="15" hidden="false" customHeight="true" outlineLevel="0" collapsed="false">
      <c r="A161" s="1" t="s">
        <v>977</v>
      </c>
      <c r="B161" s="1" t="s">
        <v>978</v>
      </c>
      <c r="C161" s="1" t="s">
        <v>979</v>
      </c>
      <c r="D161" s="1" t="s">
        <v>980</v>
      </c>
      <c r="E161" s="1" t="s">
        <v>981</v>
      </c>
      <c r="F161" s="1" t="s">
        <v>982</v>
      </c>
      <c r="G161" s="18" t="s">
        <v>74</v>
      </c>
      <c r="H161" s="1" t="str">
        <f aca="false">IF(G161="BUG","BUG-"&amp;A161,IF(G161="FUNCTIONAL","FUNCTIONAL-"&amp;A161,""))</f>
        <v/>
      </c>
      <c r="I161" s="18" t="s">
        <v>42</v>
      </c>
      <c r="L161" s="1" t="s">
        <v>983</v>
      </c>
    </row>
    <row r="162" customFormat="false" ht="15" hidden="false" customHeight="true" outlineLevel="0" collapsed="false">
      <c r="A162" s="1" t="s">
        <v>984</v>
      </c>
      <c r="B162" s="1" t="s">
        <v>978</v>
      </c>
      <c r="C162" s="1" t="s">
        <v>985</v>
      </c>
      <c r="D162" s="1" t="s">
        <v>986</v>
      </c>
      <c r="E162" s="1" t="s">
        <v>987</v>
      </c>
      <c r="F162" s="1" t="s">
        <v>988</v>
      </c>
      <c r="G162" s="18" t="s">
        <v>74</v>
      </c>
      <c r="H162" s="1" t="str">
        <f aca="false">IF(G162="BUG","BUG-"&amp;A162,IF(G162="FUNCTIONAL","FUNCTIONAL-"&amp;A162,""))</f>
        <v/>
      </c>
      <c r="I162" s="18" t="s">
        <v>56</v>
      </c>
      <c r="L162" s="1" t="s">
        <v>989</v>
      </c>
    </row>
    <row r="163" customFormat="false" ht="15" hidden="false" customHeight="true" outlineLevel="0" collapsed="false">
      <c r="A163" s="1" t="s">
        <v>990</v>
      </c>
      <c r="B163" s="1" t="s">
        <v>991</v>
      </c>
      <c r="C163" s="1" t="s">
        <v>992</v>
      </c>
      <c r="D163" s="1" t="s">
        <v>993</v>
      </c>
      <c r="E163" s="1" t="s">
        <v>994</v>
      </c>
      <c r="F163" s="1" t="s">
        <v>995</v>
      </c>
      <c r="G163" s="18" t="s">
        <v>74</v>
      </c>
      <c r="H163" s="1" t="str">
        <f aca="false">IF(G163="BUG","BUG-"&amp;A163,IF(G163="FUNCTIONAL","FUNCTIONAL-"&amp;A163,""))</f>
        <v/>
      </c>
      <c r="I163" s="18" t="s">
        <v>56</v>
      </c>
      <c r="L163" s="1" t="s">
        <v>996</v>
      </c>
    </row>
    <row r="164" customFormat="false" ht="15" hidden="false" customHeight="true" outlineLevel="0" collapsed="false">
      <c r="A164" s="1" t="s">
        <v>997</v>
      </c>
      <c r="B164" s="1" t="s">
        <v>991</v>
      </c>
      <c r="C164" s="1" t="s">
        <v>998</v>
      </c>
      <c r="D164" s="1" t="s">
        <v>999</v>
      </c>
      <c r="E164" s="1" t="s">
        <v>1000</v>
      </c>
      <c r="F164" s="1" t="s">
        <v>1001</v>
      </c>
      <c r="G164" s="18" t="s">
        <v>74</v>
      </c>
      <c r="H164" s="1" t="str">
        <f aca="false">IF(G164="BUG","BUG-"&amp;A164,IF(G164="FUNCTIONAL","FUNCTIONAL-"&amp;A164,""))</f>
        <v/>
      </c>
      <c r="I164" s="18" t="s">
        <v>65</v>
      </c>
      <c r="L164" s="1" t="s">
        <v>1002</v>
      </c>
    </row>
    <row r="165" customFormat="false" ht="15" hidden="false" customHeight="true" outlineLevel="0" collapsed="false">
      <c r="A165" s="1" t="s">
        <v>1003</v>
      </c>
      <c r="B165" s="1" t="s">
        <v>114</v>
      </c>
      <c r="C165" s="1" t="s">
        <v>1004</v>
      </c>
      <c r="D165" s="1" t="s">
        <v>1005</v>
      </c>
      <c r="E165" s="1" t="s">
        <v>1006</v>
      </c>
      <c r="F165" s="1" t="s">
        <v>1007</v>
      </c>
      <c r="G165" s="18" t="s">
        <v>74</v>
      </c>
      <c r="H165" s="1" t="str">
        <f aca="false">IF(G165="BUG","BUG-"&amp;A165,IF(G165="FUNCTIONAL","FUNCTIONAL-"&amp;A165,""))</f>
        <v/>
      </c>
      <c r="I165" s="18" t="s">
        <v>65</v>
      </c>
      <c r="L165" s="1" t="s">
        <v>1008</v>
      </c>
    </row>
    <row r="166" customFormat="false" ht="15" hidden="false" customHeight="true" outlineLevel="0" collapsed="false">
      <c r="A166" s="1" t="s">
        <v>1009</v>
      </c>
      <c r="B166" s="1" t="s">
        <v>631</v>
      </c>
      <c r="C166" s="1" t="s">
        <v>1010</v>
      </c>
      <c r="D166" s="1" t="s">
        <v>1011</v>
      </c>
      <c r="E166" s="1" t="s">
        <v>1012</v>
      </c>
      <c r="F166" s="1" t="s">
        <v>1013</v>
      </c>
      <c r="G166" s="18" t="s">
        <v>74</v>
      </c>
      <c r="H166" s="1" t="str">
        <f aca="false">IF(G166="BUG","BUG-"&amp;A166,IF(G166="FUNCTIONAL","FUNCTIONAL-"&amp;A166,""))</f>
        <v/>
      </c>
      <c r="I166" s="18" t="s">
        <v>65</v>
      </c>
      <c r="L166" s="1" t="s">
        <v>1014</v>
      </c>
    </row>
    <row r="167" customFormat="false" ht="15" hidden="false" customHeight="true" outlineLevel="0" collapsed="false">
      <c r="A167" s="1" t="s">
        <v>1015</v>
      </c>
      <c r="B167" s="1" t="s">
        <v>144</v>
      </c>
      <c r="C167" s="1" t="s">
        <v>1016</v>
      </c>
      <c r="D167" s="1" t="s">
        <v>61</v>
      </c>
      <c r="E167" s="1" t="s">
        <v>1017</v>
      </c>
      <c r="F167" s="1" t="s">
        <v>1018</v>
      </c>
      <c r="G167" s="18" t="s">
        <v>74</v>
      </c>
      <c r="H167" s="1" t="str">
        <f aca="false">IF(G167="BUG","BUG-"&amp;A167,IF(G167="FUNCTIONAL","FUNCTIONAL-"&amp;A167,""))</f>
        <v/>
      </c>
      <c r="I167" s="18" t="s">
        <v>56</v>
      </c>
      <c r="L167" s="1" t="s">
        <v>1019</v>
      </c>
    </row>
    <row r="168" customFormat="false" ht="15" hidden="false" customHeight="true" outlineLevel="0" collapsed="false">
      <c r="A168" s="1" t="s">
        <v>1020</v>
      </c>
      <c r="B168" s="1" t="s">
        <v>144</v>
      </c>
      <c r="C168" s="1" t="s">
        <v>1021</v>
      </c>
      <c r="D168" s="1" t="s">
        <v>61</v>
      </c>
      <c r="E168" s="1" t="s">
        <v>1022</v>
      </c>
      <c r="F168" s="1" t="s">
        <v>1023</v>
      </c>
      <c r="G168" s="18" t="s">
        <v>74</v>
      </c>
      <c r="H168" s="1" t="str">
        <f aca="false">IF(G168="BUG","BUG-"&amp;A168,IF(G168="FUNCTIONAL","FUNCTIONAL-"&amp;A168,""))</f>
        <v/>
      </c>
      <c r="I168" s="18" t="s">
        <v>65</v>
      </c>
      <c r="L168" s="1" t="s">
        <v>1024</v>
      </c>
    </row>
    <row r="169" customFormat="false" ht="15" hidden="false" customHeight="true" outlineLevel="0" collapsed="false">
      <c r="A169" s="1" t="s">
        <v>1025</v>
      </c>
      <c r="B169" s="1" t="s">
        <v>430</v>
      </c>
      <c r="C169" s="1" t="s">
        <v>1026</v>
      </c>
      <c r="D169" s="1" t="s">
        <v>1027</v>
      </c>
      <c r="E169" s="1" t="s">
        <v>1028</v>
      </c>
      <c r="F169" s="1" t="s">
        <v>1029</v>
      </c>
      <c r="G169" s="18" t="s">
        <v>74</v>
      </c>
      <c r="H169" s="1" t="str">
        <f aca="false">IF(G169="BUG","BUG-"&amp;A169,IF(G169="FUNCTIONAL","FUNCTIONAL-"&amp;A169,""))</f>
        <v/>
      </c>
      <c r="I169" s="18" t="s">
        <v>56</v>
      </c>
      <c r="L169" s="1" t="s">
        <v>1030</v>
      </c>
    </row>
    <row r="170" customFormat="false" ht="15" hidden="false" customHeight="true" outlineLevel="0" collapsed="false">
      <c r="A170" s="1" t="s">
        <v>1031</v>
      </c>
      <c r="B170" s="1" t="s">
        <v>430</v>
      </c>
      <c r="C170" s="1" t="s">
        <v>1032</v>
      </c>
      <c r="D170" s="1" t="s">
        <v>1033</v>
      </c>
      <c r="E170" s="1" t="s">
        <v>1034</v>
      </c>
      <c r="F170" s="1" t="s">
        <v>1035</v>
      </c>
      <c r="G170" s="18" t="s">
        <v>74</v>
      </c>
      <c r="H170" s="1" t="str">
        <f aca="false">IF(G170="BUG","BUG-"&amp;A170,IF(G170="FUNCTIONAL","FUNCTIONAL-"&amp;A170,""))</f>
        <v/>
      </c>
      <c r="I170" s="18" t="s">
        <v>42</v>
      </c>
      <c r="L170" s="1" t="s">
        <v>1036</v>
      </c>
    </row>
    <row r="171" customFormat="false" ht="15" hidden="false" customHeight="true" outlineLevel="0" collapsed="false">
      <c r="A171" s="1" t="s">
        <v>1037</v>
      </c>
      <c r="B171" s="1" t="s">
        <v>201</v>
      </c>
      <c r="C171" s="1" t="s">
        <v>1038</v>
      </c>
      <c r="D171" s="1" t="s">
        <v>1039</v>
      </c>
      <c r="E171" s="1" t="s">
        <v>1040</v>
      </c>
      <c r="F171" s="1" t="s">
        <v>1041</v>
      </c>
      <c r="G171" s="18" t="s">
        <v>74</v>
      </c>
      <c r="H171" s="1" t="str">
        <f aca="false">IF(G171="BUG","BUG-"&amp;A171,IF(G171="FUNCTIONAL","FUNCTIONAL-"&amp;A171,""))</f>
        <v/>
      </c>
      <c r="I171" s="18" t="s">
        <v>56</v>
      </c>
      <c r="L171" s="1" t="s">
        <v>1042</v>
      </c>
    </row>
    <row r="172" customFormat="false" ht="15" hidden="false" customHeight="true" outlineLevel="0" collapsed="false">
      <c r="A172" s="1" t="s">
        <v>1043</v>
      </c>
      <c r="B172" s="1" t="s">
        <v>430</v>
      </c>
      <c r="C172" s="1" t="s">
        <v>1044</v>
      </c>
      <c r="D172" s="1" t="s">
        <v>61</v>
      </c>
      <c r="E172" s="1" t="s">
        <v>1045</v>
      </c>
      <c r="F172" s="1" t="s">
        <v>1046</v>
      </c>
      <c r="G172" s="18" t="s">
        <v>74</v>
      </c>
      <c r="H172" s="1" t="str">
        <f aca="false">IF(G172="BUG","BUG-"&amp;A172,IF(G172="FUNCTIONAL","FUNCTIONAL-"&amp;A172,""))</f>
        <v/>
      </c>
      <c r="I172" s="18" t="s">
        <v>65</v>
      </c>
      <c r="L172" s="1" t="s">
        <v>1047</v>
      </c>
    </row>
    <row r="173" customFormat="false" ht="15" hidden="false" customHeight="true" outlineLevel="0" collapsed="false">
      <c r="A173" s="1" t="s">
        <v>1048</v>
      </c>
      <c r="B173" s="1" t="s">
        <v>1049</v>
      </c>
      <c r="C173" s="1" t="s">
        <v>1050</v>
      </c>
      <c r="D173" s="1" t="s">
        <v>1051</v>
      </c>
      <c r="E173" s="1" t="s">
        <v>1052</v>
      </c>
      <c r="F173" s="1" t="s">
        <v>1053</v>
      </c>
      <c r="G173" s="18" t="s">
        <v>74</v>
      </c>
      <c r="H173" s="1" t="str">
        <f aca="false">IF(G173="BUG","BUG-"&amp;A173,IF(G173="FUNCTIONAL","FUNCTIONAL-"&amp;A173,""))</f>
        <v/>
      </c>
      <c r="I173" s="18" t="s">
        <v>56</v>
      </c>
      <c r="L173" s="1" t="s">
        <v>1054</v>
      </c>
    </row>
    <row r="174" customFormat="false" ht="15" hidden="false" customHeight="true" outlineLevel="0" collapsed="false">
      <c r="A174" s="1" t="s">
        <v>1055</v>
      </c>
      <c r="B174" s="1" t="s">
        <v>1049</v>
      </c>
      <c r="C174" s="1" t="s">
        <v>1056</v>
      </c>
      <c r="D174" s="1" t="s">
        <v>1051</v>
      </c>
      <c r="E174" s="1" t="s">
        <v>1057</v>
      </c>
      <c r="F174" s="1" t="s">
        <v>1058</v>
      </c>
      <c r="G174" s="18" t="s">
        <v>74</v>
      </c>
      <c r="H174" s="1" t="str">
        <f aca="false">IF(G174="BUG","BUG-"&amp;A174,IF(G174="FUNCTIONAL","FUNCTIONAL-"&amp;A174,""))</f>
        <v/>
      </c>
      <c r="I174" s="18" t="s">
        <v>56</v>
      </c>
      <c r="L174" s="1" t="s">
        <v>1059</v>
      </c>
    </row>
    <row r="175" customFormat="false" ht="15" hidden="false" customHeight="true" outlineLevel="0" collapsed="false">
      <c r="A175" s="1" t="s">
        <v>1060</v>
      </c>
      <c r="B175" s="1" t="s">
        <v>1049</v>
      </c>
      <c r="C175" s="1" t="s">
        <v>1061</v>
      </c>
      <c r="D175" s="1" t="s">
        <v>1051</v>
      </c>
      <c r="E175" s="1" t="s">
        <v>1062</v>
      </c>
      <c r="F175" s="1" t="s">
        <v>1063</v>
      </c>
      <c r="G175" s="18" t="s">
        <v>74</v>
      </c>
      <c r="H175" s="1" t="str">
        <f aca="false">IF(G175="BUG","BUG-"&amp;A175,IF(G175="FUNCTIONAL","FUNCTIONAL-"&amp;A175,""))</f>
        <v/>
      </c>
      <c r="I175" s="18" t="s">
        <v>65</v>
      </c>
      <c r="L175" s="1" t="s">
        <v>1064</v>
      </c>
    </row>
    <row r="176" customFormat="false" ht="15" hidden="false" customHeight="true" outlineLevel="0" collapsed="false">
      <c r="A176" s="1" t="s">
        <v>1065</v>
      </c>
      <c r="B176" s="1" t="s">
        <v>978</v>
      </c>
      <c r="C176" s="1" t="s">
        <v>1066</v>
      </c>
      <c r="D176" s="1" t="s">
        <v>61</v>
      </c>
      <c r="E176" s="1" t="s">
        <v>1067</v>
      </c>
      <c r="F176" s="1" t="s">
        <v>1068</v>
      </c>
      <c r="G176" s="18" t="s">
        <v>74</v>
      </c>
      <c r="H176" s="1" t="str">
        <f aca="false">IF(G176="BUG","BUG-"&amp;A176,IF(G176="FUNCTIONAL","FUNCTIONAL-"&amp;A176,""))</f>
        <v/>
      </c>
      <c r="I176" s="18" t="s">
        <v>56</v>
      </c>
      <c r="L176" s="1" t="s">
        <v>1069</v>
      </c>
    </row>
    <row r="177" customFormat="false" ht="15" hidden="false" customHeight="true" outlineLevel="0" collapsed="false">
      <c r="A177" s="1" t="s">
        <v>1070</v>
      </c>
      <c r="B177" s="1" t="s">
        <v>114</v>
      </c>
      <c r="C177" s="1" t="s">
        <v>1071</v>
      </c>
      <c r="D177" s="1" t="s">
        <v>1072</v>
      </c>
      <c r="E177" s="1" t="s">
        <v>1073</v>
      </c>
      <c r="F177" s="1" t="s">
        <v>1074</v>
      </c>
      <c r="G177" s="18" t="s">
        <v>74</v>
      </c>
      <c r="H177" s="1" t="str">
        <f aca="false">IF(G177="BUG","BUG-"&amp;A177,IF(G177="FUNCTIONAL","FUNCTIONAL-"&amp;A177,""))</f>
        <v/>
      </c>
      <c r="I177" s="18" t="s">
        <v>56</v>
      </c>
      <c r="L177" s="1" t="s">
        <v>1075</v>
      </c>
    </row>
    <row r="178" customFormat="false" ht="15" hidden="false" customHeight="true" outlineLevel="0" collapsed="false">
      <c r="A178" s="1" t="s">
        <v>1076</v>
      </c>
      <c r="B178" s="1" t="s">
        <v>631</v>
      </c>
      <c r="C178" s="1" t="s">
        <v>1077</v>
      </c>
      <c r="D178" s="1" t="s">
        <v>1078</v>
      </c>
      <c r="E178" s="1" t="s">
        <v>1079</v>
      </c>
      <c r="F178" s="1" t="s">
        <v>1080</v>
      </c>
      <c r="G178" s="18" t="s">
        <v>74</v>
      </c>
      <c r="H178" s="1" t="str">
        <f aca="false">IF(G178="BUG","BUG-"&amp;A178,IF(G178="FUNCTIONAL","FUNCTIONAL-"&amp;A178,""))</f>
        <v/>
      </c>
      <c r="I178" s="18" t="s">
        <v>65</v>
      </c>
      <c r="L178" s="1" t="s">
        <v>1081</v>
      </c>
    </row>
    <row r="179" customFormat="false" ht="15" hidden="false" customHeight="true" outlineLevel="0" collapsed="false">
      <c r="A179" s="1" t="s">
        <v>1082</v>
      </c>
      <c r="B179" s="1" t="s">
        <v>631</v>
      </c>
      <c r="C179" s="1" t="s">
        <v>1083</v>
      </c>
      <c r="D179" s="1" t="s">
        <v>1084</v>
      </c>
      <c r="E179" s="1" t="s">
        <v>1085</v>
      </c>
      <c r="F179" s="1" t="s">
        <v>1086</v>
      </c>
      <c r="G179" s="18" t="s">
        <v>74</v>
      </c>
      <c r="H179" s="1" t="str">
        <f aca="false">IF(G179="BUG","BUG-"&amp;A179,IF(G179="FUNCTIONAL","FUNCTIONAL-"&amp;A179,""))</f>
        <v/>
      </c>
      <c r="I179" s="18" t="s">
        <v>65</v>
      </c>
      <c r="L179" s="1" t="s">
        <v>1087</v>
      </c>
    </row>
    <row r="180" customFormat="false" ht="15" hidden="false" customHeight="true" outlineLevel="0" collapsed="false">
      <c r="A180" s="1" t="s">
        <v>1088</v>
      </c>
      <c r="B180" s="1" t="s">
        <v>430</v>
      </c>
      <c r="C180" s="1" t="s">
        <v>1089</v>
      </c>
      <c r="D180" s="1" t="s">
        <v>1090</v>
      </c>
      <c r="E180" s="1" t="s">
        <v>1091</v>
      </c>
      <c r="F180" s="1" t="s">
        <v>1092</v>
      </c>
      <c r="G180" s="18" t="s">
        <v>74</v>
      </c>
      <c r="H180" s="1" t="str">
        <f aca="false">IF(G180="BUG","BUG-"&amp;A180,IF(G180="FUNCTIONAL","FUNCTIONAL-"&amp;A180,""))</f>
        <v/>
      </c>
      <c r="I180" s="18" t="s">
        <v>56</v>
      </c>
      <c r="L180" s="1" t="s">
        <v>1093</v>
      </c>
    </row>
    <row r="181" customFormat="false" ht="15" hidden="false" customHeight="true" outlineLevel="0" collapsed="false">
      <c r="A181" s="1" t="s">
        <v>1094</v>
      </c>
      <c r="B181" s="1" t="s">
        <v>853</v>
      </c>
      <c r="C181" s="1" t="s">
        <v>1095</v>
      </c>
      <c r="D181" s="1" t="s">
        <v>61</v>
      </c>
      <c r="E181" s="1" t="s">
        <v>1096</v>
      </c>
      <c r="F181" s="1" t="s">
        <v>1097</v>
      </c>
      <c r="G181" s="18" t="s">
        <v>74</v>
      </c>
      <c r="H181" s="1" t="str">
        <f aca="false">IF(G181="BUG","BUG-"&amp;A181,IF(G181="FUNCTIONAL","FUNCTIONAL-"&amp;A181,""))</f>
        <v/>
      </c>
      <c r="I181" s="18" t="s">
        <v>56</v>
      </c>
      <c r="L181" s="1" t="s">
        <v>1098</v>
      </c>
    </row>
    <row r="182" customFormat="false" ht="15" hidden="false" customHeight="true" outlineLevel="0" collapsed="false">
      <c r="A182" s="1" t="s">
        <v>1099</v>
      </c>
      <c r="B182" s="1" t="s">
        <v>978</v>
      </c>
      <c r="C182" s="1" t="s">
        <v>1100</v>
      </c>
      <c r="D182" s="1" t="s">
        <v>1101</v>
      </c>
      <c r="E182" s="1" t="s">
        <v>1102</v>
      </c>
      <c r="F182" s="1" t="s">
        <v>1103</v>
      </c>
      <c r="G182" s="18" t="s">
        <v>74</v>
      </c>
      <c r="H182" s="1" t="str">
        <f aca="false">IF(G182="BUG","BUG-"&amp;A182,IF(G182="FUNCTIONAL","FUNCTIONAL-"&amp;A182,""))</f>
        <v/>
      </c>
      <c r="I182" s="18" t="s">
        <v>65</v>
      </c>
      <c r="L182" s="1" t="s">
        <v>1104</v>
      </c>
    </row>
    <row r="183" customFormat="false" ht="15" hidden="false" customHeight="true" outlineLevel="0" collapsed="false">
      <c r="A183" s="1" t="s">
        <v>1105</v>
      </c>
      <c r="B183" s="1" t="s">
        <v>430</v>
      </c>
      <c r="C183" s="1" t="s">
        <v>1106</v>
      </c>
      <c r="D183" s="1" t="s">
        <v>61</v>
      </c>
      <c r="E183" s="1" t="s">
        <v>1107</v>
      </c>
      <c r="F183" s="1" t="s">
        <v>1108</v>
      </c>
      <c r="G183" s="18" t="s">
        <v>74</v>
      </c>
      <c r="H183" s="1" t="str">
        <f aca="false">IF(G183="BUG","BUG-"&amp;A183,IF(G183="FUNCTIONAL","FUNCTIONAL-"&amp;A183,""))</f>
        <v/>
      </c>
      <c r="I183" s="18" t="s">
        <v>65</v>
      </c>
      <c r="L183" s="1" t="s">
        <v>1109</v>
      </c>
    </row>
    <row r="184" customFormat="false" ht="15" hidden="false" customHeight="true" outlineLevel="0" collapsed="false">
      <c r="A184" s="1" t="s">
        <v>1110</v>
      </c>
      <c r="B184" s="1" t="s">
        <v>860</v>
      </c>
      <c r="C184" s="1" t="s">
        <v>1111</v>
      </c>
      <c r="D184" s="1" t="s">
        <v>1072</v>
      </c>
      <c r="E184" s="1" t="s">
        <v>1112</v>
      </c>
      <c r="F184" s="1" t="s">
        <v>1113</v>
      </c>
      <c r="G184" s="18" t="s">
        <v>74</v>
      </c>
      <c r="H184" s="1" t="str">
        <f aca="false">IF(G184="BUG","BUG-"&amp;A184,IF(G184="FUNCTIONAL","FUNCTIONAL-"&amp;A184,""))</f>
        <v/>
      </c>
      <c r="I184" s="18" t="s">
        <v>42</v>
      </c>
      <c r="L184" s="1" t="s">
        <v>1114</v>
      </c>
    </row>
    <row r="185" customFormat="false" ht="15" hidden="false" customHeight="true" outlineLevel="0" collapsed="false">
      <c r="A185" s="1" t="s">
        <v>1115</v>
      </c>
      <c r="B185" s="1" t="s">
        <v>860</v>
      </c>
      <c r="C185" s="1" t="s">
        <v>1116</v>
      </c>
      <c r="D185" s="1" t="s">
        <v>1117</v>
      </c>
      <c r="E185" s="1" t="s">
        <v>1118</v>
      </c>
      <c r="F185" s="1" t="s">
        <v>1119</v>
      </c>
      <c r="G185" s="18" t="s">
        <v>74</v>
      </c>
      <c r="H185" s="1" t="str">
        <f aca="false">IF(G185="BUG","BUG-"&amp;A185,IF(G185="FUNCTIONAL","FUNCTIONAL-"&amp;A185,""))</f>
        <v/>
      </c>
      <c r="I185" s="18" t="s">
        <v>56</v>
      </c>
      <c r="L185" s="1" t="s">
        <v>1120</v>
      </c>
    </row>
    <row r="186" customFormat="false" ht="15" hidden="false" customHeight="true" outlineLevel="0" collapsed="false">
      <c r="A186" s="1" t="s">
        <v>1121</v>
      </c>
      <c r="B186" s="1" t="s">
        <v>1122</v>
      </c>
      <c r="C186" s="1" t="s">
        <v>1123</v>
      </c>
      <c r="D186" s="1" t="s">
        <v>1124</v>
      </c>
      <c r="E186" s="1" t="s">
        <v>1125</v>
      </c>
      <c r="F186" s="1" t="s">
        <v>1126</v>
      </c>
      <c r="G186" s="18" t="s">
        <v>74</v>
      </c>
      <c r="H186" s="1" t="str">
        <f aca="false">IF(G186="BUG","BUG-"&amp;A186,IF(G186="FUNCTIONAL","FUNCTIONAL-"&amp;A186,""))</f>
        <v/>
      </c>
      <c r="I186" s="18" t="s">
        <v>42</v>
      </c>
      <c r="L186" s="1" t="s">
        <v>1127</v>
      </c>
    </row>
    <row r="187" customFormat="false" ht="15" hidden="false" customHeight="true" outlineLevel="0" collapsed="false">
      <c r="A187" s="1" t="s">
        <v>1128</v>
      </c>
      <c r="B187" s="1" t="s">
        <v>114</v>
      </c>
      <c r="C187" s="1" t="s">
        <v>1129</v>
      </c>
      <c r="D187" s="1" t="s">
        <v>1130</v>
      </c>
      <c r="E187" s="1" t="s">
        <v>1131</v>
      </c>
      <c r="F187" s="1" t="s">
        <v>1132</v>
      </c>
      <c r="G187" s="18" t="s">
        <v>74</v>
      </c>
      <c r="H187" s="1" t="str">
        <f aca="false">IF(G187="BUG","BUG-"&amp;A187,IF(G187="FUNCTIONAL","FUNCTIONAL-"&amp;A187,""))</f>
        <v/>
      </c>
      <c r="I187" s="18" t="s">
        <v>42</v>
      </c>
      <c r="L187" s="1" t="s">
        <v>1133</v>
      </c>
    </row>
    <row r="188" customFormat="false" ht="15" hidden="false" customHeight="true" outlineLevel="0" collapsed="false">
      <c r="A188" s="1" t="s">
        <v>1134</v>
      </c>
      <c r="B188" s="1" t="s">
        <v>1122</v>
      </c>
      <c r="C188" s="1" t="s">
        <v>1135</v>
      </c>
      <c r="D188" s="1" t="s">
        <v>1136</v>
      </c>
      <c r="E188" s="1" t="s">
        <v>1137</v>
      </c>
      <c r="F188" s="1" t="s">
        <v>1138</v>
      </c>
      <c r="G188" s="18" t="s">
        <v>74</v>
      </c>
      <c r="H188" s="1" t="str">
        <f aca="false">IF(G188="BUG","BUG-"&amp;A188,IF(G188="FUNCTIONAL","FUNCTIONAL-"&amp;A188,""))</f>
        <v/>
      </c>
      <c r="I188" s="18" t="s">
        <v>42</v>
      </c>
      <c r="L188" s="1" t="s">
        <v>1139</v>
      </c>
    </row>
    <row r="189" customFormat="false" ht="15" hidden="false" customHeight="true" outlineLevel="0" collapsed="false">
      <c r="A189" s="1" t="s">
        <v>1140</v>
      </c>
      <c r="B189" s="1" t="s">
        <v>1122</v>
      </c>
      <c r="C189" s="1" t="s">
        <v>1141</v>
      </c>
      <c r="D189" s="1" t="s">
        <v>1142</v>
      </c>
      <c r="E189" s="1" t="s">
        <v>1143</v>
      </c>
      <c r="F189" s="1" t="s">
        <v>1144</v>
      </c>
      <c r="G189" s="18" t="s">
        <v>74</v>
      </c>
      <c r="H189" s="1" t="str">
        <f aca="false">IF(G189="BUG","BUG-"&amp;A189,IF(G189="FUNCTIONAL","FUNCTIONAL-"&amp;A189,""))</f>
        <v/>
      </c>
      <c r="I189" s="18" t="s">
        <v>42</v>
      </c>
      <c r="L189" s="1" t="s">
        <v>1145</v>
      </c>
    </row>
    <row r="190" customFormat="false" ht="15" hidden="false" customHeight="true" outlineLevel="0" collapsed="false">
      <c r="A190" s="1" t="s">
        <v>1146</v>
      </c>
      <c r="B190" s="1" t="s">
        <v>1147</v>
      </c>
      <c r="C190" s="1" t="s">
        <v>1148</v>
      </c>
      <c r="D190" s="1" t="s">
        <v>509</v>
      </c>
      <c r="E190" s="1" t="s">
        <v>1149</v>
      </c>
      <c r="F190" s="1" t="s">
        <v>1150</v>
      </c>
      <c r="G190" s="18" t="s">
        <v>74</v>
      </c>
      <c r="H190" s="1" t="str">
        <f aca="false">IF(G190="BUG","BUG-"&amp;A190,IF(G190="FUNCTIONAL","FUNCTIONAL-"&amp;A190,""))</f>
        <v/>
      </c>
      <c r="I190" s="18" t="s">
        <v>42</v>
      </c>
      <c r="L190" s="1" t="s">
        <v>1151</v>
      </c>
    </row>
    <row r="191" customFormat="false" ht="15" hidden="false" customHeight="true" outlineLevel="0" collapsed="false">
      <c r="A191" s="1" t="s">
        <v>1152</v>
      </c>
      <c r="B191" s="1" t="s">
        <v>1153</v>
      </c>
      <c r="C191" s="1" t="s">
        <v>1154</v>
      </c>
      <c r="D191" s="1" t="s">
        <v>1155</v>
      </c>
      <c r="E191" s="1" t="s">
        <v>1156</v>
      </c>
      <c r="F191" s="1" t="s">
        <v>1157</v>
      </c>
      <c r="G191" s="18" t="s">
        <v>74</v>
      </c>
      <c r="H191" s="1" t="str">
        <f aca="false">IF(G191="BUG","BUG-"&amp;A191,IF(G191="FUNCTIONAL","FUNCTIONAL-"&amp;A191,""))</f>
        <v/>
      </c>
      <c r="I191" s="18" t="s">
        <v>42</v>
      </c>
      <c r="L191" s="1" t="s">
        <v>1158</v>
      </c>
    </row>
    <row r="192" customFormat="false" ht="15" hidden="false" customHeight="true" outlineLevel="0" collapsed="false">
      <c r="A192" s="1" t="s">
        <v>1159</v>
      </c>
      <c r="B192" s="1" t="s">
        <v>1153</v>
      </c>
      <c r="C192" s="1" t="s">
        <v>1160</v>
      </c>
      <c r="D192" s="1" t="s">
        <v>1161</v>
      </c>
      <c r="E192" s="1" t="s">
        <v>1162</v>
      </c>
      <c r="F192" s="1" t="s">
        <v>1163</v>
      </c>
      <c r="G192" s="18" t="s">
        <v>74</v>
      </c>
      <c r="H192" s="1" t="str">
        <f aca="false">IF(G192="BUG","BUG-"&amp;A192,IF(G192="FUNCTIONAL","FUNCTIONAL-"&amp;A192,""))</f>
        <v/>
      </c>
      <c r="I192" s="18" t="s">
        <v>42</v>
      </c>
      <c r="L192" s="1" t="s">
        <v>1164</v>
      </c>
    </row>
    <row r="193" customFormat="false" ht="15" hidden="false" customHeight="true" outlineLevel="0" collapsed="false">
      <c r="A193" s="1" t="s">
        <v>1165</v>
      </c>
      <c r="B193" s="1" t="s">
        <v>1153</v>
      </c>
      <c r="C193" s="1" t="s">
        <v>1166</v>
      </c>
      <c r="D193" s="1" t="s">
        <v>1167</v>
      </c>
      <c r="E193" s="1" t="s">
        <v>1168</v>
      </c>
      <c r="F193" s="1" t="s">
        <v>1169</v>
      </c>
      <c r="G193" s="18" t="s">
        <v>74</v>
      </c>
      <c r="H193" s="1" t="str">
        <f aca="false">IF(G193="BUG","BUG-"&amp;A193,IF(G193="FUNCTIONAL","FUNCTIONAL-"&amp;A193,""))</f>
        <v/>
      </c>
      <c r="I193" s="18" t="s">
        <v>56</v>
      </c>
      <c r="L193" s="1" t="s">
        <v>1170</v>
      </c>
    </row>
    <row r="194" customFormat="false" ht="15" hidden="false" customHeight="true" outlineLevel="0" collapsed="false">
      <c r="A194" s="1" t="s">
        <v>1171</v>
      </c>
      <c r="B194" s="1" t="s">
        <v>1153</v>
      </c>
      <c r="C194" s="1" t="s">
        <v>1172</v>
      </c>
      <c r="D194" s="1" t="s">
        <v>1173</v>
      </c>
      <c r="E194" s="1" t="s">
        <v>1174</v>
      </c>
      <c r="F194" s="1" t="s">
        <v>1175</v>
      </c>
      <c r="G194" s="18" t="s">
        <v>74</v>
      </c>
      <c r="H194" s="1" t="str">
        <f aca="false">IF(G194="BUG","BUG-"&amp;A194,IF(G194="FUNCTIONAL","FUNCTIONAL-"&amp;A194,""))</f>
        <v/>
      </c>
      <c r="I194" s="18" t="s">
        <v>42</v>
      </c>
      <c r="L194" s="1" t="s">
        <v>1176</v>
      </c>
    </row>
    <row r="195" customFormat="false" ht="15" hidden="false" customHeight="true" outlineLevel="0" collapsed="false">
      <c r="A195" s="1" t="s">
        <v>1177</v>
      </c>
      <c r="B195" s="1" t="s">
        <v>1153</v>
      </c>
      <c r="C195" s="1" t="s">
        <v>1178</v>
      </c>
      <c r="D195" s="1" t="s">
        <v>1173</v>
      </c>
      <c r="E195" s="1" t="s">
        <v>1179</v>
      </c>
      <c r="F195" s="1" t="s">
        <v>1180</v>
      </c>
      <c r="G195" s="18" t="s">
        <v>74</v>
      </c>
      <c r="H195" s="1" t="str">
        <f aca="false">IF(G195="BUG","BUG-"&amp;A195,IF(G195="FUNCTIONAL","FUNCTIONAL-"&amp;A195,""))</f>
        <v/>
      </c>
      <c r="I195" s="18" t="s">
        <v>42</v>
      </c>
      <c r="L195" s="1" t="s">
        <v>1181</v>
      </c>
    </row>
    <row r="196" customFormat="false" ht="15" hidden="false" customHeight="true" outlineLevel="0" collapsed="false">
      <c r="A196" s="1" t="s">
        <v>1182</v>
      </c>
      <c r="B196" s="1" t="s">
        <v>1153</v>
      </c>
      <c r="C196" s="1" t="s">
        <v>1183</v>
      </c>
      <c r="D196" s="1" t="s">
        <v>1184</v>
      </c>
      <c r="E196" s="1" t="s">
        <v>1185</v>
      </c>
      <c r="F196" s="1" t="s">
        <v>1186</v>
      </c>
      <c r="G196" s="18" t="s">
        <v>74</v>
      </c>
      <c r="H196" s="1" t="str">
        <f aca="false">IF(G196="BUG","BUG-"&amp;A196,IF(G196="FUNCTIONAL","FUNCTIONAL-"&amp;A196,""))</f>
        <v/>
      </c>
      <c r="I196" s="18" t="s">
        <v>42</v>
      </c>
      <c r="L196" s="1" t="s">
        <v>1181</v>
      </c>
    </row>
    <row r="197" customFormat="false" ht="15" hidden="false" customHeight="true" outlineLevel="0" collapsed="false">
      <c r="A197" s="1" t="s">
        <v>1187</v>
      </c>
      <c r="B197" s="1" t="s">
        <v>1188</v>
      </c>
      <c r="C197" s="1" t="s">
        <v>1189</v>
      </c>
      <c r="D197" s="1" t="s">
        <v>1155</v>
      </c>
      <c r="E197" s="1" t="s">
        <v>1156</v>
      </c>
      <c r="F197" s="1" t="s">
        <v>1190</v>
      </c>
      <c r="G197" s="18" t="s">
        <v>74</v>
      </c>
      <c r="H197" s="1" t="str">
        <f aca="false">IF(G197="BUG","BUG-"&amp;A197,IF(G197="FUNCTIONAL","FUNCTIONAL-"&amp;A197,""))</f>
        <v/>
      </c>
      <c r="I197" s="18" t="s">
        <v>42</v>
      </c>
      <c r="L197" s="1" t="s">
        <v>1191</v>
      </c>
    </row>
    <row r="198" customFormat="false" ht="15" hidden="false" customHeight="true" outlineLevel="0" collapsed="false">
      <c r="A198" s="1" t="s">
        <v>1192</v>
      </c>
      <c r="B198" s="1" t="s">
        <v>1188</v>
      </c>
      <c r="C198" s="1" t="s">
        <v>1193</v>
      </c>
      <c r="D198" s="1" t="s">
        <v>1090</v>
      </c>
      <c r="E198" s="1" t="s">
        <v>1194</v>
      </c>
      <c r="F198" s="1" t="s">
        <v>1195</v>
      </c>
      <c r="G198" s="18" t="s">
        <v>74</v>
      </c>
      <c r="H198" s="1" t="str">
        <f aca="false">IF(G198="BUG","BUG-"&amp;A198,IF(G198="FUNCTIONAL","FUNCTIONAL-"&amp;A198,""))</f>
        <v/>
      </c>
      <c r="I198" s="18" t="s">
        <v>56</v>
      </c>
      <c r="L198" s="1" t="s">
        <v>1196</v>
      </c>
    </row>
    <row r="199" customFormat="false" ht="15" hidden="false" customHeight="true" outlineLevel="0" collapsed="false">
      <c r="A199" s="1" t="s">
        <v>1197</v>
      </c>
      <c r="B199" s="1" t="s">
        <v>1188</v>
      </c>
      <c r="C199" s="1" t="s">
        <v>1198</v>
      </c>
      <c r="D199" s="1" t="s">
        <v>1124</v>
      </c>
      <c r="E199" s="1" t="s">
        <v>1156</v>
      </c>
      <c r="F199" s="1" t="s">
        <v>1199</v>
      </c>
      <c r="G199" s="18" t="s">
        <v>74</v>
      </c>
      <c r="H199" s="1" t="str">
        <f aca="false">IF(G199="BUG","BUG-"&amp;A199,IF(G199="FUNCTIONAL","FUNCTIONAL-"&amp;A199,""))</f>
        <v/>
      </c>
      <c r="I199" s="18" t="s">
        <v>56</v>
      </c>
      <c r="L199" s="1" t="s">
        <v>1200</v>
      </c>
    </row>
    <row r="200" customFormat="false" ht="15" hidden="false" customHeight="true" outlineLevel="0" collapsed="false">
      <c r="A200" s="1" t="s">
        <v>1201</v>
      </c>
      <c r="B200" s="1" t="s">
        <v>1202</v>
      </c>
      <c r="C200" s="1" t="s">
        <v>1203</v>
      </c>
      <c r="D200" s="1" t="s">
        <v>1155</v>
      </c>
      <c r="E200" s="1" t="s">
        <v>1204</v>
      </c>
      <c r="F200" s="1" t="s">
        <v>1205</v>
      </c>
      <c r="G200" s="18" t="s">
        <v>74</v>
      </c>
      <c r="H200" s="1" t="str">
        <f aca="false">IF(G200="BUG","BUG-"&amp;A200,IF(G200="FUNCTIONAL","FUNCTIONAL-"&amp;A200,""))</f>
        <v/>
      </c>
      <c r="I200" s="18" t="s">
        <v>42</v>
      </c>
      <c r="L200" s="1" t="s">
        <v>1206</v>
      </c>
    </row>
    <row r="201" customFormat="false" ht="15" hidden="false" customHeight="true" outlineLevel="0" collapsed="false">
      <c r="A201" s="1" t="s">
        <v>1207</v>
      </c>
      <c r="B201" s="1" t="s">
        <v>1202</v>
      </c>
      <c r="C201" s="1" t="s">
        <v>1208</v>
      </c>
      <c r="D201" s="1" t="s">
        <v>61</v>
      </c>
      <c r="E201" s="1" t="s">
        <v>1209</v>
      </c>
      <c r="F201" s="1" t="s">
        <v>1210</v>
      </c>
      <c r="G201" s="18" t="s">
        <v>74</v>
      </c>
      <c r="H201" s="1" t="str">
        <f aca="false">IF(G201="BUG","BUG-"&amp;A201,IF(G201="FUNCTIONAL","FUNCTIONAL-"&amp;A201,""))</f>
        <v/>
      </c>
      <c r="I201" s="18" t="s">
        <v>56</v>
      </c>
      <c r="L201" s="1" t="s">
        <v>1211</v>
      </c>
    </row>
    <row r="202" customFormat="false" ht="15" hidden="false" customHeight="true" outlineLevel="0" collapsed="false">
      <c r="A202" s="1" t="s">
        <v>1212</v>
      </c>
      <c r="B202" s="1" t="s">
        <v>1202</v>
      </c>
      <c r="C202" s="1" t="s">
        <v>1213</v>
      </c>
      <c r="D202" s="1" t="s">
        <v>61</v>
      </c>
      <c r="E202" s="1" t="s">
        <v>1214</v>
      </c>
      <c r="F202" s="1" t="s">
        <v>1215</v>
      </c>
      <c r="G202" s="18" t="s">
        <v>74</v>
      </c>
      <c r="H202" s="1" t="str">
        <f aca="false">IF(G202="BUG","BUG-"&amp;A202,IF(G202="FUNCTIONAL","FUNCTIONAL-"&amp;A202,""))</f>
        <v/>
      </c>
      <c r="I202" s="18" t="s">
        <v>65</v>
      </c>
      <c r="L202" s="1" t="s">
        <v>1216</v>
      </c>
    </row>
    <row r="203" customFormat="false" ht="15" hidden="false" customHeight="true" outlineLevel="0" collapsed="false">
      <c r="A203" s="1" t="s">
        <v>1217</v>
      </c>
      <c r="B203" s="1" t="s">
        <v>1218</v>
      </c>
      <c r="C203" s="1" t="s">
        <v>1219</v>
      </c>
      <c r="D203" s="1" t="s">
        <v>1155</v>
      </c>
      <c r="E203" s="1" t="s">
        <v>1220</v>
      </c>
      <c r="F203" s="1" t="s">
        <v>1221</v>
      </c>
      <c r="G203" s="18" t="s">
        <v>74</v>
      </c>
      <c r="H203" s="1" t="str">
        <f aca="false">IF(G203="BUG","BUG-"&amp;A203,IF(G203="FUNCTIONAL","FUNCTIONAL-"&amp;A203,""))</f>
        <v/>
      </c>
      <c r="I203" s="18" t="s">
        <v>42</v>
      </c>
      <c r="L203" s="1" t="s">
        <v>1222</v>
      </c>
    </row>
    <row r="204" customFormat="false" ht="15" hidden="false" customHeight="true" outlineLevel="0" collapsed="false">
      <c r="A204" s="1" t="s">
        <v>1223</v>
      </c>
      <c r="B204" s="1" t="s">
        <v>1218</v>
      </c>
      <c r="C204" s="1" t="s">
        <v>1224</v>
      </c>
      <c r="D204" s="1" t="s">
        <v>1225</v>
      </c>
      <c r="E204" s="1" t="s">
        <v>1226</v>
      </c>
      <c r="F204" s="1" t="s">
        <v>1227</v>
      </c>
      <c r="G204" s="18" t="s">
        <v>74</v>
      </c>
      <c r="H204" s="1" t="str">
        <f aca="false">IF(G204="BUG","BUG-"&amp;A204,IF(G204="FUNCTIONAL","FUNCTIONAL-"&amp;A204,""))</f>
        <v/>
      </c>
      <c r="I204" s="18" t="s">
        <v>42</v>
      </c>
      <c r="L204" s="1" t="s">
        <v>1228</v>
      </c>
    </row>
    <row r="205" customFormat="false" ht="15" hidden="false" customHeight="true" outlineLevel="0" collapsed="false">
      <c r="A205" s="1" t="s">
        <v>1229</v>
      </c>
      <c r="B205" s="1" t="s">
        <v>1218</v>
      </c>
      <c r="C205" s="1" t="s">
        <v>1230</v>
      </c>
      <c r="D205" s="1" t="s">
        <v>1231</v>
      </c>
      <c r="E205" s="1" t="s">
        <v>1226</v>
      </c>
      <c r="F205" s="1" t="s">
        <v>1232</v>
      </c>
      <c r="G205" s="18" t="s">
        <v>74</v>
      </c>
      <c r="H205" s="1" t="str">
        <f aca="false">IF(G205="BUG","BUG-"&amp;A205,IF(G205="FUNCTIONAL","FUNCTIONAL-"&amp;A205,""))</f>
        <v/>
      </c>
      <c r="I205" s="18" t="s">
        <v>56</v>
      </c>
      <c r="L205" s="1" t="s">
        <v>1233</v>
      </c>
    </row>
    <row r="206" customFormat="false" ht="15" hidden="false" customHeight="true" outlineLevel="0" collapsed="false">
      <c r="A206" s="1" t="s">
        <v>1234</v>
      </c>
      <c r="B206" s="1" t="s">
        <v>1218</v>
      </c>
      <c r="C206" s="1" t="s">
        <v>1235</v>
      </c>
      <c r="D206" s="1" t="s">
        <v>1236</v>
      </c>
      <c r="E206" s="1" t="s">
        <v>1237</v>
      </c>
      <c r="F206" s="1" t="s">
        <v>1238</v>
      </c>
      <c r="G206" s="18" t="s">
        <v>74</v>
      </c>
      <c r="H206" s="1" t="str">
        <f aca="false">IF(G206="BUG","BUG-"&amp;A206,IF(G206="FUNCTIONAL","FUNCTIONAL-"&amp;A206,""))</f>
        <v/>
      </c>
      <c r="I206" s="18" t="s">
        <v>56</v>
      </c>
      <c r="L206" s="1" t="s">
        <v>1239</v>
      </c>
    </row>
    <row r="207" customFormat="false" ht="15" hidden="false" customHeight="true" outlineLevel="0" collapsed="false">
      <c r="A207" s="1" t="s">
        <v>1240</v>
      </c>
      <c r="B207" s="1" t="s">
        <v>1218</v>
      </c>
      <c r="C207" s="1" t="s">
        <v>1241</v>
      </c>
      <c r="D207" s="1" t="s">
        <v>61</v>
      </c>
      <c r="E207" s="1" t="s">
        <v>1242</v>
      </c>
      <c r="F207" s="1" t="s">
        <v>1243</v>
      </c>
      <c r="G207" s="18" t="s">
        <v>74</v>
      </c>
      <c r="H207" s="1" t="str">
        <f aca="false">IF(G207="BUG","BUG-"&amp;A207,IF(G207="FUNCTIONAL","FUNCTIONAL-"&amp;A207,""))</f>
        <v/>
      </c>
      <c r="I207" s="18" t="s">
        <v>56</v>
      </c>
      <c r="L207" s="1" t="s">
        <v>1244</v>
      </c>
    </row>
    <row r="208" customFormat="false" ht="15" hidden="false" customHeight="true" outlineLevel="0" collapsed="false">
      <c r="A208" s="1" t="s">
        <v>606</v>
      </c>
      <c r="B208" s="1" t="s">
        <v>578</v>
      </c>
      <c r="C208" s="1" t="s">
        <v>1245</v>
      </c>
      <c r="D208" s="1" t="s">
        <v>1155</v>
      </c>
      <c r="E208" s="1" t="s">
        <v>1246</v>
      </c>
      <c r="F208" s="1" t="s">
        <v>1247</v>
      </c>
      <c r="G208" s="18" t="s">
        <v>74</v>
      </c>
      <c r="H208" s="1" t="str">
        <f aca="false">IF(G208="BUG","BUG-"&amp;A208,IF(G208="FUNCTIONAL","FUNCTIONAL-"&amp;A208,""))</f>
        <v/>
      </c>
      <c r="I208" s="18" t="s">
        <v>42</v>
      </c>
      <c r="L208" s="1" t="s">
        <v>1248</v>
      </c>
    </row>
    <row r="209" customFormat="false" ht="15" hidden="false" customHeight="true" outlineLevel="0" collapsed="false">
      <c r="A209" s="1" t="s">
        <v>615</v>
      </c>
      <c r="B209" s="1" t="s">
        <v>578</v>
      </c>
      <c r="C209" s="1" t="s">
        <v>1249</v>
      </c>
      <c r="D209" s="1" t="s">
        <v>1250</v>
      </c>
      <c r="E209" s="1" t="s">
        <v>1251</v>
      </c>
      <c r="F209" s="1" t="s">
        <v>1252</v>
      </c>
      <c r="G209" s="18" t="s">
        <v>74</v>
      </c>
      <c r="H209" s="1" t="str">
        <f aca="false">IF(G209="BUG","BUG-"&amp;A209,IF(G209="FUNCTIONAL","FUNCTIONAL-"&amp;A209,""))</f>
        <v/>
      </c>
      <c r="I209" s="18" t="s">
        <v>42</v>
      </c>
      <c r="L209" s="1" t="s">
        <v>1253</v>
      </c>
    </row>
    <row r="210" customFormat="false" ht="15" hidden="false" customHeight="true" outlineLevel="0" collapsed="false">
      <c r="A210" s="1" t="s">
        <v>1254</v>
      </c>
      <c r="B210" s="1" t="s">
        <v>1255</v>
      </c>
      <c r="C210" s="1" t="s">
        <v>1256</v>
      </c>
      <c r="D210" s="1" t="s">
        <v>1155</v>
      </c>
      <c r="E210" s="1" t="s">
        <v>1257</v>
      </c>
      <c r="F210" s="1" t="s">
        <v>1258</v>
      </c>
      <c r="G210" s="18" t="s">
        <v>74</v>
      </c>
      <c r="H210" s="1" t="str">
        <f aca="false">IF(G210="BUG","BUG-"&amp;A210,IF(G210="FUNCTIONAL","FUNCTIONAL-"&amp;A210,""))</f>
        <v/>
      </c>
      <c r="I210" s="18" t="s">
        <v>42</v>
      </c>
      <c r="L210" s="1" t="s">
        <v>1259</v>
      </c>
    </row>
    <row r="211" customFormat="false" ht="15" hidden="false" customHeight="true" outlineLevel="0" collapsed="false">
      <c r="A211" s="1" t="s">
        <v>1260</v>
      </c>
      <c r="B211" s="1" t="s">
        <v>1255</v>
      </c>
      <c r="C211" s="1" t="s">
        <v>1261</v>
      </c>
      <c r="D211" s="1" t="s">
        <v>1262</v>
      </c>
      <c r="E211" s="1" t="s">
        <v>1257</v>
      </c>
      <c r="F211" s="1" t="s">
        <v>1263</v>
      </c>
      <c r="G211" s="18" t="s">
        <v>74</v>
      </c>
      <c r="H211" s="1" t="str">
        <f aca="false">IF(G211="BUG","BUG-"&amp;A211,IF(G211="FUNCTIONAL","FUNCTIONAL-"&amp;A211,""))</f>
        <v/>
      </c>
      <c r="I211" s="18" t="s">
        <v>42</v>
      </c>
      <c r="L211" s="1" t="s">
        <v>1264</v>
      </c>
    </row>
    <row r="212" customFormat="false" ht="15" hidden="false" customHeight="true" outlineLevel="0" collapsed="false">
      <c r="A212" s="1" t="s">
        <v>1265</v>
      </c>
      <c r="B212" s="1" t="s">
        <v>1255</v>
      </c>
      <c r="C212" s="1" t="s">
        <v>1266</v>
      </c>
      <c r="D212" s="1" t="s">
        <v>1267</v>
      </c>
      <c r="E212" s="1" t="s">
        <v>1268</v>
      </c>
      <c r="F212" s="1" t="s">
        <v>1269</v>
      </c>
      <c r="G212" s="18" t="s">
        <v>74</v>
      </c>
      <c r="H212" s="1" t="str">
        <f aca="false">IF(G212="BUG","BUG-"&amp;A212,IF(G212="FUNCTIONAL","FUNCTIONAL-"&amp;A212,""))</f>
        <v/>
      </c>
      <c r="I212" s="18" t="s">
        <v>56</v>
      </c>
      <c r="L212" s="1" t="s">
        <v>1270</v>
      </c>
    </row>
    <row r="213" customFormat="false" ht="15" hidden="false" customHeight="true" outlineLevel="0" collapsed="false">
      <c r="A213" s="1" t="s">
        <v>1271</v>
      </c>
      <c r="B213" s="1" t="s">
        <v>1255</v>
      </c>
      <c r="C213" s="1" t="s">
        <v>1272</v>
      </c>
      <c r="D213" s="1" t="s">
        <v>1273</v>
      </c>
      <c r="E213" s="1" t="s">
        <v>1257</v>
      </c>
      <c r="F213" s="1" t="s">
        <v>1274</v>
      </c>
      <c r="G213" s="18" t="s">
        <v>74</v>
      </c>
      <c r="H213" s="1" t="str">
        <f aca="false">IF(G213="BUG","BUG-"&amp;A213,IF(G213="FUNCTIONAL","FUNCTIONAL-"&amp;A213,""))</f>
        <v/>
      </c>
      <c r="I213" s="18" t="s">
        <v>56</v>
      </c>
      <c r="L213" s="1" t="s">
        <v>1275</v>
      </c>
    </row>
    <row r="214" customFormat="false" ht="15" hidden="false" customHeight="true" outlineLevel="0" collapsed="false">
      <c r="A214" s="1" t="s">
        <v>1276</v>
      </c>
      <c r="B214" s="1" t="s">
        <v>1255</v>
      </c>
      <c r="C214" s="1" t="s">
        <v>1277</v>
      </c>
      <c r="D214" s="1" t="s">
        <v>1278</v>
      </c>
      <c r="E214" s="1" t="s">
        <v>1279</v>
      </c>
      <c r="F214" s="1" t="s">
        <v>1280</v>
      </c>
      <c r="G214" s="18" t="s">
        <v>74</v>
      </c>
      <c r="H214" s="1" t="str">
        <f aca="false">IF(G214="BUG","BUG-"&amp;A214,IF(G214="FUNCTIONAL","FUNCTIONAL-"&amp;A214,""))</f>
        <v/>
      </c>
      <c r="I214" s="18" t="s">
        <v>65</v>
      </c>
      <c r="L214" s="1" t="s">
        <v>1281</v>
      </c>
    </row>
    <row r="215" customFormat="false" ht="15" hidden="false" customHeight="true" outlineLevel="0" collapsed="false">
      <c r="A215" s="1" t="s">
        <v>1282</v>
      </c>
      <c r="B215" s="1" t="s">
        <v>1255</v>
      </c>
      <c r="C215" s="1" t="s">
        <v>1283</v>
      </c>
      <c r="D215" s="1" t="s">
        <v>1284</v>
      </c>
      <c r="E215" s="1" t="s">
        <v>1226</v>
      </c>
      <c r="F215" s="1" t="s">
        <v>1285</v>
      </c>
      <c r="G215" s="18" t="s">
        <v>74</v>
      </c>
      <c r="H215" s="1" t="str">
        <f aca="false">IF(G215="BUG","BUG-"&amp;A215,IF(G215="FUNCTIONAL","FUNCTIONAL-"&amp;A215,""))</f>
        <v/>
      </c>
      <c r="I215" s="18" t="s">
        <v>65</v>
      </c>
      <c r="L215" s="1" t="s">
        <v>1286</v>
      </c>
    </row>
    <row r="216" customFormat="false" ht="15" hidden="false" customHeight="true" outlineLevel="0" collapsed="false">
      <c r="A216" s="1" t="s">
        <v>1287</v>
      </c>
      <c r="B216" s="1" t="s">
        <v>1255</v>
      </c>
      <c r="C216" s="1" t="s">
        <v>1288</v>
      </c>
      <c r="D216" s="1" t="s">
        <v>1155</v>
      </c>
      <c r="E216" s="1" t="s">
        <v>1289</v>
      </c>
      <c r="F216" s="1" t="s">
        <v>1290</v>
      </c>
      <c r="G216" s="18" t="s">
        <v>74</v>
      </c>
      <c r="H216" s="1" t="str">
        <f aca="false">IF(G216="BUG","BUG-"&amp;A216,IF(G216="FUNCTIONAL","FUNCTIONAL-"&amp;A216,""))</f>
        <v/>
      </c>
      <c r="I216" s="18" t="s">
        <v>56</v>
      </c>
      <c r="L216" s="1" t="s">
        <v>1291</v>
      </c>
    </row>
    <row r="217" customFormat="false" ht="15" hidden="false" customHeight="true" outlineLevel="0" collapsed="false">
      <c r="A217" s="1" t="s">
        <v>1292</v>
      </c>
      <c r="B217" s="1" t="s">
        <v>1255</v>
      </c>
      <c r="C217" s="1" t="s">
        <v>1293</v>
      </c>
      <c r="D217" s="1" t="s">
        <v>1294</v>
      </c>
      <c r="E217" s="1" t="s">
        <v>1295</v>
      </c>
      <c r="F217" s="1" t="s">
        <v>1296</v>
      </c>
      <c r="G217" s="18" t="s">
        <v>74</v>
      </c>
      <c r="H217" s="1" t="str">
        <f aca="false">IF(G217="BUG","BUG-"&amp;A217,IF(G217="FUNCTIONAL","FUNCTIONAL-"&amp;A217,""))</f>
        <v/>
      </c>
      <c r="I217" s="18" t="s">
        <v>56</v>
      </c>
      <c r="L217" s="1" t="s">
        <v>1297</v>
      </c>
    </row>
    <row r="218" customFormat="false" ht="15" hidden="false" customHeight="true" outlineLevel="0" collapsed="false">
      <c r="A218" s="1" t="s">
        <v>1298</v>
      </c>
      <c r="B218" s="1" t="s">
        <v>1255</v>
      </c>
      <c r="C218" s="1" t="s">
        <v>1299</v>
      </c>
      <c r="D218" s="1" t="s">
        <v>1300</v>
      </c>
      <c r="E218" s="1" t="s">
        <v>1301</v>
      </c>
      <c r="F218" s="1" t="s">
        <v>1302</v>
      </c>
      <c r="G218" s="18" t="s">
        <v>74</v>
      </c>
      <c r="H218" s="1" t="str">
        <f aca="false">IF(G218="BUG","BUG-"&amp;A218,IF(G218="FUNCTIONAL","FUNCTIONAL-"&amp;A218,""))</f>
        <v/>
      </c>
      <c r="I218" s="18" t="s">
        <v>65</v>
      </c>
      <c r="L218" s="1" t="s">
        <v>1303</v>
      </c>
    </row>
    <row r="219" customFormat="false" ht="15" hidden="false" customHeight="true" outlineLevel="0" collapsed="false">
      <c r="A219" s="1" t="s">
        <v>1304</v>
      </c>
      <c r="B219" s="1" t="s">
        <v>1255</v>
      </c>
      <c r="C219" s="1" t="s">
        <v>1305</v>
      </c>
      <c r="D219" s="1" t="s">
        <v>1155</v>
      </c>
      <c r="E219" s="1" t="s">
        <v>1306</v>
      </c>
      <c r="F219" s="1" t="s">
        <v>1307</v>
      </c>
      <c r="G219" s="18" t="s">
        <v>74</v>
      </c>
      <c r="H219" s="1" t="str">
        <f aca="false">IF(G219="BUG","BUG-"&amp;A219,IF(G219="FUNCTIONAL","FUNCTIONAL-"&amp;A219,""))</f>
        <v/>
      </c>
      <c r="I219" s="18" t="s">
        <v>65</v>
      </c>
      <c r="L219" s="1" t="s">
        <v>1308</v>
      </c>
    </row>
    <row r="220" customFormat="false" ht="15" hidden="false" customHeight="true" outlineLevel="0" collapsed="false">
      <c r="A220" s="1" t="s">
        <v>1309</v>
      </c>
      <c r="B220" s="1" t="s">
        <v>1310</v>
      </c>
      <c r="C220" s="1" t="s">
        <v>1311</v>
      </c>
      <c r="D220" s="1" t="s">
        <v>1155</v>
      </c>
      <c r="E220" s="1" t="s">
        <v>1312</v>
      </c>
      <c r="F220" s="1" t="s">
        <v>1313</v>
      </c>
      <c r="G220" s="18" t="s">
        <v>74</v>
      </c>
      <c r="H220" s="1" t="str">
        <f aca="false">IF(G220="BUG","BUG-"&amp;A220,IF(G220="FUNCTIONAL","FUNCTIONAL-"&amp;A220,""))</f>
        <v/>
      </c>
      <c r="I220" s="18" t="s">
        <v>42</v>
      </c>
      <c r="L220" s="1" t="s">
        <v>1314</v>
      </c>
    </row>
    <row r="221" customFormat="false" ht="15" hidden="false" customHeight="true" outlineLevel="0" collapsed="false">
      <c r="A221" s="1" t="s">
        <v>1315</v>
      </c>
      <c r="B221" s="1" t="s">
        <v>1310</v>
      </c>
      <c r="C221" s="1" t="s">
        <v>1316</v>
      </c>
      <c r="D221" s="1" t="s">
        <v>1155</v>
      </c>
      <c r="E221" s="1" t="s">
        <v>1317</v>
      </c>
      <c r="F221" s="1" t="s">
        <v>1318</v>
      </c>
      <c r="G221" s="18" t="s">
        <v>74</v>
      </c>
      <c r="H221" s="1" t="str">
        <f aca="false">IF(G221="BUG","BUG-"&amp;A221,IF(G221="FUNCTIONAL","FUNCTIONAL-"&amp;A221,""))</f>
        <v/>
      </c>
      <c r="I221" s="18" t="s">
        <v>42</v>
      </c>
      <c r="L221" s="1" t="s">
        <v>1319</v>
      </c>
    </row>
    <row r="222" customFormat="false" ht="15" hidden="false" customHeight="true" outlineLevel="0" collapsed="false">
      <c r="A222" s="1" t="s">
        <v>1320</v>
      </c>
      <c r="B222" s="1" t="s">
        <v>1310</v>
      </c>
      <c r="C222" s="1" t="s">
        <v>1321</v>
      </c>
      <c r="D222" s="1" t="s">
        <v>1322</v>
      </c>
      <c r="E222" s="1" t="s">
        <v>1323</v>
      </c>
      <c r="F222" s="1" t="s">
        <v>1324</v>
      </c>
      <c r="G222" s="18" t="s">
        <v>74</v>
      </c>
      <c r="H222" s="1" t="str">
        <f aca="false">IF(G222="BUG","BUG-"&amp;A222,IF(G222="FUNCTIONAL","FUNCTIONAL-"&amp;A222,""))</f>
        <v/>
      </c>
      <c r="I222" s="18" t="s">
        <v>56</v>
      </c>
      <c r="L222" s="1" t="s">
        <v>1325</v>
      </c>
    </row>
    <row r="223" customFormat="false" ht="15" hidden="false" customHeight="true" outlineLevel="0" collapsed="false">
      <c r="A223" s="1" t="s">
        <v>1326</v>
      </c>
      <c r="B223" s="1" t="s">
        <v>1310</v>
      </c>
      <c r="C223" s="1" t="s">
        <v>1327</v>
      </c>
      <c r="D223" s="1" t="s">
        <v>1328</v>
      </c>
      <c r="E223" s="1" t="s">
        <v>1329</v>
      </c>
      <c r="F223" s="1" t="s">
        <v>1330</v>
      </c>
      <c r="G223" s="18" t="s">
        <v>74</v>
      </c>
      <c r="H223" s="1" t="str">
        <f aca="false">IF(G223="BUG","BUG-"&amp;A223,IF(G223="FUNCTIONAL","FUNCTIONAL-"&amp;A223,""))</f>
        <v/>
      </c>
      <c r="I223" s="18" t="s">
        <v>42</v>
      </c>
      <c r="L223" s="1" t="s">
        <v>1331</v>
      </c>
    </row>
    <row r="224" customFormat="false" ht="15" hidden="false" customHeight="true" outlineLevel="0" collapsed="false">
      <c r="A224" s="1" t="s">
        <v>1332</v>
      </c>
      <c r="B224" s="1" t="s">
        <v>1310</v>
      </c>
      <c r="C224" s="1" t="s">
        <v>1333</v>
      </c>
      <c r="D224" s="1" t="s">
        <v>1155</v>
      </c>
      <c r="E224" s="1" t="s">
        <v>1334</v>
      </c>
      <c r="F224" s="1" t="s">
        <v>1335</v>
      </c>
      <c r="G224" s="18" t="s">
        <v>74</v>
      </c>
      <c r="H224" s="1" t="str">
        <f aca="false">IF(G224="BUG","BUG-"&amp;A224,IF(G224="FUNCTIONAL","FUNCTIONAL-"&amp;A224,""))</f>
        <v/>
      </c>
      <c r="I224" s="18" t="s">
        <v>56</v>
      </c>
      <c r="L224" s="1" t="s">
        <v>1336</v>
      </c>
    </row>
    <row r="225" customFormat="false" ht="15" hidden="false" customHeight="true" outlineLevel="0" collapsed="false">
      <c r="A225" s="1" t="s">
        <v>1337</v>
      </c>
      <c r="B225" s="1" t="s">
        <v>1338</v>
      </c>
      <c r="C225" s="1" t="s">
        <v>1339</v>
      </c>
      <c r="D225" s="1" t="s">
        <v>1155</v>
      </c>
      <c r="E225" s="1" t="s">
        <v>1340</v>
      </c>
      <c r="F225" s="1" t="s">
        <v>1341</v>
      </c>
      <c r="G225" s="18" t="s">
        <v>74</v>
      </c>
      <c r="H225" s="1" t="str">
        <f aca="false">IF(G225="BUG","BUG-"&amp;A225,IF(G225="FUNCTIONAL","FUNCTIONAL-"&amp;A225,""))</f>
        <v/>
      </c>
      <c r="I225" s="18" t="s">
        <v>65</v>
      </c>
      <c r="L225" s="1" t="s">
        <v>1342</v>
      </c>
    </row>
    <row r="226" customFormat="false" ht="15" hidden="false" customHeight="true" outlineLevel="0" collapsed="false">
      <c r="A226" s="1" t="s">
        <v>1343</v>
      </c>
      <c r="B226" s="1" t="s">
        <v>1338</v>
      </c>
      <c r="C226" s="1" t="s">
        <v>1344</v>
      </c>
      <c r="D226" s="1" t="s">
        <v>1155</v>
      </c>
      <c r="E226" s="1" t="s">
        <v>1345</v>
      </c>
      <c r="F226" s="1" t="s">
        <v>1346</v>
      </c>
      <c r="G226" s="18" t="s">
        <v>74</v>
      </c>
      <c r="H226" s="1" t="str">
        <f aca="false">IF(G226="BUG","BUG-"&amp;A226,IF(G226="FUNCTIONAL","FUNCTIONAL-"&amp;A226,""))</f>
        <v/>
      </c>
      <c r="I226" s="18" t="s">
        <v>42</v>
      </c>
      <c r="L226" s="1" t="s">
        <v>1347</v>
      </c>
    </row>
    <row r="227" customFormat="false" ht="15" hidden="false" customHeight="true" outlineLevel="0" collapsed="false">
      <c r="A227" s="1" t="s">
        <v>1348</v>
      </c>
      <c r="B227" s="1" t="s">
        <v>1338</v>
      </c>
      <c r="C227" s="1" t="s">
        <v>1349</v>
      </c>
      <c r="D227" s="1" t="s">
        <v>1155</v>
      </c>
      <c r="E227" s="1" t="s">
        <v>1350</v>
      </c>
      <c r="F227" s="1" t="s">
        <v>1351</v>
      </c>
      <c r="G227" s="18" t="s">
        <v>74</v>
      </c>
      <c r="H227" s="1" t="str">
        <f aca="false">IF(G227="BUG","BUG-"&amp;A227,IF(G227="FUNCTIONAL","FUNCTIONAL-"&amp;A227,""))</f>
        <v/>
      </c>
      <c r="I227" s="18" t="s">
        <v>56</v>
      </c>
      <c r="L227" s="1" t="s">
        <v>1352</v>
      </c>
    </row>
    <row r="228" customFormat="false" ht="15" hidden="false" customHeight="true" outlineLevel="0" collapsed="false">
      <c r="A228" s="1" t="s">
        <v>1353</v>
      </c>
      <c r="B228" s="1" t="s">
        <v>1338</v>
      </c>
      <c r="C228" s="1" t="s">
        <v>1354</v>
      </c>
      <c r="D228" s="1" t="s">
        <v>1355</v>
      </c>
      <c r="E228" s="1" t="s">
        <v>1356</v>
      </c>
      <c r="F228" s="1" t="s">
        <v>1357</v>
      </c>
      <c r="G228" s="18" t="s">
        <v>74</v>
      </c>
      <c r="H228" s="1" t="str">
        <f aca="false">IF(G228="BUG","BUG-"&amp;A228,IF(G228="FUNCTIONAL","FUNCTIONAL-"&amp;A228,""))</f>
        <v/>
      </c>
      <c r="I228" s="18" t="s">
        <v>42</v>
      </c>
      <c r="L228" s="1" t="s">
        <v>1358</v>
      </c>
    </row>
    <row r="229" customFormat="false" ht="15" hidden="false" customHeight="true" outlineLevel="0" collapsed="false">
      <c r="A229" s="1" t="s">
        <v>1359</v>
      </c>
      <c r="B229" s="1" t="s">
        <v>1338</v>
      </c>
      <c r="C229" s="1" t="s">
        <v>1360</v>
      </c>
      <c r="D229" s="1" t="s">
        <v>1361</v>
      </c>
      <c r="E229" s="1" t="s">
        <v>1362</v>
      </c>
      <c r="F229" s="1" t="s">
        <v>1363</v>
      </c>
      <c r="G229" s="18" t="s">
        <v>74</v>
      </c>
      <c r="H229" s="1" t="str">
        <f aca="false">IF(G229="BUG","BUG-"&amp;A229,IF(G229="FUNCTIONAL","FUNCTIONAL-"&amp;A229,""))</f>
        <v/>
      </c>
      <c r="I229" s="18" t="s">
        <v>56</v>
      </c>
      <c r="L229" s="1" t="s">
        <v>1364</v>
      </c>
    </row>
    <row r="230" customFormat="false" ht="15" hidden="false" customHeight="true" outlineLevel="0" collapsed="false">
      <c r="A230" s="1" t="s">
        <v>1365</v>
      </c>
      <c r="B230" s="1" t="s">
        <v>1338</v>
      </c>
      <c r="C230" s="1" t="s">
        <v>1366</v>
      </c>
      <c r="D230" s="1" t="s">
        <v>1367</v>
      </c>
      <c r="E230" s="1" t="s">
        <v>1368</v>
      </c>
      <c r="F230" s="1" t="s">
        <v>1369</v>
      </c>
      <c r="G230" s="18" t="s">
        <v>74</v>
      </c>
      <c r="H230" s="1" t="str">
        <f aca="false">IF(G230="BUG","BUG-"&amp;A230,IF(G230="FUNCTIONAL","FUNCTIONAL-"&amp;A230,""))</f>
        <v/>
      </c>
      <c r="I230" s="18" t="s">
        <v>65</v>
      </c>
      <c r="L230" s="1" t="s">
        <v>1370</v>
      </c>
    </row>
    <row r="231" customFormat="false" ht="15" hidden="false" customHeight="true" outlineLevel="0" collapsed="false">
      <c r="A231" s="1" t="s">
        <v>1371</v>
      </c>
      <c r="B231" s="1" t="s">
        <v>1338</v>
      </c>
      <c r="C231" s="1" t="s">
        <v>1372</v>
      </c>
      <c r="D231" s="1" t="s">
        <v>1373</v>
      </c>
      <c r="E231" s="1" t="s">
        <v>1374</v>
      </c>
      <c r="F231" s="1" t="s">
        <v>1375</v>
      </c>
      <c r="G231" s="18" t="s">
        <v>74</v>
      </c>
      <c r="H231" s="1" t="str">
        <f aca="false">IF(G231="BUG","BUG-"&amp;A231,IF(G231="FUNCTIONAL","FUNCTIONAL-"&amp;A231,""))</f>
        <v/>
      </c>
      <c r="I231" s="18" t="s">
        <v>56</v>
      </c>
      <c r="L231" s="1" t="s">
        <v>1376</v>
      </c>
    </row>
    <row r="232" customFormat="false" ht="15" hidden="false" customHeight="true" outlineLevel="0" collapsed="false">
      <c r="A232" s="1" t="s">
        <v>1377</v>
      </c>
      <c r="B232" s="1" t="s">
        <v>1338</v>
      </c>
      <c r="C232" s="1" t="s">
        <v>1378</v>
      </c>
      <c r="D232" s="1" t="s">
        <v>1379</v>
      </c>
      <c r="E232" s="1" t="s">
        <v>1380</v>
      </c>
      <c r="F232" s="1" t="s">
        <v>1381</v>
      </c>
      <c r="G232" s="18" t="s">
        <v>74</v>
      </c>
      <c r="H232" s="1" t="str">
        <f aca="false">IF(G232="BUG","BUG-"&amp;A232,IF(G232="FUNCTIONAL","FUNCTIONAL-"&amp;A232,""))</f>
        <v/>
      </c>
      <c r="I232" s="18" t="s">
        <v>42</v>
      </c>
      <c r="L232" s="1" t="s">
        <v>1382</v>
      </c>
    </row>
    <row r="233" customFormat="false" ht="15" hidden="false" customHeight="true" outlineLevel="0" collapsed="false">
      <c r="A233" s="1" t="s">
        <v>1383</v>
      </c>
      <c r="B233" s="1" t="s">
        <v>1338</v>
      </c>
      <c r="C233" s="1" t="s">
        <v>1384</v>
      </c>
      <c r="D233" s="1" t="s">
        <v>1385</v>
      </c>
      <c r="E233" s="1" t="s">
        <v>1386</v>
      </c>
      <c r="F233" s="1" t="s">
        <v>1387</v>
      </c>
      <c r="G233" s="18" t="s">
        <v>74</v>
      </c>
      <c r="H233" s="1" t="str">
        <f aca="false">IF(G233="BUG","BUG-"&amp;A233,IF(G233="FUNCTIONAL","FUNCTIONAL-"&amp;A233,""))</f>
        <v/>
      </c>
      <c r="I233" s="18" t="s">
        <v>65</v>
      </c>
      <c r="L233" s="1" t="s">
        <v>1388</v>
      </c>
    </row>
    <row r="234" customFormat="false" ht="15" hidden="false" customHeight="true" outlineLevel="0" collapsed="false">
      <c r="A234" s="1" t="s">
        <v>1389</v>
      </c>
      <c r="B234" s="1" t="s">
        <v>226</v>
      </c>
      <c r="C234" s="1" t="s">
        <v>1390</v>
      </c>
      <c r="D234" s="1" t="s">
        <v>1391</v>
      </c>
      <c r="E234" s="1" t="s">
        <v>1392</v>
      </c>
      <c r="F234" s="1" t="s">
        <v>1393</v>
      </c>
      <c r="G234" s="18" t="s">
        <v>74</v>
      </c>
      <c r="H234" s="1" t="str">
        <f aca="false">IF(G234="BUG","BUG-"&amp;A234,IF(G234="FUNCTIONAL","FUNCTIONAL-"&amp;A234,""))</f>
        <v/>
      </c>
      <c r="I234" s="18" t="s">
        <v>56</v>
      </c>
      <c r="L234" s="1" t="s">
        <v>1394</v>
      </c>
    </row>
    <row r="235" customFormat="false" ht="15" hidden="false" customHeight="true" outlineLevel="0" collapsed="false">
      <c r="A235" s="1" t="s">
        <v>1395</v>
      </c>
      <c r="B235" s="1" t="s">
        <v>226</v>
      </c>
      <c r="C235" s="1" t="s">
        <v>1396</v>
      </c>
      <c r="D235" s="1" t="s">
        <v>1397</v>
      </c>
      <c r="E235" s="1" t="s">
        <v>1398</v>
      </c>
      <c r="F235" s="1" t="s">
        <v>1399</v>
      </c>
      <c r="G235" s="18" t="s">
        <v>74</v>
      </c>
      <c r="H235" s="1" t="str">
        <f aca="false">IF(G235="BUG","BUG-"&amp;A235,IF(G235="FUNCTIONAL","FUNCTIONAL-"&amp;A235,""))</f>
        <v/>
      </c>
      <c r="I235" s="18" t="s">
        <v>42</v>
      </c>
      <c r="L235" s="1" t="s">
        <v>1400</v>
      </c>
    </row>
    <row r="236" customFormat="false" ht="15" hidden="false" customHeight="true" outlineLevel="0" collapsed="false">
      <c r="A236" s="1" t="s">
        <v>1401</v>
      </c>
      <c r="B236" s="1" t="s">
        <v>226</v>
      </c>
      <c r="C236" s="1" t="s">
        <v>1402</v>
      </c>
      <c r="D236" s="1" t="s">
        <v>1403</v>
      </c>
      <c r="E236" s="1" t="s">
        <v>1404</v>
      </c>
      <c r="F236" s="1" t="s">
        <v>1405</v>
      </c>
      <c r="G236" s="18" t="s">
        <v>74</v>
      </c>
      <c r="H236" s="1" t="str">
        <f aca="false">IF(G236="BUG","BUG-"&amp;A236,IF(G236="FUNCTIONAL","FUNCTIONAL-"&amp;A236,""))</f>
        <v/>
      </c>
      <c r="I236" s="18" t="s">
        <v>56</v>
      </c>
      <c r="L236" s="1" t="s">
        <v>1406</v>
      </c>
    </row>
    <row r="237" customFormat="false" ht="15" hidden="false" customHeight="true" outlineLevel="0" collapsed="false">
      <c r="A237" s="1" t="s">
        <v>1407</v>
      </c>
      <c r="B237" s="1" t="s">
        <v>1408</v>
      </c>
      <c r="C237" s="1" t="s">
        <v>1409</v>
      </c>
      <c r="D237" s="1" t="s">
        <v>1410</v>
      </c>
      <c r="E237" s="1" t="s">
        <v>1411</v>
      </c>
      <c r="F237" s="1" t="s">
        <v>1412</v>
      </c>
      <c r="G237" s="18" t="s">
        <v>74</v>
      </c>
      <c r="H237" s="1" t="str">
        <f aca="false">IF(G237="BUG","BUG-"&amp;A237,IF(G237="FUNCTIONAL","FUNCTIONAL-"&amp;A237,""))</f>
        <v/>
      </c>
      <c r="I237" s="18" t="s">
        <v>42</v>
      </c>
      <c r="L237" s="1" t="s">
        <v>1413</v>
      </c>
    </row>
    <row r="238" customFormat="false" ht="15" hidden="false" customHeight="true" outlineLevel="0" collapsed="false">
      <c r="A238" s="1" t="s">
        <v>1414</v>
      </c>
      <c r="B238" s="1" t="s">
        <v>1408</v>
      </c>
      <c r="C238" s="1" t="s">
        <v>1415</v>
      </c>
      <c r="D238" s="1" t="s">
        <v>1155</v>
      </c>
      <c r="E238" s="1" t="s">
        <v>1416</v>
      </c>
      <c r="F238" s="1" t="s">
        <v>1417</v>
      </c>
      <c r="G238" s="18" t="s">
        <v>74</v>
      </c>
      <c r="H238" s="1" t="str">
        <f aca="false">IF(G238="BUG","BUG-"&amp;A238,IF(G238="FUNCTIONAL","FUNCTIONAL-"&amp;A238,""))</f>
        <v/>
      </c>
      <c r="I238" s="18" t="s">
        <v>42</v>
      </c>
      <c r="L238" s="1" t="s">
        <v>1418</v>
      </c>
    </row>
    <row r="239" customFormat="false" ht="15" hidden="false" customHeight="true" outlineLevel="0" collapsed="false">
      <c r="A239" s="1" t="s">
        <v>1419</v>
      </c>
      <c r="B239" s="1" t="s">
        <v>1408</v>
      </c>
      <c r="C239" s="1" t="s">
        <v>1420</v>
      </c>
      <c r="D239" s="1" t="s">
        <v>1155</v>
      </c>
      <c r="E239" s="1" t="s">
        <v>1421</v>
      </c>
      <c r="F239" s="1" t="s">
        <v>1422</v>
      </c>
      <c r="G239" s="18" t="s">
        <v>74</v>
      </c>
      <c r="H239" s="1" t="str">
        <f aca="false">IF(G239="BUG","BUG-"&amp;A239,IF(G239="FUNCTIONAL","FUNCTIONAL-"&amp;A239,""))</f>
        <v/>
      </c>
      <c r="I239" s="18" t="s">
        <v>42</v>
      </c>
      <c r="L239" s="1" t="s">
        <v>1423</v>
      </c>
    </row>
    <row r="240" customFormat="false" ht="15" hidden="false" customHeight="true" outlineLevel="0" collapsed="false">
      <c r="A240" s="1" t="s">
        <v>1424</v>
      </c>
      <c r="B240" s="1" t="s">
        <v>1408</v>
      </c>
      <c r="C240" s="1" t="s">
        <v>1425</v>
      </c>
      <c r="D240" s="1" t="s">
        <v>1155</v>
      </c>
      <c r="E240" s="1" t="s">
        <v>1426</v>
      </c>
      <c r="F240" s="1" t="s">
        <v>1427</v>
      </c>
      <c r="G240" s="18" t="s">
        <v>74</v>
      </c>
      <c r="H240" s="1" t="str">
        <f aca="false">IF(G240="BUG","BUG-"&amp;A240,IF(G240="FUNCTIONAL","FUNCTIONAL-"&amp;A240,""))</f>
        <v/>
      </c>
      <c r="I240" s="18" t="s">
        <v>56</v>
      </c>
      <c r="L240" s="1" t="s">
        <v>1428</v>
      </c>
    </row>
    <row r="241" customFormat="false" ht="15" hidden="false" customHeight="true" outlineLevel="0" collapsed="false">
      <c r="A241" s="1" t="s">
        <v>1429</v>
      </c>
      <c r="B241" s="1" t="s">
        <v>1408</v>
      </c>
      <c r="C241" s="1" t="s">
        <v>1430</v>
      </c>
      <c r="D241" s="1" t="s">
        <v>1431</v>
      </c>
      <c r="E241" s="1" t="s">
        <v>1432</v>
      </c>
      <c r="F241" s="1" t="s">
        <v>1433</v>
      </c>
      <c r="G241" s="18" t="s">
        <v>74</v>
      </c>
      <c r="H241" s="1" t="str">
        <f aca="false">IF(G241="BUG","BUG-"&amp;A241,IF(G241="FUNCTIONAL","FUNCTIONAL-"&amp;A241,""))</f>
        <v/>
      </c>
      <c r="I241" s="18" t="s">
        <v>42</v>
      </c>
      <c r="L241" s="1" t="s">
        <v>1434</v>
      </c>
    </row>
    <row r="242" customFormat="false" ht="15" hidden="false" customHeight="true" outlineLevel="0" collapsed="false">
      <c r="A242" s="1" t="s">
        <v>1435</v>
      </c>
      <c r="B242" s="1" t="s">
        <v>1408</v>
      </c>
      <c r="C242" s="1" t="s">
        <v>1436</v>
      </c>
      <c r="D242" s="1" t="s">
        <v>1155</v>
      </c>
      <c r="E242" s="1" t="s">
        <v>1437</v>
      </c>
      <c r="F242" s="1" t="s">
        <v>1438</v>
      </c>
      <c r="G242" s="18" t="s">
        <v>74</v>
      </c>
      <c r="H242" s="1" t="str">
        <f aca="false">IF(G242="BUG","BUG-"&amp;A242,IF(G242="FUNCTIONAL","FUNCTIONAL-"&amp;A242,""))</f>
        <v/>
      </c>
      <c r="I242" s="18" t="s">
        <v>42</v>
      </c>
      <c r="L242" s="1" t="s">
        <v>1439</v>
      </c>
    </row>
    <row r="243" customFormat="false" ht="15" hidden="false" customHeight="true" outlineLevel="0" collapsed="false">
      <c r="A243" s="1" t="s">
        <v>1440</v>
      </c>
      <c r="B243" s="1" t="s">
        <v>1408</v>
      </c>
      <c r="C243" s="1" t="s">
        <v>1441</v>
      </c>
      <c r="D243" s="1" t="s">
        <v>1442</v>
      </c>
      <c r="E243" s="1" t="s">
        <v>1443</v>
      </c>
      <c r="F243" s="1" t="s">
        <v>1444</v>
      </c>
      <c r="G243" s="18" t="s">
        <v>74</v>
      </c>
      <c r="H243" s="1" t="str">
        <f aca="false">IF(G243="BUG","BUG-"&amp;A243,IF(G243="FUNCTIONAL","FUNCTIONAL-"&amp;A243,""))</f>
        <v/>
      </c>
      <c r="I243" s="18" t="s">
        <v>56</v>
      </c>
      <c r="L243" s="1" t="s">
        <v>1445</v>
      </c>
    </row>
    <row r="244" customFormat="false" ht="15" hidden="false" customHeight="true" outlineLevel="0" collapsed="false">
      <c r="A244" s="1" t="s">
        <v>1446</v>
      </c>
      <c r="B244" s="1" t="s">
        <v>1408</v>
      </c>
      <c r="C244" s="1" t="s">
        <v>1447</v>
      </c>
      <c r="D244" s="1" t="s">
        <v>1448</v>
      </c>
      <c r="E244" s="1" t="s">
        <v>1449</v>
      </c>
      <c r="F244" s="1" t="s">
        <v>1450</v>
      </c>
      <c r="G244" s="18" t="s">
        <v>74</v>
      </c>
      <c r="H244" s="1" t="str">
        <f aca="false">IF(G244="BUG","BUG-"&amp;A244,IF(G244="FUNCTIONAL","FUNCTIONAL-"&amp;A244,""))</f>
        <v/>
      </c>
      <c r="I244" s="18" t="s">
        <v>56</v>
      </c>
      <c r="L244" s="1" t="s">
        <v>1451</v>
      </c>
    </row>
    <row r="245" customFormat="false" ht="15" hidden="false" customHeight="true" outlineLevel="0" collapsed="false">
      <c r="A245" s="1" t="s">
        <v>1452</v>
      </c>
      <c r="B245" s="1" t="s">
        <v>1408</v>
      </c>
      <c r="C245" s="1" t="s">
        <v>1453</v>
      </c>
      <c r="D245" s="1" t="s">
        <v>1155</v>
      </c>
      <c r="E245" s="1" t="s">
        <v>1454</v>
      </c>
      <c r="F245" s="1" t="s">
        <v>1455</v>
      </c>
      <c r="G245" s="18" t="s">
        <v>74</v>
      </c>
      <c r="H245" s="1" t="str">
        <f aca="false">IF(G245="BUG","BUG-"&amp;A245,IF(G245="FUNCTIONAL","FUNCTIONAL-"&amp;A245,""))</f>
        <v/>
      </c>
      <c r="I245" s="18" t="s">
        <v>65</v>
      </c>
      <c r="L245" s="1" t="s">
        <v>1456</v>
      </c>
    </row>
    <row r="246" customFormat="false" ht="15" hidden="false" customHeight="true" outlineLevel="0" collapsed="false">
      <c r="A246" s="1" t="s">
        <v>1457</v>
      </c>
      <c r="B246" s="1" t="s">
        <v>1458</v>
      </c>
      <c r="C246" s="1" t="s">
        <v>1459</v>
      </c>
      <c r="D246" s="1" t="s">
        <v>1155</v>
      </c>
      <c r="E246" s="1" t="s">
        <v>1460</v>
      </c>
      <c r="F246" s="1" t="s">
        <v>1461</v>
      </c>
      <c r="G246" s="18" t="s">
        <v>74</v>
      </c>
      <c r="H246" s="1" t="str">
        <f aca="false">IF(G246="BUG","BUG-"&amp;A246,IF(G246="FUNCTIONAL","FUNCTIONAL-"&amp;A246,""))</f>
        <v/>
      </c>
      <c r="I246" s="18" t="s">
        <v>42</v>
      </c>
      <c r="L246" s="1" t="s">
        <v>1462</v>
      </c>
    </row>
    <row r="247" customFormat="false" ht="15" hidden="false" customHeight="true" outlineLevel="0" collapsed="false">
      <c r="A247" s="1" t="s">
        <v>1463</v>
      </c>
      <c r="B247" s="1" t="s">
        <v>1458</v>
      </c>
      <c r="C247" s="1" t="s">
        <v>1464</v>
      </c>
      <c r="D247" s="1" t="s">
        <v>1155</v>
      </c>
      <c r="E247" s="1" t="s">
        <v>1465</v>
      </c>
      <c r="F247" s="1" t="s">
        <v>1466</v>
      </c>
      <c r="G247" s="18" t="s">
        <v>74</v>
      </c>
      <c r="H247" s="1" t="str">
        <f aca="false">IF(G247="BUG","BUG-"&amp;A247,IF(G247="FUNCTIONAL","FUNCTIONAL-"&amp;A247,""))</f>
        <v/>
      </c>
      <c r="I247" s="18" t="s">
        <v>56</v>
      </c>
      <c r="L247" s="1" t="s">
        <v>1467</v>
      </c>
    </row>
    <row r="248" customFormat="false" ht="15" hidden="false" customHeight="true" outlineLevel="0" collapsed="false">
      <c r="A248" s="1" t="s">
        <v>1468</v>
      </c>
      <c r="B248" s="1" t="s">
        <v>1458</v>
      </c>
      <c r="C248" s="1" t="s">
        <v>1469</v>
      </c>
      <c r="D248" s="1" t="s">
        <v>1470</v>
      </c>
      <c r="E248" s="1" t="s">
        <v>1471</v>
      </c>
      <c r="F248" s="1" t="s">
        <v>1472</v>
      </c>
      <c r="G248" s="18" t="s">
        <v>74</v>
      </c>
      <c r="H248" s="1" t="str">
        <f aca="false">IF(G248="BUG","BUG-"&amp;A248,IF(G248="FUNCTIONAL","FUNCTIONAL-"&amp;A248,""))</f>
        <v/>
      </c>
      <c r="I248" s="18" t="s">
        <v>42</v>
      </c>
      <c r="L248" s="1" t="s">
        <v>1473</v>
      </c>
    </row>
    <row r="249" customFormat="false" ht="15" hidden="false" customHeight="true" outlineLevel="0" collapsed="false">
      <c r="A249" s="1" t="s">
        <v>1474</v>
      </c>
      <c r="B249" s="1" t="s">
        <v>1458</v>
      </c>
      <c r="C249" s="1" t="s">
        <v>1475</v>
      </c>
      <c r="D249" s="1" t="s">
        <v>1476</v>
      </c>
      <c r="E249" s="1" t="s">
        <v>1477</v>
      </c>
      <c r="F249" s="1" t="s">
        <v>1478</v>
      </c>
      <c r="G249" s="18" t="s">
        <v>74</v>
      </c>
      <c r="H249" s="1" t="str">
        <f aca="false">IF(G249="BUG","BUG-"&amp;A249,IF(G249="FUNCTIONAL","FUNCTIONAL-"&amp;A249,""))</f>
        <v/>
      </c>
      <c r="I249" s="18" t="s">
        <v>56</v>
      </c>
    </row>
    <row r="250" customFormat="false" ht="15" hidden="false" customHeight="true" outlineLevel="0" collapsed="false">
      <c r="A250" s="1" t="s">
        <v>1479</v>
      </c>
      <c r="B250" s="1" t="s">
        <v>1458</v>
      </c>
      <c r="C250" s="1" t="s">
        <v>1480</v>
      </c>
      <c r="D250" s="1" t="s">
        <v>1155</v>
      </c>
      <c r="E250" s="1" t="s">
        <v>1481</v>
      </c>
      <c r="F250" s="1" t="s">
        <v>1482</v>
      </c>
      <c r="G250" s="18" t="s">
        <v>74</v>
      </c>
      <c r="H250" s="1" t="str">
        <f aca="false">IF(G250="BUG","BUG-"&amp;A250,IF(G250="FUNCTIONAL","FUNCTIONAL-"&amp;A250,""))</f>
        <v/>
      </c>
      <c r="I250" s="18" t="s">
        <v>56</v>
      </c>
      <c r="L250" s="1" t="s">
        <v>1483</v>
      </c>
    </row>
    <row r="251" customFormat="false" ht="15" hidden="false" customHeight="true" outlineLevel="0" collapsed="false">
      <c r="A251" s="1" t="s">
        <v>1484</v>
      </c>
      <c r="B251" s="1" t="s">
        <v>1458</v>
      </c>
      <c r="C251" s="1" t="s">
        <v>1485</v>
      </c>
      <c r="D251" s="1" t="s">
        <v>1155</v>
      </c>
      <c r="E251" s="1" t="s">
        <v>1486</v>
      </c>
      <c r="F251" s="1" t="s">
        <v>1487</v>
      </c>
      <c r="G251" s="18" t="s">
        <v>74</v>
      </c>
      <c r="H251" s="1" t="str">
        <f aca="false">IF(G251="BUG","BUG-"&amp;A251,IF(G251="FUNCTIONAL","FUNCTIONAL-"&amp;A251,""))</f>
        <v/>
      </c>
      <c r="I251" s="18" t="s">
        <v>65</v>
      </c>
    </row>
    <row r="252" customFormat="false" ht="15" hidden="false" customHeight="true" outlineLevel="0" collapsed="false">
      <c r="A252" s="1" t="s">
        <v>1488</v>
      </c>
      <c r="B252" s="1" t="s">
        <v>1489</v>
      </c>
      <c r="C252" s="1" t="s">
        <v>1490</v>
      </c>
      <c r="D252" s="1" t="s">
        <v>1155</v>
      </c>
      <c r="E252" s="1" t="s">
        <v>1491</v>
      </c>
      <c r="F252" s="1" t="s">
        <v>1492</v>
      </c>
      <c r="G252" s="18" t="s">
        <v>74</v>
      </c>
      <c r="H252" s="1" t="str">
        <f aca="false">IF(G252="BUG","BUG-"&amp;A252,IF(G252="FUNCTIONAL","FUNCTIONAL-"&amp;A252,""))</f>
        <v/>
      </c>
      <c r="I252" s="18" t="s">
        <v>56</v>
      </c>
    </row>
    <row r="253" customFormat="false" ht="15" hidden="false" customHeight="true" outlineLevel="0" collapsed="false">
      <c r="A253" s="1" t="s">
        <v>1493</v>
      </c>
      <c r="B253" s="1" t="s">
        <v>1489</v>
      </c>
      <c r="C253" s="1" t="s">
        <v>1494</v>
      </c>
      <c r="D253" s="1" t="s">
        <v>1495</v>
      </c>
      <c r="E253" s="1" t="s">
        <v>1496</v>
      </c>
      <c r="F253" s="1" t="s">
        <v>1497</v>
      </c>
      <c r="G253" s="18" t="s">
        <v>74</v>
      </c>
      <c r="H253" s="1" t="str">
        <f aca="false">IF(G253="BUG","BUG-"&amp;A253,IF(G253="FUNCTIONAL","FUNCTIONAL-"&amp;A253,""))</f>
        <v/>
      </c>
      <c r="I253" s="18" t="s">
        <v>56</v>
      </c>
    </row>
    <row r="254" customFormat="false" ht="15" hidden="false" customHeight="true" outlineLevel="0" collapsed="false">
      <c r="A254" s="1" t="s">
        <v>1498</v>
      </c>
      <c r="B254" s="1" t="s">
        <v>1489</v>
      </c>
      <c r="C254" s="1" t="s">
        <v>1499</v>
      </c>
      <c r="D254" s="1" t="s">
        <v>1500</v>
      </c>
      <c r="E254" s="1" t="s">
        <v>1501</v>
      </c>
      <c r="F254" s="1" t="s">
        <v>1502</v>
      </c>
      <c r="G254" s="18" t="s">
        <v>74</v>
      </c>
      <c r="H254" s="1" t="str">
        <f aca="false">IF(G254="BUG","BUG-"&amp;A254,IF(G254="FUNCTIONAL","FUNCTIONAL-"&amp;A254,""))</f>
        <v/>
      </c>
      <c r="I254" s="18" t="s">
        <v>65</v>
      </c>
    </row>
    <row r="255" customFormat="false" ht="15" hidden="false" customHeight="true" outlineLevel="0" collapsed="false">
      <c r="A255" s="1" t="s">
        <v>1503</v>
      </c>
      <c r="B255" s="1" t="s">
        <v>1504</v>
      </c>
      <c r="C255" s="1" t="s">
        <v>1505</v>
      </c>
      <c r="D255" s="1" t="s">
        <v>1476</v>
      </c>
      <c r="E255" s="1" t="s">
        <v>1506</v>
      </c>
      <c r="F255" s="1" t="s">
        <v>1507</v>
      </c>
      <c r="G255" s="18" t="s">
        <v>74</v>
      </c>
      <c r="H255" s="1" t="str">
        <f aca="false">IF(G255="BUG","BUG-"&amp;A255,IF(G255="FUNCTIONAL","FUNCTIONAL-"&amp;A255,""))</f>
        <v/>
      </c>
      <c r="I255" s="18" t="s">
        <v>56</v>
      </c>
    </row>
    <row r="256" customFormat="false" ht="15" hidden="false" customHeight="true" outlineLevel="0" collapsed="false">
      <c r="A256" s="1" t="s">
        <v>1508</v>
      </c>
      <c r="B256" s="1" t="s">
        <v>1504</v>
      </c>
      <c r="C256" s="1" t="s">
        <v>1509</v>
      </c>
      <c r="D256" s="1" t="s">
        <v>1476</v>
      </c>
      <c r="E256" s="1" t="s">
        <v>1510</v>
      </c>
      <c r="F256" s="1" t="s">
        <v>1511</v>
      </c>
      <c r="G256" s="18" t="s">
        <v>74</v>
      </c>
      <c r="H256" s="1" t="str">
        <f aca="false">IF(G256="BUG","BUG-"&amp;A256,IF(G256="FUNCTIONAL","FUNCTIONAL-"&amp;A256,""))</f>
        <v/>
      </c>
      <c r="I256" s="18" t="s">
        <v>42</v>
      </c>
    </row>
    <row r="257" customFormat="false" ht="15" hidden="false" customHeight="true" outlineLevel="0" collapsed="false">
      <c r="A257" s="1" t="s">
        <v>1512</v>
      </c>
      <c r="B257" s="1" t="s">
        <v>1504</v>
      </c>
      <c r="C257" s="1" t="s">
        <v>1513</v>
      </c>
      <c r="D257" s="1" t="s">
        <v>1476</v>
      </c>
      <c r="E257" s="1" t="s">
        <v>1514</v>
      </c>
      <c r="F257" s="1" t="s">
        <v>1515</v>
      </c>
      <c r="G257" s="18" t="s">
        <v>74</v>
      </c>
      <c r="H257" s="1" t="str">
        <f aca="false">IF(G257="BUG","BUG-"&amp;A257,IF(G257="FUNCTIONAL","FUNCTIONAL-"&amp;A257,""))</f>
        <v/>
      </c>
      <c r="I257" s="18" t="s">
        <v>56</v>
      </c>
    </row>
    <row r="258" customFormat="false" ht="15" hidden="false" customHeight="true" outlineLevel="0" collapsed="false">
      <c r="A258" s="1" t="s">
        <v>1516</v>
      </c>
      <c r="B258" s="1" t="s">
        <v>1489</v>
      </c>
      <c r="C258" s="1" t="s">
        <v>1517</v>
      </c>
      <c r="D258" s="1" t="s">
        <v>1518</v>
      </c>
      <c r="E258" s="1" t="s">
        <v>1519</v>
      </c>
      <c r="F258" s="1" t="s">
        <v>1520</v>
      </c>
      <c r="G258" s="18" t="s">
        <v>74</v>
      </c>
      <c r="H258" s="1" t="str">
        <f aca="false">IF(G258="BUG","BUG-"&amp;A258,IF(G258="FUNCTIONAL","FUNCTIONAL-"&amp;A258,""))</f>
        <v/>
      </c>
      <c r="I258" s="18" t="s">
        <v>42</v>
      </c>
    </row>
    <row r="259" customFormat="false" ht="15" hidden="false" customHeight="true" outlineLevel="0" collapsed="false">
      <c r="A259" s="1" t="s">
        <v>1521</v>
      </c>
      <c r="B259" s="1" t="s">
        <v>1489</v>
      </c>
      <c r="C259" s="1" t="s">
        <v>1522</v>
      </c>
      <c r="D259" s="1" t="s">
        <v>1523</v>
      </c>
      <c r="E259" s="1" t="s">
        <v>1524</v>
      </c>
      <c r="F259" s="1" t="s">
        <v>1525</v>
      </c>
      <c r="G259" s="18" t="s">
        <v>74</v>
      </c>
      <c r="H259" s="1" t="str">
        <f aca="false">IF(G259="BUG","BUG-"&amp;A259,IF(G259="FUNCTIONAL","FUNCTIONAL-"&amp;A259,""))</f>
        <v/>
      </c>
      <c r="I259" s="18" t="s">
        <v>56</v>
      </c>
    </row>
    <row r="260" customFormat="false" ht="15" hidden="false" customHeight="true" outlineLevel="0" collapsed="false">
      <c r="A260" s="1" t="s">
        <v>1526</v>
      </c>
      <c r="B260" s="1" t="s">
        <v>1489</v>
      </c>
      <c r="C260" s="1" t="s">
        <v>1527</v>
      </c>
      <c r="D260" s="1" t="s">
        <v>1528</v>
      </c>
      <c r="E260" s="1" t="s">
        <v>1529</v>
      </c>
      <c r="F260" s="1" t="s">
        <v>1530</v>
      </c>
      <c r="G260" s="18" t="s">
        <v>74</v>
      </c>
      <c r="H260" s="1" t="str">
        <f aca="false">IF(G260="BUG","BUG-"&amp;A260,IF(G260="FUNCTIONAL","FUNCTIONAL-"&amp;A260,""))</f>
        <v/>
      </c>
      <c r="I260" s="18" t="s">
        <v>42</v>
      </c>
    </row>
    <row r="261" customFormat="false" ht="15" hidden="false" customHeight="true" outlineLevel="0" collapsed="false">
      <c r="A261" s="1" t="s">
        <v>1531</v>
      </c>
      <c r="B261" s="1" t="s">
        <v>1504</v>
      </c>
      <c r="C261" s="1" t="s">
        <v>1532</v>
      </c>
      <c r="D261" s="1" t="s">
        <v>1533</v>
      </c>
      <c r="E261" s="1" t="s">
        <v>1534</v>
      </c>
      <c r="F261" s="1" t="s">
        <v>1535</v>
      </c>
      <c r="G261" s="18" t="s">
        <v>74</v>
      </c>
      <c r="H261" s="1" t="str">
        <f aca="false">IF(G261="BUG","BUG-"&amp;A261,IF(G261="FUNCTIONAL","FUNCTIONAL-"&amp;A261,""))</f>
        <v/>
      </c>
      <c r="I261" s="18" t="s">
        <v>42</v>
      </c>
    </row>
    <row r="262" customFormat="false" ht="15" hidden="false" customHeight="true" outlineLevel="0" collapsed="false">
      <c r="A262" s="1" t="s">
        <v>1536</v>
      </c>
      <c r="B262" s="1" t="s">
        <v>1537</v>
      </c>
      <c r="C262" s="1" t="s">
        <v>1538</v>
      </c>
      <c r="D262" s="1" t="s">
        <v>1231</v>
      </c>
      <c r="E262" s="1" t="s">
        <v>1539</v>
      </c>
      <c r="F262" s="1" t="s">
        <v>1540</v>
      </c>
      <c r="G262" s="18" t="s">
        <v>74</v>
      </c>
      <c r="H262" s="1" t="str">
        <f aca="false">IF(G262="BUG","BUG-"&amp;A262,IF(G262="FUNCTIONAL","FUNCTIONAL-"&amp;A262,""))</f>
        <v/>
      </c>
      <c r="I262" s="18" t="s">
        <v>56</v>
      </c>
    </row>
    <row r="263" customFormat="false" ht="15" hidden="false" customHeight="true" outlineLevel="0" collapsed="false">
      <c r="A263" s="1" t="s">
        <v>1541</v>
      </c>
      <c r="B263" s="1" t="s">
        <v>1537</v>
      </c>
      <c r="C263" s="1" t="s">
        <v>1542</v>
      </c>
      <c r="D263" s="1" t="s">
        <v>1543</v>
      </c>
      <c r="E263" s="1" t="s">
        <v>1539</v>
      </c>
      <c r="F263" s="1" t="s">
        <v>1544</v>
      </c>
      <c r="G263" s="18" t="s">
        <v>74</v>
      </c>
      <c r="H263" s="1" t="str">
        <f aca="false">IF(G263="BUG","BUG-"&amp;A263,IF(G263="FUNCTIONAL","FUNCTIONAL-"&amp;A263,""))</f>
        <v/>
      </c>
      <c r="I263" s="18" t="s">
        <v>65</v>
      </c>
    </row>
    <row r="264" customFormat="false" ht="15" hidden="false" customHeight="true" outlineLevel="0" collapsed="false">
      <c r="A264" s="1" t="s">
        <v>1545</v>
      </c>
      <c r="B264" s="1" t="s">
        <v>1537</v>
      </c>
      <c r="C264" s="1" t="s">
        <v>1546</v>
      </c>
      <c r="D264" s="1" t="s">
        <v>1231</v>
      </c>
      <c r="E264" s="1" t="s">
        <v>1547</v>
      </c>
      <c r="F264" s="1" t="s">
        <v>1548</v>
      </c>
      <c r="G264" s="18" t="s">
        <v>74</v>
      </c>
      <c r="H264" s="1" t="str">
        <f aca="false">IF(G264="BUG","BUG-"&amp;A264,IF(G264="FUNCTIONAL","FUNCTIONAL-"&amp;A264,""))</f>
        <v/>
      </c>
      <c r="I264" s="18" t="s">
        <v>56</v>
      </c>
    </row>
    <row r="265" customFormat="false" ht="15" hidden="false" customHeight="true" outlineLevel="0" collapsed="false">
      <c r="A265" s="1" t="s">
        <v>1549</v>
      </c>
      <c r="B265" s="1" t="s">
        <v>1537</v>
      </c>
      <c r="C265" s="1" t="s">
        <v>1550</v>
      </c>
      <c r="D265" s="1" t="s">
        <v>1155</v>
      </c>
      <c r="E265" s="1" t="s">
        <v>1551</v>
      </c>
      <c r="F265" s="1" t="s">
        <v>1552</v>
      </c>
      <c r="G265" s="18" t="s">
        <v>74</v>
      </c>
      <c r="H265" s="1" t="str">
        <f aca="false">IF(G265="BUG","BUG-"&amp;A265,IF(G265="FUNCTIONAL","FUNCTIONAL-"&amp;A265,""))</f>
        <v/>
      </c>
      <c r="I265" s="18" t="s">
        <v>56</v>
      </c>
    </row>
    <row r="266" customFormat="false" ht="15" hidden="false" customHeight="true" outlineLevel="0" collapsed="false">
      <c r="A266" s="1" t="s">
        <v>1553</v>
      </c>
      <c r="B266" s="1" t="s">
        <v>1504</v>
      </c>
      <c r="C266" s="1" t="s">
        <v>1554</v>
      </c>
      <c r="D266" s="1" t="s">
        <v>1476</v>
      </c>
      <c r="E266" s="1" t="s">
        <v>1555</v>
      </c>
      <c r="F266" s="1" t="s">
        <v>1556</v>
      </c>
      <c r="G266" s="18" t="s">
        <v>74</v>
      </c>
      <c r="H266" s="1" t="str">
        <f aca="false">IF(G266="BUG","BUG-"&amp;A266,IF(G266="FUNCTIONAL","FUNCTIONAL-"&amp;A266,""))</f>
        <v/>
      </c>
      <c r="I266" s="18" t="s">
        <v>42</v>
      </c>
    </row>
    <row r="267" customFormat="false" ht="15" hidden="false" customHeight="true" outlineLevel="0" collapsed="false">
      <c r="A267" s="1" t="s">
        <v>1557</v>
      </c>
      <c r="B267" s="1" t="s">
        <v>1504</v>
      </c>
      <c r="C267" s="1" t="s">
        <v>1558</v>
      </c>
      <c r="D267" s="1" t="s">
        <v>1559</v>
      </c>
      <c r="E267" s="1" t="s">
        <v>1560</v>
      </c>
      <c r="F267" s="1" t="s">
        <v>1561</v>
      </c>
      <c r="G267" s="18" t="s">
        <v>74</v>
      </c>
      <c r="H267" s="1" t="str">
        <f aca="false">IF(G267="BUG","BUG-"&amp;A267,IF(G267="FUNCTIONAL","FUNCTIONAL-"&amp;A267,""))</f>
        <v/>
      </c>
      <c r="I267" s="18" t="s">
        <v>56</v>
      </c>
    </row>
    <row r="268" customFormat="false" ht="15" hidden="false" customHeight="true" outlineLevel="0" collapsed="false">
      <c r="A268" s="1" t="s">
        <v>1562</v>
      </c>
      <c r="B268" s="1" t="s">
        <v>1504</v>
      </c>
      <c r="C268" s="1" t="s">
        <v>1563</v>
      </c>
      <c r="D268" s="1" t="s">
        <v>1564</v>
      </c>
      <c r="E268" s="1" t="s">
        <v>1565</v>
      </c>
      <c r="F268" s="1" t="s">
        <v>1566</v>
      </c>
      <c r="G268" s="18" t="s">
        <v>74</v>
      </c>
      <c r="H268" s="1" t="str">
        <f aca="false">IF(G268="BUG","BUG-"&amp;A268,IF(G268="FUNCTIONAL","FUNCTIONAL-"&amp;A268,""))</f>
        <v/>
      </c>
      <c r="I268" s="18" t="s">
        <v>42</v>
      </c>
    </row>
    <row r="269" customFormat="false" ht="15" hidden="false" customHeight="true" outlineLevel="0" collapsed="false">
      <c r="A269" s="1" t="s">
        <v>1567</v>
      </c>
      <c r="B269" s="1" t="s">
        <v>1568</v>
      </c>
      <c r="C269" s="1" t="s">
        <v>1569</v>
      </c>
      <c r="D269" s="1" t="s">
        <v>1155</v>
      </c>
      <c r="E269" s="1" t="s">
        <v>1570</v>
      </c>
      <c r="F269" s="1" t="s">
        <v>1571</v>
      </c>
      <c r="G269" s="18" t="s">
        <v>74</v>
      </c>
      <c r="H269" s="1" t="str">
        <f aca="false">IF(G269="BUG","BUG-"&amp;A269,IF(G269="FUNCTIONAL","FUNCTIONAL-"&amp;A269,""))</f>
        <v/>
      </c>
      <c r="I269" s="18" t="s">
        <v>56</v>
      </c>
    </row>
    <row r="270" customFormat="false" ht="15" hidden="false" customHeight="true" outlineLevel="0" collapsed="false">
      <c r="A270" s="1" t="s">
        <v>1572</v>
      </c>
      <c r="B270" s="1" t="s">
        <v>1568</v>
      </c>
      <c r="C270" s="1" t="s">
        <v>1573</v>
      </c>
      <c r="D270" s="1" t="s">
        <v>1574</v>
      </c>
      <c r="E270" s="1" t="s">
        <v>1575</v>
      </c>
      <c r="F270" s="1" t="s">
        <v>1576</v>
      </c>
      <c r="G270" s="18" t="s">
        <v>74</v>
      </c>
      <c r="H270" s="1" t="str">
        <f aca="false">IF(G270="BUG","BUG-"&amp;A270,IF(G270="FUNCTIONAL","FUNCTIONAL-"&amp;A270,""))</f>
        <v/>
      </c>
      <c r="I270" s="18" t="s">
        <v>42</v>
      </c>
    </row>
    <row r="271" customFormat="false" ht="15" hidden="false" customHeight="true" outlineLevel="0" collapsed="false">
      <c r="A271" s="1" t="s">
        <v>1577</v>
      </c>
      <c r="B271" s="1" t="s">
        <v>1568</v>
      </c>
      <c r="C271" s="1" t="s">
        <v>1578</v>
      </c>
      <c r="D271" s="1" t="s">
        <v>1574</v>
      </c>
      <c r="E271" s="1" t="s">
        <v>1579</v>
      </c>
      <c r="F271" s="1" t="s">
        <v>1580</v>
      </c>
      <c r="G271" s="18" t="s">
        <v>74</v>
      </c>
      <c r="H271" s="1" t="str">
        <f aca="false">IF(G271="BUG","BUG-"&amp;A271,IF(G271="FUNCTIONAL","FUNCTIONAL-"&amp;A271,""))</f>
        <v/>
      </c>
      <c r="I271" s="18" t="s">
        <v>56</v>
      </c>
    </row>
    <row r="272" customFormat="false" ht="15" hidden="false" customHeight="true" outlineLevel="0" collapsed="false">
      <c r="A272" s="1" t="s">
        <v>1581</v>
      </c>
      <c r="B272" s="1" t="s">
        <v>1568</v>
      </c>
      <c r="C272" s="1" t="s">
        <v>1582</v>
      </c>
      <c r="D272" s="1" t="s">
        <v>1583</v>
      </c>
      <c r="E272" s="1" t="s">
        <v>1584</v>
      </c>
      <c r="F272" s="1" t="s">
        <v>1585</v>
      </c>
      <c r="G272" s="18" t="s">
        <v>74</v>
      </c>
      <c r="H272" s="1" t="str">
        <f aca="false">IF(G272="BUG","BUG-"&amp;A272,IF(G272="FUNCTIONAL","FUNCTIONAL-"&amp;A272,""))</f>
        <v/>
      </c>
      <c r="I272" s="18" t="s">
        <v>65</v>
      </c>
    </row>
    <row r="273" customFormat="false" ht="15" hidden="false" customHeight="true" outlineLevel="0" collapsed="false">
      <c r="A273" s="1" t="s">
        <v>1586</v>
      </c>
      <c r="B273" s="1" t="s">
        <v>1568</v>
      </c>
      <c r="C273" s="1" t="s">
        <v>1587</v>
      </c>
      <c r="D273" s="1" t="s">
        <v>1583</v>
      </c>
      <c r="E273" s="1" t="s">
        <v>1588</v>
      </c>
      <c r="F273" s="1" t="s">
        <v>1589</v>
      </c>
      <c r="G273" s="18" t="s">
        <v>74</v>
      </c>
      <c r="H273" s="1" t="str">
        <f aca="false">IF(G273="BUG","BUG-"&amp;A273,IF(G273="FUNCTIONAL","FUNCTIONAL-"&amp;A273,""))</f>
        <v/>
      </c>
      <c r="I273" s="18" t="s">
        <v>56</v>
      </c>
    </row>
    <row r="274" customFormat="false" ht="15" hidden="false" customHeight="true" outlineLevel="0" collapsed="false">
      <c r="A274" s="1" t="s">
        <v>1590</v>
      </c>
      <c r="B274" s="1" t="s">
        <v>1591</v>
      </c>
      <c r="C274" s="1" t="s">
        <v>1592</v>
      </c>
      <c r="D274" s="1" t="s">
        <v>1155</v>
      </c>
      <c r="E274" s="1" t="s">
        <v>1593</v>
      </c>
      <c r="F274" s="1" t="s">
        <v>1594</v>
      </c>
      <c r="G274" s="18" t="s">
        <v>74</v>
      </c>
      <c r="H274" s="1" t="str">
        <f aca="false">IF(G274="BUG","BUG-"&amp;A274,IF(G274="FUNCTIONAL","FUNCTIONAL-"&amp;A274,""))</f>
        <v/>
      </c>
      <c r="I274" s="18" t="s">
        <v>42</v>
      </c>
    </row>
    <row r="275" customFormat="false" ht="15" hidden="false" customHeight="true" outlineLevel="0" collapsed="false">
      <c r="A275" s="1" t="s">
        <v>1595</v>
      </c>
      <c r="B275" s="1" t="s">
        <v>1591</v>
      </c>
      <c r="C275" s="1" t="s">
        <v>1596</v>
      </c>
      <c r="D275" s="1" t="s">
        <v>1597</v>
      </c>
      <c r="E275" s="1" t="s">
        <v>1593</v>
      </c>
      <c r="F275" s="1" t="s">
        <v>1598</v>
      </c>
      <c r="G275" s="18" t="s">
        <v>74</v>
      </c>
      <c r="H275" s="1" t="str">
        <f aca="false">IF(G275="BUG","BUG-"&amp;A275,IF(G275="FUNCTIONAL","FUNCTIONAL-"&amp;A275,""))</f>
        <v/>
      </c>
      <c r="I275" s="18" t="s">
        <v>56</v>
      </c>
    </row>
    <row r="276" customFormat="false" ht="15" hidden="false" customHeight="true" outlineLevel="0" collapsed="false">
      <c r="A276" s="1" t="s">
        <v>1599</v>
      </c>
      <c r="B276" s="1" t="s">
        <v>1591</v>
      </c>
      <c r="C276" s="1" t="s">
        <v>1600</v>
      </c>
      <c r="D276" s="1" t="s">
        <v>1601</v>
      </c>
      <c r="E276" s="1" t="s">
        <v>1602</v>
      </c>
      <c r="F276" s="1" t="s">
        <v>1603</v>
      </c>
      <c r="G276" s="18" t="s">
        <v>74</v>
      </c>
      <c r="H276" s="1" t="str">
        <f aca="false">IF(G276="BUG","BUG-"&amp;A276,IF(G276="FUNCTIONAL","FUNCTIONAL-"&amp;A276,""))</f>
        <v/>
      </c>
      <c r="I276" s="18" t="s">
        <v>42</v>
      </c>
    </row>
    <row r="277" customFormat="false" ht="15" hidden="false" customHeight="true" outlineLevel="0" collapsed="false">
      <c r="A277" s="1" t="s">
        <v>1604</v>
      </c>
      <c r="B277" s="1" t="s">
        <v>1591</v>
      </c>
      <c r="C277" s="1" t="s">
        <v>1605</v>
      </c>
      <c r="D277" s="1" t="s">
        <v>1606</v>
      </c>
      <c r="E277" s="1" t="s">
        <v>1607</v>
      </c>
      <c r="F277" s="1" t="s">
        <v>1608</v>
      </c>
      <c r="G277" s="18" t="s">
        <v>74</v>
      </c>
      <c r="H277" s="1" t="str">
        <f aca="false">IF(G277="BUG","BUG-"&amp;A277,IF(G277="FUNCTIONAL","FUNCTIONAL-"&amp;A277,""))</f>
        <v/>
      </c>
      <c r="I277" s="18" t="s">
        <v>65</v>
      </c>
    </row>
    <row r="278" customFormat="false" ht="15" hidden="false" customHeight="true" outlineLevel="0" collapsed="false">
      <c r="A278" s="1" t="s">
        <v>1609</v>
      </c>
      <c r="B278" s="1" t="s">
        <v>1610</v>
      </c>
      <c r="C278" s="1" t="s">
        <v>1611</v>
      </c>
      <c r="D278" s="1" t="s">
        <v>1612</v>
      </c>
      <c r="E278" s="1" t="s">
        <v>1613</v>
      </c>
      <c r="F278" s="1" t="s">
        <v>1614</v>
      </c>
      <c r="G278" s="18" t="s">
        <v>74</v>
      </c>
      <c r="H278" s="1" t="str">
        <f aca="false">IF(G278="BUG","BUG-"&amp;A278,IF(G278="FUNCTIONAL","FUNCTIONAL-"&amp;A278,""))</f>
        <v/>
      </c>
      <c r="I278" s="18" t="s">
        <v>42</v>
      </c>
    </row>
    <row r="279" customFormat="false" ht="15" hidden="false" customHeight="true" outlineLevel="0" collapsed="false">
      <c r="A279" s="1" t="s">
        <v>1615</v>
      </c>
      <c r="B279" s="1" t="s">
        <v>1610</v>
      </c>
      <c r="C279" s="1" t="s">
        <v>1616</v>
      </c>
      <c r="D279" s="1" t="s">
        <v>1155</v>
      </c>
      <c r="E279" s="1" t="s">
        <v>1617</v>
      </c>
      <c r="F279" s="1" t="s">
        <v>1618</v>
      </c>
      <c r="G279" s="18" t="s">
        <v>74</v>
      </c>
      <c r="H279" s="1" t="str">
        <f aca="false">IF(G279="BUG","BUG-"&amp;A279,IF(G279="FUNCTIONAL","FUNCTIONAL-"&amp;A279,""))</f>
        <v/>
      </c>
      <c r="I279" s="18" t="s">
        <v>56</v>
      </c>
    </row>
    <row r="280" customFormat="false" ht="15" hidden="false" customHeight="true" outlineLevel="0" collapsed="false">
      <c r="A280" s="1" t="s">
        <v>1619</v>
      </c>
      <c r="B280" s="1" t="s">
        <v>1610</v>
      </c>
      <c r="C280" s="1" t="s">
        <v>1620</v>
      </c>
      <c r="D280" s="1" t="s">
        <v>1155</v>
      </c>
      <c r="E280" s="1" t="s">
        <v>1621</v>
      </c>
      <c r="F280" s="1" t="s">
        <v>1622</v>
      </c>
      <c r="G280" s="18" t="s">
        <v>74</v>
      </c>
      <c r="H280" s="1" t="str">
        <f aca="false">IF(G280="BUG","BUG-"&amp;A280,IF(G280="FUNCTIONAL","FUNCTIONAL-"&amp;A280,""))</f>
        <v/>
      </c>
      <c r="I280" s="18" t="s">
        <v>56</v>
      </c>
    </row>
    <row r="281" customFormat="false" ht="15" hidden="false" customHeight="true" outlineLevel="0" collapsed="false">
      <c r="A281" s="1" t="s">
        <v>1623</v>
      </c>
      <c r="B281" s="1" t="s">
        <v>1610</v>
      </c>
      <c r="C281" s="1" t="s">
        <v>1624</v>
      </c>
      <c r="D281" s="1" t="s">
        <v>1155</v>
      </c>
      <c r="E281" s="1" t="s">
        <v>1625</v>
      </c>
      <c r="F281" s="1" t="s">
        <v>1626</v>
      </c>
      <c r="G281" s="18" t="s">
        <v>74</v>
      </c>
      <c r="H281" s="1" t="str">
        <f aca="false">IF(G281="BUG","BUG-"&amp;A281,IF(G281="FUNCTIONAL","FUNCTIONAL-"&amp;A281,""))</f>
        <v/>
      </c>
      <c r="I281" s="18" t="s">
        <v>56</v>
      </c>
    </row>
    <row r="282" customFormat="false" ht="15" hidden="false" customHeight="true" outlineLevel="0" collapsed="false">
      <c r="A282" s="1" t="s">
        <v>1627</v>
      </c>
      <c r="B282" s="1" t="s">
        <v>1610</v>
      </c>
      <c r="C282" s="1" t="s">
        <v>1628</v>
      </c>
      <c r="D282" s="1" t="s">
        <v>1155</v>
      </c>
      <c r="E282" s="1" t="s">
        <v>1629</v>
      </c>
      <c r="F282" s="1" t="s">
        <v>1630</v>
      </c>
      <c r="G282" s="18" t="s">
        <v>74</v>
      </c>
      <c r="H282" s="1" t="str">
        <f aca="false">IF(G282="BUG","BUG-"&amp;A282,IF(G282="FUNCTIONAL","FUNCTIONAL-"&amp;A282,""))</f>
        <v/>
      </c>
      <c r="I282" s="18" t="s">
        <v>42</v>
      </c>
    </row>
    <row r="283" customFormat="false" ht="15" hidden="false" customHeight="true" outlineLevel="0" collapsed="false">
      <c r="A283" s="1" t="s">
        <v>1631</v>
      </c>
      <c r="B283" s="1" t="s">
        <v>1610</v>
      </c>
      <c r="C283" s="1" t="s">
        <v>1632</v>
      </c>
      <c r="D283" s="1" t="s">
        <v>1155</v>
      </c>
      <c r="E283" s="1" t="s">
        <v>1633</v>
      </c>
      <c r="F283" s="1" t="s">
        <v>1634</v>
      </c>
      <c r="G283" s="18" t="s">
        <v>74</v>
      </c>
      <c r="H283" s="1" t="str">
        <f aca="false">IF(G283="BUG","BUG-"&amp;A283,IF(G283="FUNCTIONAL","FUNCTIONAL-"&amp;A283,""))</f>
        <v/>
      </c>
      <c r="I283" s="18" t="s">
        <v>42</v>
      </c>
    </row>
    <row r="284" customFormat="false" ht="15" hidden="false" customHeight="true" outlineLevel="0" collapsed="false">
      <c r="A284" s="1" t="s">
        <v>1635</v>
      </c>
      <c r="B284" s="1" t="s">
        <v>201</v>
      </c>
      <c r="C284" s="1" t="s">
        <v>1636</v>
      </c>
      <c r="D284" s="1" t="s">
        <v>1637</v>
      </c>
      <c r="E284" s="1" t="s">
        <v>1638</v>
      </c>
      <c r="F284" s="1" t="s">
        <v>1639</v>
      </c>
      <c r="G284" s="18" t="s">
        <v>74</v>
      </c>
      <c r="H284" s="1" t="str">
        <f aca="false">IF(G284="BUG","BUG-"&amp;A284,IF(G284="FUNCTIONAL","FUNCTIONAL-"&amp;A284,""))</f>
        <v/>
      </c>
      <c r="I284" s="18" t="s">
        <v>56</v>
      </c>
      <c r="L284" s="1" t="s">
        <v>1640</v>
      </c>
    </row>
    <row r="285" customFormat="false" ht="15" hidden="false" customHeight="true" outlineLevel="0" collapsed="false">
      <c r="A285" s="1" t="s">
        <v>1641</v>
      </c>
      <c r="B285" s="1" t="s">
        <v>201</v>
      </c>
      <c r="C285" s="1" t="s">
        <v>1642</v>
      </c>
      <c r="D285" s="1" t="s">
        <v>1643</v>
      </c>
      <c r="E285" s="1" t="s">
        <v>1644</v>
      </c>
      <c r="F285" s="1" t="s">
        <v>1645</v>
      </c>
      <c r="G285" s="18" t="s">
        <v>74</v>
      </c>
      <c r="H285" s="1" t="str">
        <f aca="false">IF(G285="BUG","BUG-"&amp;A285,IF(G285="FUNCTIONAL","FUNCTIONAL-"&amp;A285,""))</f>
        <v/>
      </c>
      <c r="I285" s="18" t="s">
        <v>56</v>
      </c>
      <c r="L285" s="1" t="s">
        <v>1646</v>
      </c>
    </row>
    <row r="286" customFormat="false" ht="15" hidden="false" customHeight="true" outlineLevel="0" collapsed="false">
      <c r="A286" s="1" t="s">
        <v>1647</v>
      </c>
      <c r="B286" s="1" t="s">
        <v>472</v>
      </c>
      <c r="C286" s="1" t="s">
        <v>1648</v>
      </c>
      <c r="D286" s="1" t="s">
        <v>1649</v>
      </c>
      <c r="E286" s="1" t="s">
        <v>1650</v>
      </c>
      <c r="F286" s="1" t="s">
        <v>1651</v>
      </c>
      <c r="G286" s="18" t="s">
        <v>74</v>
      </c>
      <c r="H286" s="1" t="str">
        <f aca="false">IF(G286="BUG","BUG-"&amp;A286,IF(G286="FUNCTIONAL","FUNCTIONAL-"&amp;A286,""))</f>
        <v/>
      </c>
      <c r="I286" s="18" t="s">
        <v>42</v>
      </c>
    </row>
    <row r="287" customFormat="false" ht="15" hidden="false" customHeight="true" outlineLevel="0" collapsed="false">
      <c r="A287" s="1" t="s">
        <v>1652</v>
      </c>
      <c r="B287" s="1" t="s">
        <v>507</v>
      </c>
      <c r="C287" s="1" t="s">
        <v>1653</v>
      </c>
      <c r="D287" s="1" t="s">
        <v>509</v>
      </c>
      <c r="E287" s="1" t="s">
        <v>1654</v>
      </c>
      <c r="F287" s="1" t="s">
        <v>1655</v>
      </c>
      <c r="G287" s="18" t="s">
        <v>74</v>
      </c>
      <c r="H287" s="1" t="str">
        <f aca="false">IF(G287="BUG","BUG-"&amp;A287,IF(G287="FUNCTIONAL","FUNCTIONAL-"&amp;A287,""))</f>
        <v/>
      </c>
      <c r="I287" s="18" t="s">
        <v>56</v>
      </c>
    </row>
    <row r="288" customFormat="false" ht="15" hidden="false" customHeight="true" outlineLevel="0" collapsed="false">
      <c r="A288" s="1" t="s">
        <v>1656</v>
      </c>
      <c r="B288" s="1" t="s">
        <v>472</v>
      </c>
      <c r="C288" s="1" t="s">
        <v>1657</v>
      </c>
      <c r="D288" s="1" t="s">
        <v>1649</v>
      </c>
      <c r="E288" s="1" t="s">
        <v>1658</v>
      </c>
      <c r="F288" s="1" t="s">
        <v>1659</v>
      </c>
      <c r="G288" s="18" t="s">
        <v>74</v>
      </c>
      <c r="H288" s="1" t="str">
        <f aca="false">IF(G288="BUG","BUG-"&amp;A288,IF(G288="FUNCTIONAL","FUNCTIONAL-"&amp;A288,""))</f>
        <v/>
      </c>
      <c r="I288" s="18" t="s">
        <v>42</v>
      </c>
    </row>
    <row r="289" customFormat="false" ht="15" hidden="false" customHeight="true" outlineLevel="0" collapsed="false">
      <c r="A289" s="1" t="s">
        <v>1660</v>
      </c>
      <c r="B289" s="1" t="s">
        <v>1661</v>
      </c>
      <c r="C289" s="1" t="s">
        <v>1662</v>
      </c>
      <c r="D289" s="1" t="s">
        <v>1663</v>
      </c>
      <c r="E289" s="1" t="s">
        <v>1664</v>
      </c>
      <c r="F289" s="1" t="s">
        <v>1665</v>
      </c>
      <c r="G289" s="18" t="s">
        <v>74</v>
      </c>
      <c r="H289" s="1" t="str">
        <f aca="false">IF(G289="BUG","BUG-"&amp;A289,IF(G289="FUNCTIONAL","FUNCTIONAL-"&amp;A289,""))</f>
        <v/>
      </c>
      <c r="I289" s="18" t="s">
        <v>42</v>
      </c>
      <c r="L289" s="1" t="s">
        <v>1666</v>
      </c>
    </row>
    <row r="290" customFormat="false" ht="15" hidden="false" customHeight="true" outlineLevel="0" collapsed="false">
      <c r="A290" s="1" t="s">
        <v>1667</v>
      </c>
      <c r="B290" s="1" t="s">
        <v>201</v>
      </c>
      <c r="C290" s="1" t="s">
        <v>1668</v>
      </c>
      <c r="D290" s="1" t="s">
        <v>1669</v>
      </c>
      <c r="E290" s="1" t="s">
        <v>1670</v>
      </c>
      <c r="F290" s="1" t="s">
        <v>1671</v>
      </c>
      <c r="G290" s="18" t="s">
        <v>74</v>
      </c>
      <c r="H290" s="1" t="str">
        <f aca="false">IF(G290="BUG","BUG-"&amp;A290,IF(G290="FUNCTIONAL","FUNCTIONAL-"&amp;A290,""))</f>
        <v/>
      </c>
      <c r="I290" s="18" t="s">
        <v>56</v>
      </c>
      <c r="L290" s="1" t="s">
        <v>1672</v>
      </c>
    </row>
    <row r="291" customFormat="false" ht="15" hidden="false" customHeight="true" outlineLevel="0" collapsed="false">
      <c r="A291" s="1" t="s">
        <v>1673</v>
      </c>
      <c r="B291" s="1" t="s">
        <v>1661</v>
      </c>
      <c r="C291" s="1" t="s">
        <v>1674</v>
      </c>
      <c r="D291" s="1" t="s">
        <v>1675</v>
      </c>
      <c r="E291" s="1" t="s">
        <v>1676</v>
      </c>
      <c r="F291" s="1" t="s">
        <v>1677</v>
      </c>
      <c r="G291" s="18" t="s">
        <v>74</v>
      </c>
      <c r="H291" s="1" t="str">
        <f aca="false">IF(G291="BUG","BUG-"&amp;A291,IF(G291="FUNCTIONAL","FUNCTIONAL-"&amp;A291,""))</f>
        <v/>
      </c>
      <c r="I291" s="18" t="s">
        <v>56</v>
      </c>
      <c r="L291" s="1" t="s">
        <v>1678</v>
      </c>
    </row>
    <row r="292" customFormat="false" ht="15" hidden="false" customHeight="true" outlineLevel="0" collapsed="false">
      <c r="A292" s="1" t="s">
        <v>1679</v>
      </c>
      <c r="B292" s="1" t="s">
        <v>1218</v>
      </c>
      <c r="C292" s="1" t="s">
        <v>1680</v>
      </c>
      <c r="D292" s="1" t="s">
        <v>1155</v>
      </c>
      <c r="E292" s="1" t="s">
        <v>1681</v>
      </c>
      <c r="F292" s="1" t="s">
        <v>1682</v>
      </c>
      <c r="G292" s="1" t="s">
        <v>74</v>
      </c>
      <c r="H292" s="1" t="str">
        <f aca="false">IF(G292="BUG","BUG-"&amp;A292,IF(G292="FUNCTIONAL","FUNCTIONAL-"&amp;A292,""))</f>
        <v/>
      </c>
      <c r="I292" s="1" t="s">
        <v>56</v>
      </c>
      <c r="L292" s="1" t="s">
        <v>1683</v>
      </c>
    </row>
    <row r="293" customFormat="false" ht="15" hidden="false" customHeight="true" outlineLevel="0" collapsed="false">
      <c r="A293" s="1" t="s">
        <v>1684</v>
      </c>
      <c r="B293" s="1" t="s">
        <v>1685</v>
      </c>
      <c r="C293" s="1" t="s">
        <v>1686</v>
      </c>
      <c r="D293" s="1" t="s">
        <v>1687</v>
      </c>
      <c r="E293" s="1" t="s">
        <v>1688</v>
      </c>
      <c r="F293" s="1" t="s">
        <v>1689</v>
      </c>
      <c r="G293" s="1" t="s">
        <v>74</v>
      </c>
      <c r="H293" s="1" t="str">
        <f aca="false">IF(G293="BUG","BUG-"&amp;A293,IF(G293="FUNCTIONAL","FUNCTIONAL-"&amp;A293,""))</f>
        <v/>
      </c>
      <c r="I293" s="1" t="s">
        <v>56</v>
      </c>
      <c r="L293" s="1" t="s">
        <v>1690</v>
      </c>
    </row>
    <row r="294" customFormat="false" ht="15" hidden="false" customHeight="true" outlineLevel="0" collapsed="false">
      <c r="A294" s="1" t="s">
        <v>1691</v>
      </c>
      <c r="B294" s="1" t="s">
        <v>1685</v>
      </c>
      <c r="C294" s="1" t="s">
        <v>1692</v>
      </c>
      <c r="D294" s="1" t="s">
        <v>1693</v>
      </c>
      <c r="E294" s="1" t="s">
        <v>1694</v>
      </c>
      <c r="F294" s="1" t="s">
        <v>1695</v>
      </c>
      <c r="G294" s="1" t="s">
        <v>74</v>
      </c>
      <c r="H294" s="1" t="str">
        <f aca="false">IF(G294="BUG","BUG-"&amp;A294,IF(G294="FUNCTIONAL","FUNCTIONAL-"&amp;A294,""))</f>
        <v/>
      </c>
      <c r="I294" s="1" t="s">
        <v>65</v>
      </c>
      <c r="L294" s="1" t="s">
        <v>1696</v>
      </c>
    </row>
    <row r="295" customFormat="false" ht="15" hidden="false" customHeight="true" outlineLevel="0" collapsed="false">
      <c r="A295" s="1" t="s">
        <v>1697</v>
      </c>
      <c r="B295" s="1" t="s">
        <v>1685</v>
      </c>
      <c r="C295" s="1" t="s">
        <v>1698</v>
      </c>
      <c r="D295" s="1" t="s">
        <v>1693</v>
      </c>
      <c r="E295" s="1" t="s">
        <v>1699</v>
      </c>
      <c r="F295" s="1" t="s">
        <v>1700</v>
      </c>
      <c r="G295" s="1" t="s">
        <v>74</v>
      </c>
      <c r="H295" s="1" t="str">
        <f aca="false">IF(G295="BUG","BUG-"&amp;A295,IF(G295="FUNCTIONAL","FUNCTIONAL-"&amp;A295,""))</f>
        <v/>
      </c>
      <c r="I295" s="1" t="s">
        <v>56</v>
      </c>
      <c r="L295" s="1" t="s">
        <v>1701</v>
      </c>
    </row>
    <row r="296" customFormat="false" ht="15" hidden="false" customHeight="true" outlineLevel="0" collapsed="false">
      <c r="A296" s="1" t="s">
        <v>1702</v>
      </c>
      <c r="B296" s="1" t="s">
        <v>1685</v>
      </c>
      <c r="C296" s="1" t="s">
        <v>1703</v>
      </c>
      <c r="D296" s="1" t="s">
        <v>1704</v>
      </c>
      <c r="E296" s="1" t="s">
        <v>1705</v>
      </c>
      <c r="F296" s="1" t="s">
        <v>1706</v>
      </c>
      <c r="G296" s="1" t="s">
        <v>74</v>
      </c>
      <c r="H296" s="1" t="str">
        <f aca="false">IF(G296="BUG","BUG-"&amp;A296,IF(G296="FUNCTIONAL","FUNCTIONAL-"&amp;A296,""))</f>
        <v/>
      </c>
      <c r="I296" s="1" t="s">
        <v>56</v>
      </c>
      <c r="L296" s="1" t="s">
        <v>1707</v>
      </c>
    </row>
    <row r="297" customFormat="false" ht="15" hidden="false" customHeight="true" outlineLevel="0" collapsed="false">
      <c r="A297" s="1" t="s">
        <v>1708</v>
      </c>
      <c r="B297" s="1" t="s">
        <v>201</v>
      </c>
      <c r="C297" s="1" t="s">
        <v>1709</v>
      </c>
      <c r="D297" s="1" t="s">
        <v>1669</v>
      </c>
      <c r="E297" s="1" t="s">
        <v>1710</v>
      </c>
      <c r="F297" s="1" t="s">
        <v>1711</v>
      </c>
      <c r="G297" s="1" t="s">
        <v>74</v>
      </c>
      <c r="H297" s="1" t="str">
        <f aca="false">IF(G297="BUG","BUG-"&amp;A297,IF(G297="FUNCTIONAL","FUNCTIONAL-"&amp;A297,""))</f>
        <v/>
      </c>
      <c r="I297" s="1" t="s">
        <v>56</v>
      </c>
      <c r="L297" s="1" t="s">
        <v>1712</v>
      </c>
    </row>
    <row r="298" customFormat="false" ht="15" hidden="false" customHeight="true" outlineLevel="0" collapsed="false">
      <c r="A298" s="1" t="s">
        <v>1713</v>
      </c>
      <c r="B298" s="1" t="s">
        <v>201</v>
      </c>
      <c r="C298" s="1" t="s">
        <v>1714</v>
      </c>
      <c r="D298" s="1" t="s">
        <v>1715</v>
      </c>
      <c r="E298" s="1" t="s">
        <v>1716</v>
      </c>
      <c r="F298" s="1" t="s">
        <v>1717</v>
      </c>
      <c r="G298" s="1" t="s">
        <v>74</v>
      </c>
      <c r="H298" s="1" t="str">
        <f aca="false">IF(G298="BUG","BUG-"&amp;A298,IF(G298="FUNCTIONAL","FUNCTIONAL-"&amp;A298,""))</f>
        <v/>
      </c>
      <c r="I298" s="1" t="s">
        <v>56</v>
      </c>
      <c r="L298" s="1" t="s">
        <v>1718</v>
      </c>
    </row>
    <row r="299" customFormat="false" ht="15" hidden="false" customHeight="true" outlineLevel="0" collapsed="false">
      <c r="A299" s="1" t="s">
        <v>1719</v>
      </c>
      <c r="B299" s="1" t="s">
        <v>201</v>
      </c>
      <c r="C299" s="1" t="s">
        <v>1720</v>
      </c>
      <c r="D299" s="1" t="s">
        <v>1721</v>
      </c>
      <c r="E299" s="1" t="s">
        <v>1716</v>
      </c>
      <c r="F299" s="1" t="s">
        <v>1722</v>
      </c>
      <c r="G299" s="1" t="s">
        <v>74</v>
      </c>
      <c r="H299" s="1" t="str">
        <f aca="false">IF(G299="BUG","BUG-"&amp;A299,IF(G299="FUNCTIONAL","FUNCTIONAL-"&amp;A299,""))</f>
        <v/>
      </c>
      <c r="I299" s="1" t="s">
        <v>56</v>
      </c>
      <c r="L299" s="1" t="s">
        <v>1723</v>
      </c>
    </row>
    <row r="300" customFormat="false" ht="15" hidden="false" customHeight="true" outlineLevel="0" collapsed="false">
      <c r="A300" s="1" t="s">
        <v>1724</v>
      </c>
      <c r="B300" s="1" t="s">
        <v>201</v>
      </c>
      <c r="C300" s="1" t="s">
        <v>1725</v>
      </c>
      <c r="D300" s="1" t="s">
        <v>1726</v>
      </c>
      <c r="E300" s="1" t="s">
        <v>1727</v>
      </c>
      <c r="F300" s="1" t="s">
        <v>1728</v>
      </c>
      <c r="G300" s="1" t="s">
        <v>74</v>
      </c>
      <c r="H300" s="1" t="str">
        <f aca="false">IF(G300="BUG","BUG-"&amp;A300,IF(G300="FUNCTIONAL","FUNCTIONAL-"&amp;A300,""))</f>
        <v/>
      </c>
      <c r="I300" s="1" t="s">
        <v>42</v>
      </c>
      <c r="L300" s="1" t="s">
        <v>1729</v>
      </c>
    </row>
    <row r="301" customFormat="false" ht="15" hidden="false" customHeight="true" outlineLevel="0" collapsed="false">
      <c r="A301" s="1" t="s">
        <v>1730</v>
      </c>
      <c r="B301" s="1" t="s">
        <v>472</v>
      </c>
      <c r="C301" s="1" t="s">
        <v>1731</v>
      </c>
      <c r="D301" s="1" t="s">
        <v>1732</v>
      </c>
      <c r="E301" s="1" t="s">
        <v>1733</v>
      </c>
      <c r="F301" s="1" t="s">
        <v>1734</v>
      </c>
      <c r="G301" s="1" t="s">
        <v>74</v>
      </c>
      <c r="H301" s="1" t="str">
        <f aca="false">IF(G301="BUG","BUG-"&amp;A301,IF(G301="FUNCTIONAL","FUNCTIONAL-"&amp;A301,""))</f>
        <v/>
      </c>
      <c r="I301" s="1" t="s">
        <v>42</v>
      </c>
      <c r="L301" s="1" t="s">
        <v>1735</v>
      </c>
    </row>
    <row r="302" customFormat="false" ht="15" hidden="false" customHeight="true" outlineLevel="0" collapsed="false">
      <c r="A302" s="1" t="s">
        <v>1736</v>
      </c>
      <c r="B302" s="1" t="s">
        <v>1255</v>
      </c>
      <c r="C302" s="1" t="s">
        <v>1737</v>
      </c>
      <c r="D302" s="1" t="s">
        <v>1155</v>
      </c>
      <c r="E302" s="1" t="s">
        <v>1257</v>
      </c>
      <c r="F302" s="1" t="s">
        <v>1738</v>
      </c>
      <c r="G302" s="1" t="s">
        <v>74</v>
      </c>
      <c r="H302" s="1" t="str">
        <f aca="false">IF(G302="BUG","BUG-"&amp;A302,IF(G302="FUNCTIONAL","FUNCTIONAL-"&amp;A302,""))</f>
        <v/>
      </c>
      <c r="I302" s="1" t="s">
        <v>56</v>
      </c>
      <c r="L302" s="1" t="s">
        <v>1739</v>
      </c>
    </row>
    <row r="303" customFormat="false" ht="15" hidden="false" customHeight="true" outlineLevel="0" collapsed="false">
      <c r="A303" s="1" t="s">
        <v>1740</v>
      </c>
      <c r="B303" s="1" t="s">
        <v>517</v>
      </c>
      <c r="C303" s="1" t="s">
        <v>1741</v>
      </c>
      <c r="D303" s="1" t="s">
        <v>1051</v>
      </c>
      <c r="E303" s="1" t="s">
        <v>1742</v>
      </c>
      <c r="F303" s="1" t="s">
        <v>1743</v>
      </c>
      <c r="G303" s="1" t="s">
        <v>74</v>
      </c>
      <c r="H303" s="1" t="str">
        <f aca="false">IF(G303="BUG","BUG-"&amp;A303,IF(G303="FUNCTIONAL","FUNCTIONAL-"&amp;A303,""))</f>
        <v/>
      </c>
      <c r="I303" s="1" t="s">
        <v>42</v>
      </c>
      <c r="L303" s="1" t="s">
        <v>1744</v>
      </c>
    </row>
    <row r="304" customFormat="false" ht="15" hidden="false" customHeight="true" outlineLevel="0" collapsed="false">
      <c r="A304" s="1" t="s">
        <v>1745</v>
      </c>
      <c r="B304" s="1" t="s">
        <v>1746</v>
      </c>
      <c r="C304" s="1" t="s">
        <v>1747</v>
      </c>
      <c r="D304" s="1" t="s">
        <v>1748</v>
      </c>
      <c r="E304" s="1" t="s">
        <v>1749</v>
      </c>
      <c r="F304" s="1" t="s">
        <v>1750</v>
      </c>
      <c r="G304" s="1" t="s">
        <v>74</v>
      </c>
      <c r="H304" s="1" t="str">
        <f aca="false">IF(G304="BUG","BUG-"&amp;A304,IF(G304="FUNCTIONAL","FUNCTIONAL-"&amp;A304,""))</f>
        <v/>
      </c>
      <c r="I304" s="1" t="s">
        <v>56</v>
      </c>
      <c r="L304" s="1" t="s">
        <v>1751</v>
      </c>
    </row>
    <row r="305" customFormat="false" ht="15" hidden="false" customHeight="true" outlineLevel="0" collapsed="false">
      <c r="A305" s="1" t="s">
        <v>1752</v>
      </c>
      <c r="B305" s="1" t="s">
        <v>1746</v>
      </c>
      <c r="C305" s="1" t="s">
        <v>1753</v>
      </c>
      <c r="D305" s="1" t="s">
        <v>1051</v>
      </c>
      <c r="E305" s="1" t="s">
        <v>1754</v>
      </c>
      <c r="F305" s="1" t="s">
        <v>1755</v>
      </c>
      <c r="G305" s="1" t="s">
        <v>74</v>
      </c>
      <c r="H305" s="1" t="str">
        <f aca="false">IF(G305="BUG","BUG-"&amp;A305,IF(G305="FUNCTIONAL","FUNCTIONAL-"&amp;A305,""))</f>
        <v/>
      </c>
      <c r="I305" s="1" t="s">
        <v>56</v>
      </c>
      <c r="L305" s="1" t="s">
        <v>1756</v>
      </c>
    </row>
    <row r="306" customFormat="false" ht="15" hidden="false" customHeight="true" outlineLevel="0" collapsed="false">
      <c r="A306" s="1" t="s">
        <v>1757</v>
      </c>
      <c r="B306" s="1" t="s">
        <v>1746</v>
      </c>
      <c r="C306" s="1" t="s">
        <v>1758</v>
      </c>
      <c r="D306" s="1" t="s">
        <v>1759</v>
      </c>
      <c r="E306" s="1" t="s">
        <v>1760</v>
      </c>
      <c r="F306" s="1" t="s">
        <v>1761</v>
      </c>
      <c r="G306" s="1" t="s">
        <v>74</v>
      </c>
      <c r="H306" s="1" t="str">
        <f aca="false">IF(G306="BUG","BUG-"&amp;A306,IF(G306="FUNCTIONAL","FUNCTIONAL-"&amp;A306,""))</f>
        <v/>
      </c>
      <c r="I306" s="1" t="s">
        <v>65</v>
      </c>
      <c r="L306" s="1" t="s">
        <v>1762</v>
      </c>
    </row>
    <row r="307" customFormat="false" ht="15" hidden="false" customHeight="true" outlineLevel="0" collapsed="false">
      <c r="A307" s="1" t="s">
        <v>1763</v>
      </c>
      <c r="B307" s="1" t="s">
        <v>1746</v>
      </c>
      <c r="C307" s="1" t="s">
        <v>1764</v>
      </c>
      <c r="D307" s="1" t="s">
        <v>61</v>
      </c>
      <c r="E307" s="1" t="s">
        <v>1765</v>
      </c>
      <c r="F307" s="1" t="s">
        <v>1766</v>
      </c>
      <c r="G307" s="1" t="s">
        <v>74</v>
      </c>
      <c r="H307" s="1" t="str">
        <f aca="false">IF(G307="BUG","BUG-"&amp;A307,IF(G307="FUNCTIONAL","FUNCTIONAL-"&amp;A307,""))</f>
        <v/>
      </c>
      <c r="I307" s="1" t="s">
        <v>65</v>
      </c>
      <c r="L307" s="1" t="s">
        <v>1767</v>
      </c>
    </row>
    <row r="308" customFormat="false" ht="15" hidden="false" customHeight="true" outlineLevel="0" collapsed="false">
      <c r="A308" s="1" t="s">
        <v>1768</v>
      </c>
      <c r="B308" s="1" t="s">
        <v>1746</v>
      </c>
      <c r="C308" s="1" t="s">
        <v>1769</v>
      </c>
      <c r="D308" s="1" t="s">
        <v>1770</v>
      </c>
      <c r="E308" s="1" t="s">
        <v>1771</v>
      </c>
      <c r="F308" s="1" t="s">
        <v>1772</v>
      </c>
      <c r="G308" s="1" t="s">
        <v>74</v>
      </c>
      <c r="H308" s="1" t="str">
        <f aca="false">IF(G308="BUG","BUG-"&amp;A308,IF(G308="FUNCTIONAL","FUNCTIONAL-"&amp;A308,""))</f>
        <v/>
      </c>
      <c r="I308" s="1" t="s">
        <v>42</v>
      </c>
      <c r="L308" s="1" t="s">
        <v>1773</v>
      </c>
    </row>
    <row r="309" customFormat="false" ht="15" hidden="false" customHeight="true" outlineLevel="0" collapsed="false">
      <c r="A309" s="1" t="s">
        <v>1774</v>
      </c>
      <c r="B309" s="1" t="s">
        <v>1746</v>
      </c>
      <c r="C309" s="1" t="s">
        <v>1775</v>
      </c>
      <c r="D309" s="1" t="s">
        <v>61</v>
      </c>
      <c r="E309" s="1" t="s">
        <v>1776</v>
      </c>
      <c r="F309" s="1" t="s">
        <v>1777</v>
      </c>
      <c r="G309" s="1" t="s">
        <v>74</v>
      </c>
      <c r="H309" s="1" t="str">
        <f aca="false">IF(G309="BUG","BUG-"&amp;A309,IF(G309="FUNCTIONAL","FUNCTIONAL-"&amp;A309,""))</f>
        <v/>
      </c>
      <c r="I309" s="1" t="s">
        <v>56</v>
      </c>
      <c r="L309" s="1" t="s">
        <v>1778</v>
      </c>
    </row>
    <row r="310" customFormat="false" ht="15" hidden="false" customHeight="true" outlineLevel="0" collapsed="false">
      <c r="A310" s="1" t="s">
        <v>1779</v>
      </c>
      <c r="B310" s="1" t="s">
        <v>430</v>
      </c>
      <c r="C310" s="1" t="s">
        <v>1780</v>
      </c>
      <c r="D310" s="1" t="s">
        <v>264</v>
      </c>
      <c r="E310" s="1" t="s">
        <v>1781</v>
      </c>
      <c r="F310" s="1" t="s">
        <v>1782</v>
      </c>
      <c r="G310" s="1" t="s">
        <v>74</v>
      </c>
      <c r="H310" s="1" t="str">
        <f aca="false">IF(G310="BUG","BUG-"&amp;A310,IF(G310="FUNCTIONAL","FUNCTIONAL-"&amp;A310,""))</f>
        <v/>
      </c>
      <c r="I310" s="1" t="s">
        <v>56</v>
      </c>
      <c r="L310" s="1" t="s">
        <v>1783</v>
      </c>
    </row>
    <row r="311" customFormat="false" ht="15" hidden="false" customHeight="true" outlineLevel="0" collapsed="false">
      <c r="A311" s="1" t="s">
        <v>1784</v>
      </c>
      <c r="B311" s="1" t="s">
        <v>1785</v>
      </c>
      <c r="C311" s="1" t="s">
        <v>1786</v>
      </c>
      <c r="D311" s="1" t="s">
        <v>1787</v>
      </c>
      <c r="E311" s="1" t="s">
        <v>1788</v>
      </c>
      <c r="F311" s="1" t="s">
        <v>1789</v>
      </c>
      <c r="G311" s="1" t="s">
        <v>74</v>
      </c>
      <c r="H311" s="1" t="str">
        <f aca="false">IF(G311="BUG","BUG-"&amp;A311,IF(G311="FUNCTIONAL","FUNCTIONAL-"&amp;A311,""))</f>
        <v/>
      </c>
      <c r="I311" s="1" t="s">
        <v>56</v>
      </c>
      <c r="L311" s="1" t="s">
        <v>1790</v>
      </c>
    </row>
    <row r="312" customFormat="false" ht="15" hidden="false" customHeight="true" outlineLevel="0" collapsed="false">
      <c r="A312" s="1" t="s">
        <v>1791</v>
      </c>
      <c r="B312" s="1" t="s">
        <v>114</v>
      </c>
      <c r="C312" s="1" t="s">
        <v>1792</v>
      </c>
      <c r="D312" s="1" t="s">
        <v>1793</v>
      </c>
      <c r="E312" s="1" t="s">
        <v>1794</v>
      </c>
      <c r="F312" s="1" t="s">
        <v>1795</v>
      </c>
      <c r="G312" s="1" t="s">
        <v>74</v>
      </c>
      <c r="H312" s="1" t="str">
        <f aca="false">IF(G312="BUG","BUG-"&amp;A312,IF(G312="FUNCTIONAL","FUNCTIONAL-"&amp;A312,""))</f>
        <v/>
      </c>
      <c r="I312" s="1" t="s">
        <v>56</v>
      </c>
      <c r="L312" s="1" t="s">
        <v>1796</v>
      </c>
    </row>
    <row r="313" customFormat="false" ht="15" hidden="false" customHeight="true" outlineLevel="0" collapsed="false">
      <c r="A313" s="1" t="s">
        <v>1797</v>
      </c>
      <c r="B313" s="1" t="s">
        <v>1798</v>
      </c>
      <c r="C313" s="1" t="s">
        <v>1799</v>
      </c>
      <c r="D313" s="1" t="s">
        <v>264</v>
      </c>
      <c r="E313" s="1" t="s">
        <v>1800</v>
      </c>
      <c r="F313" s="1" t="s">
        <v>1801</v>
      </c>
      <c r="G313" s="1" t="s">
        <v>74</v>
      </c>
      <c r="H313" s="1" t="str">
        <f aca="false">IF(G313="BUG","BUG-"&amp;A313,IF(G313="FUNCTIONAL","FUNCTIONAL-"&amp;A313,""))</f>
        <v/>
      </c>
      <c r="I313" s="1" t="s">
        <v>56</v>
      </c>
      <c r="L313" s="1" t="s">
        <v>1802</v>
      </c>
    </row>
    <row r="314" customFormat="false" ht="15" hidden="false" customHeight="true" outlineLevel="0" collapsed="false">
      <c r="A314" s="1" t="s">
        <v>1803</v>
      </c>
      <c r="B314" s="1" t="s">
        <v>1798</v>
      </c>
      <c r="C314" s="1" t="s">
        <v>1804</v>
      </c>
      <c r="D314" s="1" t="s">
        <v>264</v>
      </c>
      <c r="E314" s="1" t="s">
        <v>1805</v>
      </c>
      <c r="F314" s="1" t="s">
        <v>1806</v>
      </c>
      <c r="G314" s="1" t="s">
        <v>74</v>
      </c>
      <c r="H314" s="1" t="str">
        <f aca="false">IF(G314="BUG","BUG-"&amp;A314,IF(G314="FUNCTIONAL","FUNCTIONAL-"&amp;A314,""))</f>
        <v/>
      </c>
      <c r="I314" s="1" t="s">
        <v>56</v>
      </c>
      <c r="L314" s="1" t="s">
        <v>1807</v>
      </c>
    </row>
    <row r="315" customFormat="false" ht="15" hidden="false" customHeight="true" outlineLevel="0" collapsed="false">
      <c r="A315" s="1" t="s">
        <v>1808</v>
      </c>
      <c r="B315" s="1" t="s">
        <v>1218</v>
      </c>
      <c r="C315" s="1" t="s">
        <v>1809</v>
      </c>
      <c r="D315" s="1" t="s">
        <v>1810</v>
      </c>
      <c r="E315" s="1" t="s">
        <v>1811</v>
      </c>
      <c r="F315" s="1" t="s">
        <v>1812</v>
      </c>
      <c r="G315" s="1" t="s">
        <v>74</v>
      </c>
      <c r="H315" s="1" t="str">
        <f aca="false">IF(G315="BUG","BUG-"&amp;A315,IF(G315="FUNCTIONAL","FUNCTIONAL-"&amp;A315,""))</f>
        <v/>
      </c>
    </row>
    <row r="316" customFormat="false" ht="15" hidden="false" customHeight="true" outlineLevel="0" collapsed="false">
      <c r="A316" s="1" t="s">
        <v>1813</v>
      </c>
      <c r="B316" s="1" t="s">
        <v>1814</v>
      </c>
      <c r="C316" s="1" t="s">
        <v>1815</v>
      </c>
      <c r="D316" s="1" t="s">
        <v>1816</v>
      </c>
      <c r="E316" s="1" t="s">
        <v>1817</v>
      </c>
      <c r="F316" s="1" t="s">
        <v>1818</v>
      </c>
      <c r="G316" s="1" t="s">
        <v>74</v>
      </c>
      <c r="H316" s="1" t="str">
        <f aca="false">IF(G316="BUG","BUG-"&amp;A316,IF(G316="FUNCTIONAL","FUNCTIONAL-"&amp;A316,""))</f>
        <v/>
      </c>
    </row>
    <row r="317" customFormat="false" ht="15" hidden="false" customHeight="true" outlineLevel="0" collapsed="false">
      <c r="A317" s="1" t="s">
        <v>1819</v>
      </c>
      <c r="B317" s="1" t="s">
        <v>1820</v>
      </c>
      <c r="C317" s="1" t="s">
        <v>1821</v>
      </c>
      <c r="D317" s="1" t="s">
        <v>1822</v>
      </c>
      <c r="E317" s="1" t="s">
        <v>1823</v>
      </c>
      <c r="F317" s="1" t="s">
        <v>1824</v>
      </c>
      <c r="G317" s="1" t="s">
        <v>74</v>
      </c>
      <c r="H317" s="1" t="str">
        <f aca="false">IF(G317="BUG","BUG-"&amp;A317,IF(G317="FUNCTIONAL","FUNCTIONAL-"&amp;A317,""))</f>
        <v/>
      </c>
    </row>
    <row r="318" customFormat="false" ht="15" hidden="false" customHeight="true" outlineLevel="0" collapsed="false">
      <c r="A318" s="1" t="s">
        <v>1825</v>
      </c>
      <c r="B318" s="1" t="s">
        <v>1826</v>
      </c>
      <c r="C318" s="1" t="s">
        <v>1827</v>
      </c>
      <c r="D318" s="1" t="s">
        <v>1828</v>
      </c>
      <c r="E318" s="1" t="s">
        <v>1829</v>
      </c>
      <c r="F318" s="1" t="s">
        <v>1830</v>
      </c>
      <c r="G318" s="1" t="s">
        <v>74</v>
      </c>
      <c r="H318" s="1" t="str">
        <f aca="false">IF(G318="BUG","BUG-"&amp;A318,IF(G318="FUNCTIONAL","FUNCTIONAL-"&amp;A318,""))</f>
        <v/>
      </c>
    </row>
    <row r="319" customFormat="false" ht="15" hidden="false" customHeight="true" outlineLevel="0" collapsed="false">
      <c r="A319" s="1" t="s">
        <v>1831</v>
      </c>
      <c r="B319" s="1" t="s">
        <v>1832</v>
      </c>
      <c r="C319" s="1" t="s">
        <v>1833</v>
      </c>
      <c r="D319" s="1" t="s">
        <v>1834</v>
      </c>
      <c r="E319" s="1" t="s">
        <v>1835</v>
      </c>
      <c r="F319" s="1" t="s">
        <v>1836</v>
      </c>
      <c r="G319" s="1" t="s">
        <v>74</v>
      </c>
      <c r="H319" s="1" t="str">
        <f aca="false">IF(G319="BUG","BUG-"&amp;A319,IF(G319="FUNCTIONAL","FUNCTIONAL-"&amp;A319,""))</f>
        <v/>
      </c>
    </row>
    <row r="320" customFormat="false" ht="15" hidden="false" customHeight="true" outlineLevel="0" collapsed="false">
      <c r="A320" s="1" t="s">
        <v>1837</v>
      </c>
      <c r="B320" s="1" t="s">
        <v>1838</v>
      </c>
      <c r="C320" s="1" t="s">
        <v>1839</v>
      </c>
      <c r="D320" s="1" t="s">
        <v>264</v>
      </c>
      <c r="E320" s="1" t="s">
        <v>1840</v>
      </c>
      <c r="F320" s="1" t="s">
        <v>1841</v>
      </c>
      <c r="G320" s="1" t="s">
        <v>74</v>
      </c>
      <c r="H320" s="1" t="str">
        <f aca="false">IF(G320="BUG","BUG-"&amp;A320,IF(G320="FUNCTIONAL","FUNCTIONAL-"&amp;A320,""))</f>
        <v/>
      </c>
    </row>
    <row r="321" customFormat="false" ht="15" hidden="false" customHeight="true" outlineLevel="0" collapsed="false">
      <c r="A321" s="1" t="s">
        <v>1842</v>
      </c>
      <c r="B321" s="1" t="s">
        <v>1843</v>
      </c>
      <c r="C321" s="1" t="s">
        <v>1844</v>
      </c>
      <c r="D321" s="1" t="s">
        <v>264</v>
      </c>
      <c r="E321" s="1" t="s">
        <v>1845</v>
      </c>
      <c r="F321" s="1" t="s">
        <v>1846</v>
      </c>
      <c r="G321" s="1" t="s">
        <v>74</v>
      </c>
      <c r="H321" s="1" t="str">
        <f aca="false">IF(G321="BUG","BUG-"&amp;A321,IF(G321="FUNCTIONAL","FUNCTIONAL-"&amp;A321,""))</f>
        <v/>
      </c>
    </row>
    <row r="322" customFormat="false" ht="15" hidden="false" customHeight="true" outlineLevel="0" collapsed="false">
      <c r="A322" s="1" t="s">
        <v>1847</v>
      </c>
      <c r="B322" s="1" t="s">
        <v>1848</v>
      </c>
      <c r="C322" s="1" t="s">
        <v>1849</v>
      </c>
      <c r="D322" s="1" t="s">
        <v>264</v>
      </c>
      <c r="E322" s="1" t="s">
        <v>1850</v>
      </c>
      <c r="F322" s="1" t="s">
        <v>1851</v>
      </c>
      <c r="G322" s="1" t="s">
        <v>74</v>
      </c>
      <c r="H322" s="1" t="str">
        <f aca="false">IF(G322="BUG","BUG-"&amp;A322,IF(G322="FUNCTIONAL","FUNCTIONAL-"&amp;A322,""))</f>
        <v/>
      </c>
    </row>
    <row r="323" customFormat="false" ht="15" hidden="false" customHeight="true" outlineLevel="0" collapsed="false">
      <c r="A323" s="1" t="s">
        <v>1852</v>
      </c>
      <c r="B323" s="1" t="s">
        <v>1853</v>
      </c>
      <c r="C323" s="1" t="s">
        <v>1854</v>
      </c>
      <c r="D323" s="1" t="s">
        <v>1855</v>
      </c>
      <c r="E323" s="1" t="s">
        <v>1856</v>
      </c>
      <c r="F323" s="1" t="s">
        <v>1857</v>
      </c>
      <c r="G323" s="1" t="s">
        <v>74</v>
      </c>
      <c r="H323" s="1" t="str">
        <f aca="false">IF(G323="BUG","BUG-"&amp;A323,IF(G323="FUNCTIONAL","FUNCTIONAL-"&amp;A323,""))</f>
        <v/>
      </c>
    </row>
    <row r="324" customFormat="false" ht="15" hidden="false" customHeight="true" outlineLevel="0" collapsed="false">
      <c r="A324" s="1" t="s">
        <v>1858</v>
      </c>
      <c r="B324" s="1" t="s">
        <v>1853</v>
      </c>
      <c r="C324" s="1" t="s">
        <v>1859</v>
      </c>
      <c r="D324" s="1" t="s">
        <v>1860</v>
      </c>
      <c r="E324" s="1" t="s">
        <v>1861</v>
      </c>
      <c r="F324" s="1" t="s">
        <v>1862</v>
      </c>
      <c r="G324" s="1" t="s">
        <v>74</v>
      </c>
      <c r="H324" s="1" t="str">
        <f aca="false">IF(G324="BUG","BUG-"&amp;A324,IF(G324="FUNCTIONAL","FUNCTIONAL-"&amp;A324,""))</f>
        <v/>
      </c>
    </row>
    <row r="325" customFormat="false" ht="15" hidden="false" customHeight="true" outlineLevel="0" collapsed="false">
      <c r="A325" s="1" t="s">
        <v>1863</v>
      </c>
      <c r="B325" s="1" t="s">
        <v>1853</v>
      </c>
      <c r="C325" s="1" t="s">
        <v>1864</v>
      </c>
      <c r="D325" s="1" t="s">
        <v>264</v>
      </c>
      <c r="E325" s="1" t="s">
        <v>1865</v>
      </c>
      <c r="F325" s="1" t="s">
        <v>1866</v>
      </c>
      <c r="G325" s="1" t="s">
        <v>74</v>
      </c>
      <c r="H325" s="1" t="str">
        <f aca="false">IF(G325="BUG","BUG-"&amp;A325,IF(G325="FUNCTIONAL","FUNCTIONAL-"&amp;A325,""))</f>
        <v/>
      </c>
    </row>
    <row r="326" customFormat="false" ht="15" hidden="false" customHeight="true" outlineLevel="0" collapsed="false">
      <c r="A326" s="1" t="s">
        <v>1867</v>
      </c>
      <c r="B326" s="1" t="s">
        <v>1868</v>
      </c>
      <c r="C326" s="1" t="s">
        <v>1869</v>
      </c>
      <c r="D326" s="1" t="s">
        <v>264</v>
      </c>
      <c r="E326" s="1" t="s">
        <v>1870</v>
      </c>
      <c r="F326" s="1" t="s">
        <v>1871</v>
      </c>
      <c r="G326" s="1" t="s">
        <v>74</v>
      </c>
      <c r="H326" s="1" t="str">
        <f aca="false">IF(G326="BUG","BUG-"&amp;A326,IF(G326="FUNCTIONAL","FUNCTIONAL-"&amp;A326,""))</f>
        <v/>
      </c>
    </row>
    <row r="327" customFormat="false" ht="15" hidden="false" customHeight="true" outlineLevel="0" collapsed="false">
      <c r="A327" s="1" t="s">
        <v>1872</v>
      </c>
      <c r="B327" s="1" t="s">
        <v>1873</v>
      </c>
      <c r="C327" s="1" t="s">
        <v>1874</v>
      </c>
      <c r="D327" s="1" t="s">
        <v>1875</v>
      </c>
      <c r="E327" s="1" t="s">
        <v>1876</v>
      </c>
      <c r="F327" s="1" t="s">
        <v>1877</v>
      </c>
      <c r="G327" s="1" t="s">
        <v>74</v>
      </c>
      <c r="H327" s="1" t="str">
        <f aca="false">IF(G327="BUG","BUG-"&amp;A327,IF(G327="FUNCTIONAL","FUNCTIONAL-"&amp;A327,""))</f>
        <v/>
      </c>
    </row>
    <row r="328" customFormat="false" ht="15" hidden="false" customHeight="true" outlineLevel="0" collapsed="false">
      <c r="A328" s="1" t="s">
        <v>1878</v>
      </c>
      <c r="B328" s="1" t="s">
        <v>1873</v>
      </c>
      <c r="C328" s="1" t="s">
        <v>1879</v>
      </c>
      <c r="D328" s="1" t="s">
        <v>1880</v>
      </c>
      <c r="E328" s="1" t="s">
        <v>1881</v>
      </c>
      <c r="F328" s="1" t="s">
        <v>1882</v>
      </c>
      <c r="G328" s="1" t="s">
        <v>74</v>
      </c>
      <c r="H328" s="1" t="str">
        <f aca="false">IF(G328="BUG","BUG-"&amp;A328,IF(G328="FUNCTIONAL","FUNCTIONAL-"&amp;A328,""))</f>
        <v/>
      </c>
    </row>
    <row r="329" customFormat="false" ht="15" hidden="false" customHeight="true" outlineLevel="0" collapsed="false">
      <c r="A329" s="1" t="s">
        <v>1883</v>
      </c>
      <c r="B329" s="1" t="s">
        <v>1873</v>
      </c>
      <c r="C329" s="1" t="s">
        <v>1884</v>
      </c>
      <c r="D329" s="1" t="s">
        <v>1885</v>
      </c>
      <c r="E329" s="1" t="s">
        <v>1886</v>
      </c>
      <c r="F329" s="1" t="s">
        <v>1887</v>
      </c>
      <c r="G329" s="1" t="s">
        <v>74</v>
      </c>
      <c r="H329" s="1" t="str">
        <f aca="false">IF(G329="BUG","BUG-"&amp;A329,IF(G329="FUNCTIONAL","FUNCTIONAL-"&amp;A329,""))</f>
        <v/>
      </c>
    </row>
    <row r="330" customFormat="false" ht="15" hidden="false" customHeight="true" outlineLevel="0" collapsed="false">
      <c r="A330" s="1" t="s">
        <v>1888</v>
      </c>
      <c r="B330" s="1" t="s">
        <v>1889</v>
      </c>
      <c r="C330" s="1" t="s">
        <v>1890</v>
      </c>
      <c r="D330" s="1" t="s">
        <v>1891</v>
      </c>
      <c r="E330" s="1" t="s">
        <v>1892</v>
      </c>
      <c r="F330" s="1" t="s">
        <v>1893</v>
      </c>
      <c r="G330" s="1" t="s">
        <v>74</v>
      </c>
      <c r="H330" s="1" t="str">
        <f aca="false">IF(G330="BUG","BUG-"&amp;A330,IF(G330="FUNCTIONAL","FUNCTIONAL-"&amp;A330,""))</f>
        <v/>
      </c>
    </row>
    <row r="331" customFormat="false" ht="15" hidden="false" customHeight="true" outlineLevel="0" collapsed="false">
      <c r="A331" s="1" t="s">
        <v>1894</v>
      </c>
      <c r="B331" s="1" t="s">
        <v>1889</v>
      </c>
      <c r="C331" s="1" t="s">
        <v>1895</v>
      </c>
      <c r="D331" s="1" t="s">
        <v>1896</v>
      </c>
      <c r="E331" s="1" t="s">
        <v>1897</v>
      </c>
      <c r="F331" s="1" t="s">
        <v>1898</v>
      </c>
      <c r="G331" s="1" t="s">
        <v>74</v>
      </c>
      <c r="H331" s="1" t="str">
        <f aca="false">IF(G331="BUG","BUG-"&amp;A331,IF(G331="FUNCTIONAL","FUNCTIONAL-"&amp;A331,""))</f>
        <v/>
      </c>
    </row>
    <row r="332" customFormat="false" ht="15" hidden="false" customHeight="true" outlineLevel="0" collapsed="false">
      <c r="A332" s="1" t="s">
        <v>1899</v>
      </c>
      <c r="B332" s="1" t="s">
        <v>1900</v>
      </c>
      <c r="C332" s="1" t="s">
        <v>1901</v>
      </c>
      <c r="D332" s="1" t="s">
        <v>264</v>
      </c>
      <c r="E332" s="1" t="s">
        <v>1902</v>
      </c>
      <c r="F332" s="1" t="s">
        <v>1903</v>
      </c>
      <c r="G332" s="1" t="s">
        <v>74</v>
      </c>
      <c r="H332" s="1" t="str">
        <f aca="false">IF(G332="BUG","BUG-"&amp;A332,IF(G332="FUNCTIONAL","FUNCTIONAL-"&amp;A332,""))</f>
        <v/>
      </c>
    </row>
    <row r="333" customFormat="false" ht="15" hidden="false" customHeight="true" outlineLevel="0" collapsed="false">
      <c r="A333" s="1" t="s">
        <v>1904</v>
      </c>
      <c r="B333" s="1" t="s">
        <v>1900</v>
      </c>
      <c r="C333" s="1" t="s">
        <v>1905</v>
      </c>
      <c r="D333" s="1" t="s">
        <v>264</v>
      </c>
      <c r="E333" s="1" t="s">
        <v>1906</v>
      </c>
      <c r="F333" s="1" t="s">
        <v>1907</v>
      </c>
      <c r="G333" s="1" t="s">
        <v>74</v>
      </c>
      <c r="H333" s="1" t="str">
        <f aca="false">IF(G333="BUG","BUG-"&amp;A333,IF(G333="FUNCTIONAL","FUNCTIONAL-"&amp;A333,""))</f>
        <v/>
      </c>
    </row>
    <row r="334" customFormat="false" ht="15" hidden="false" customHeight="true" outlineLevel="0" collapsed="false">
      <c r="A334" s="1" t="s">
        <v>1908</v>
      </c>
      <c r="B334" s="1" t="s">
        <v>1900</v>
      </c>
      <c r="C334" s="1" t="s">
        <v>1909</v>
      </c>
      <c r="D334" s="1" t="s">
        <v>264</v>
      </c>
      <c r="E334" s="1" t="s">
        <v>1910</v>
      </c>
      <c r="F334" s="1" t="s">
        <v>1911</v>
      </c>
      <c r="G334" s="1" t="s">
        <v>74</v>
      </c>
      <c r="H334" s="1" t="str">
        <f aca="false">IF(G334="BUG","BUG-"&amp;A334,IF(G334="FUNCTIONAL","FUNCTIONAL-"&amp;A334,""))</f>
        <v/>
      </c>
    </row>
    <row r="335" customFormat="false" ht="15" hidden="false" customHeight="true" outlineLevel="0" collapsed="false">
      <c r="A335" s="1" t="s">
        <v>1912</v>
      </c>
      <c r="B335" s="1" t="s">
        <v>1900</v>
      </c>
      <c r="C335" s="1" t="s">
        <v>1913</v>
      </c>
      <c r="D335" s="1" t="s">
        <v>264</v>
      </c>
      <c r="E335" s="1" t="s">
        <v>1914</v>
      </c>
      <c r="F335" s="1" t="s">
        <v>1915</v>
      </c>
      <c r="G335" s="1" t="s">
        <v>74</v>
      </c>
      <c r="H335" s="1" t="str">
        <f aca="false">IF(G335="BUG","BUG-"&amp;A335,IF(G335="FUNCTIONAL","FUNCTIONAL-"&amp;A335,""))</f>
        <v/>
      </c>
    </row>
    <row r="336" customFormat="false" ht="15" hidden="false" customHeight="true" outlineLevel="0" collapsed="false">
      <c r="A336" s="1" t="s">
        <v>1916</v>
      </c>
      <c r="B336" s="1" t="s">
        <v>1917</v>
      </c>
      <c r="C336" s="1" t="s">
        <v>1918</v>
      </c>
      <c r="D336" s="1" t="s">
        <v>1919</v>
      </c>
      <c r="E336" s="1" t="s">
        <v>1920</v>
      </c>
      <c r="F336" s="1" t="s">
        <v>1921</v>
      </c>
      <c r="G336" s="1" t="s">
        <v>74</v>
      </c>
      <c r="H336" s="1" t="str">
        <f aca="false">IF(G336="BUG","BUG-"&amp;A336,IF(G336="FUNCTIONAL","FUNCTIONAL-"&amp;A336,""))</f>
        <v/>
      </c>
    </row>
    <row r="337" customFormat="false" ht="15" hidden="false" customHeight="true" outlineLevel="0" collapsed="false">
      <c r="A337" s="1" t="s">
        <v>1922</v>
      </c>
      <c r="B337" s="1" t="s">
        <v>1923</v>
      </c>
      <c r="C337" s="1" t="s">
        <v>1924</v>
      </c>
      <c r="D337" s="1" t="s">
        <v>264</v>
      </c>
      <c r="E337" s="1" t="s">
        <v>1925</v>
      </c>
      <c r="F337" s="1" t="s">
        <v>1926</v>
      </c>
      <c r="G337" s="1" t="s">
        <v>74</v>
      </c>
      <c r="H337" s="1" t="str">
        <f aca="false">IF(G337="BUG","BUG-"&amp;A337,IF(G337="FUNCTIONAL","FUNCTIONAL-"&amp;A337,""))</f>
        <v/>
      </c>
    </row>
    <row r="338" customFormat="false" ht="15" hidden="false" customHeight="true" outlineLevel="0" collapsed="false">
      <c r="A338" s="1" t="s">
        <v>1927</v>
      </c>
      <c r="B338" s="1" t="s">
        <v>1928</v>
      </c>
      <c r="C338" s="1" t="s">
        <v>1929</v>
      </c>
      <c r="D338" s="1" t="s">
        <v>264</v>
      </c>
      <c r="E338" s="1" t="s">
        <v>1930</v>
      </c>
      <c r="F338" s="1" t="s">
        <v>1931</v>
      </c>
      <c r="G338" s="1" t="s">
        <v>74</v>
      </c>
      <c r="H338" s="1" t="str">
        <f aca="false">IF(G338="BUG","BUG-"&amp;A338,IF(G338="FUNCTIONAL","FUNCTIONAL-"&amp;A338,""))</f>
        <v/>
      </c>
    </row>
    <row r="339" customFormat="false" ht="15" hidden="false" customHeight="true" outlineLevel="0" collapsed="false">
      <c r="A339" s="1" t="s">
        <v>1932</v>
      </c>
      <c r="B339" s="1" t="s">
        <v>1928</v>
      </c>
      <c r="C339" s="1" t="s">
        <v>1933</v>
      </c>
      <c r="D339" s="1" t="s">
        <v>264</v>
      </c>
      <c r="E339" s="1" t="s">
        <v>1934</v>
      </c>
      <c r="F339" s="1" t="s">
        <v>1935</v>
      </c>
      <c r="G339" s="1" t="s">
        <v>74</v>
      </c>
      <c r="H339" s="1" t="str">
        <f aca="false">IF(G339="BUG","BUG-"&amp;A339,IF(G339="FUNCTIONAL","FUNCTIONAL-"&amp;A339,""))</f>
        <v/>
      </c>
    </row>
    <row r="340" customFormat="false" ht="15" hidden="false" customHeight="true" outlineLevel="0" collapsed="false">
      <c r="A340" s="1" t="s">
        <v>1936</v>
      </c>
      <c r="B340" s="1" t="s">
        <v>1937</v>
      </c>
      <c r="C340" s="1" t="s">
        <v>1938</v>
      </c>
      <c r="D340" s="1" t="s">
        <v>264</v>
      </c>
      <c r="E340" s="1" t="s">
        <v>1939</v>
      </c>
      <c r="F340" s="1" t="s">
        <v>1940</v>
      </c>
      <c r="G340" s="1" t="s">
        <v>74</v>
      </c>
      <c r="H340" s="1" t="str">
        <f aca="false">IF(G340="BUG","BUG-"&amp;A340,IF(G340="FUNCTIONAL","FUNCTIONAL-"&amp;A340,""))</f>
        <v/>
      </c>
    </row>
    <row r="341" customFormat="false" ht="15" hidden="false" customHeight="true" outlineLevel="0" collapsed="false">
      <c r="A341" s="10" t="s">
        <v>1941</v>
      </c>
      <c r="B341" s="10" t="s">
        <v>1942</v>
      </c>
      <c r="C341" s="10" t="s">
        <v>1943</v>
      </c>
      <c r="D341" s="10" t="s">
        <v>61</v>
      </c>
      <c r="E341" s="10" t="s">
        <v>1944</v>
      </c>
      <c r="F341" s="10" t="s">
        <v>1945</v>
      </c>
      <c r="G341" s="10" t="s">
        <v>74</v>
      </c>
      <c r="H341" s="10" t="str">
        <f aca="false">IF(G341="BUG","BUG-"&amp;A341,IF(G341="FUNCTIONAL","FUNCTIONAL-"&amp;A341,""))</f>
        <v/>
      </c>
    </row>
    <row r="342" customFormat="false" ht="15" hidden="false" customHeight="true" outlineLevel="0" collapsed="false">
      <c r="A342" s="10" t="s">
        <v>1946</v>
      </c>
      <c r="B342" s="10" t="s">
        <v>1942</v>
      </c>
      <c r="C342" s="10" t="s">
        <v>1947</v>
      </c>
      <c r="D342" s="10" t="s">
        <v>61</v>
      </c>
      <c r="E342" s="10" t="s">
        <v>1948</v>
      </c>
      <c r="F342" s="10" t="s">
        <v>1949</v>
      </c>
      <c r="G342" s="10" t="s">
        <v>74</v>
      </c>
      <c r="H342" s="10" t="str">
        <f aca="false">IF(G342="BUG","BUG-"&amp;A342,IF(G342="FUNCTIONAL","FUNCTIONAL-"&amp;A342,""))</f>
        <v/>
      </c>
    </row>
    <row r="343" customFormat="false" ht="15" hidden="false" customHeight="true" outlineLevel="0" collapsed="false">
      <c r="A343" s="10" t="s">
        <v>1950</v>
      </c>
      <c r="B343" s="10" t="s">
        <v>1951</v>
      </c>
      <c r="C343" s="10" t="s">
        <v>1952</v>
      </c>
      <c r="D343" s="10" t="s">
        <v>264</v>
      </c>
      <c r="E343" s="10" t="s">
        <v>1953</v>
      </c>
      <c r="F343" s="10" t="s">
        <v>1954</v>
      </c>
      <c r="G343" s="10" t="s">
        <v>74</v>
      </c>
      <c r="H343" s="10" t="str">
        <f aca="false">IF(G343="BUG","BUG-"&amp;A343,IF(G343="FUNCTIONAL","FUNCTIONAL-"&amp;A343,""))</f>
        <v/>
      </c>
    </row>
    <row r="344" customFormat="false" ht="15" hidden="false" customHeight="true" outlineLevel="0" collapsed="false">
      <c r="A344" s="10" t="s">
        <v>1955</v>
      </c>
      <c r="B344" s="10" t="s">
        <v>1956</v>
      </c>
      <c r="C344" s="10" t="s">
        <v>1957</v>
      </c>
      <c r="D344" s="10" t="s">
        <v>1958</v>
      </c>
      <c r="E344" s="10" t="s">
        <v>1959</v>
      </c>
      <c r="F344" s="10" t="s">
        <v>1960</v>
      </c>
      <c r="G344" s="10" t="s">
        <v>74</v>
      </c>
      <c r="H344" s="10" t="str">
        <f aca="false">IF(G344="BUG","BUG-"&amp;A344,IF(G344="FUNCTIONAL","FUNCTIONAL-"&amp;A344,""))</f>
        <v/>
      </c>
    </row>
    <row r="345" customFormat="false" ht="15" hidden="false" customHeight="true" outlineLevel="0" collapsed="false">
      <c r="A345" s="10" t="s">
        <v>1961</v>
      </c>
      <c r="B345" s="10" t="s">
        <v>1956</v>
      </c>
      <c r="C345" s="10" t="s">
        <v>1962</v>
      </c>
      <c r="D345" s="10" t="s">
        <v>1958</v>
      </c>
      <c r="E345" s="10" t="s">
        <v>1963</v>
      </c>
      <c r="F345" s="10" t="s">
        <v>1964</v>
      </c>
      <c r="G345" s="10" t="s">
        <v>74</v>
      </c>
      <c r="H345" s="10" t="str">
        <f aca="false">IF(G345="BUG","BUG-"&amp;A345,IF(G345="FUNCTIONAL","FUNCTIONAL-"&amp;A345,""))</f>
        <v/>
      </c>
    </row>
    <row r="346" customFormat="false" ht="15" hidden="false" customHeight="true" outlineLevel="0" collapsed="false">
      <c r="A346" s="10" t="s">
        <v>1965</v>
      </c>
      <c r="B346" s="10" t="s">
        <v>1956</v>
      </c>
      <c r="C346" s="10" t="s">
        <v>1966</v>
      </c>
      <c r="D346" s="10" t="s">
        <v>1967</v>
      </c>
      <c r="E346" s="10" t="s">
        <v>1968</v>
      </c>
      <c r="F346" s="10" t="s">
        <v>1969</v>
      </c>
      <c r="G346" s="10" t="s">
        <v>74</v>
      </c>
      <c r="H346" s="10" t="str">
        <f aca="false">IF(G346="BUG","BUG-"&amp;A346,IF(G346="FUNCTIONAL","FUNCTIONAL-"&amp;A346,""))</f>
        <v/>
      </c>
    </row>
    <row r="347" customFormat="false" ht="15" hidden="false" customHeight="true" outlineLevel="0" collapsed="false">
      <c r="A347" s="10" t="s">
        <v>1970</v>
      </c>
      <c r="B347" s="10" t="s">
        <v>1956</v>
      </c>
      <c r="C347" s="10" t="s">
        <v>1971</v>
      </c>
      <c r="D347" s="10" t="s">
        <v>1972</v>
      </c>
      <c r="E347" s="10" t="s">
        <v>1973</v>
      </c>
      <c r="F347" s="10" t="s">
        <v>1974</v>
      </c>
      <c r="G347" s="10" t="s">
        <v>74</v>
      </c>
      <c r="H347" s="10" t="str">
        <f aca="false">IF(G347="BUG","BUG-"&amp;A347,IF(G347="FUNCTIONAL","FUNCTIONAL-"&amp;A347,""))</f>
        <v/>
      </c>
      <c r="L347" s="11" t="s">
        <v>1975</v>
      </c>
    </row>
    <row r="348" customFormat="false" ht="15" hidden="false" customHeight="true" outlineLevel="0" collapsed="false">
      <c r="A348" s="10" t="s">
        <v>1976</v>
      </c>
      <c r="B348" s="10" t="s">
        <v>1956</v>
      </c>
      <c r="C348" s="10" t="s">
        <v>1977</v>
      </c>
      <c r="D348" s="10" t="s">
        <v>1958</v>
      </c>
      <c r="E348" s="10" t="s">
        <v>1978</v>
      </c>
      <c r="F348" s="10" t="s">
        <v>1979</v>
      </c>
      <c r="G348" s="10" t="s">
        <v>74</v>
      </c>
      <c r="H348" s="10" t="str">
        <f aca="false">IF(G348="BUG","BUG-"&amp;A348,IF(G348="FUNCTIONAL","FUNCTIONAL-"&amp;A348,""))</f>
        <v/>
      </c>
    </row>
    <row r="349" customFormat="false" ht="15" hidden="false" customHeight="true" outlineLevel="0" collapsed="false">
      <c r="A349" s="10" t="s">
        <v>1980</v>
      </c>
      <c r="B349" s="10" t="s">
        <v>1981</v>
      </c>
      <c r="C349" s="10" t="s">
        <v>1982</v>
      </c>
      <c r="D349" s="10" t="s">
        <v>1983</v>
      </c>
      <c r="E349" s="10" t="s">
        <v>1984</v>
      </c>
      <c r="F349" s="10" t="s">
        <v>1985</v>
      </c>
      <c r="G349" s="10" t="s">
        <v>74</v>
      </c>
      <c r="H349" s="10" t="str">
        <f aca="false">IF(G349="BUG","BUG-"&amp;A349,IF(G349="FUNCTIONAL","FUNCTIONAL-"&amp;A349,""))</f>
        <v/>
      </c>
      <c r="L349" s="11" t="s">
        <v>1986</v>
      </c>
    </row>
    <row r="350" customFormat="false" ht="15" hidden="false" customHeight="true" outlineLevel="0" collapsed="false">
      <c r="A350" s="10" t="s">
        <v>1987</v>
      </c>
      <c r="B350" s="10" t="s">
        <v>1988</v>
      </c>
      <c r="C350" s="10" t="s">
        <v>1989</v>
      </c>
      <c r="D350" s="10" t="s">
        <v>1990</v>
      </c>
      <c r="E350" s="10" t="s">
        <v>1991</v>
      </c>
      <c r="F350" s="10" t="s">
        <v>1992</v>
      </c>
      <c r="G350" s="10" t="s">
        <v>74</v>
      </c>
      <c r="H350" s="10" t="str">
        <f aca="false">IF(G350="BUG","BUG-"&amp;A350,IF(G350="FUNCTIONAL","FUNCTIONAL-"&amp;A350,""))</f>
        <v/>
      </c>
      <c r="L350" s="11" t="s">
        <v>1993</v>
      </c>
    </row>
    <row r="351" customFormat="false" ht="15" hidden="false" customHeight="true" outlineLevel="0" collapsed="false">
      <c r="A351" s="10" t="s">
        <v>1994</v>
      </c>
      <c r="B351" s="10" t="s">
        <v>1995</v>
      </c>
      <c r="C351" s="10" t="s">
        <v>1996</v>
      </c>
      <c r="D351" s="10" t="s">
        <v>1997</v>
      </c>
      <c r="E351" s="10" t="s">
        <v>1998</v>
      </c>
      <c r="F351" s="10" t="s">
        <v>1999</v>
      </c>
      <c r="G351" s="10" t="s">
        <v>74</v>
      </c>
      <c r="H351" s="10" t="str">
        <f aca="false">IF(G351="BUG","BUG-"&amp;A351,IF(G351="FUNCTIONAL","FUNCTIONAL-"&amp;A351,""))</f>
        <v/>
      </c>
      <c r="L351" s="11" t="s">
        <v>2000</v>
      </c>
    </row>
    <row r="352" customFormat="false" ht="15" hidden="false" customHeight="true" outlineLevel="0" collapsed="false">
      <c r="A352" s="10" t="s">
        <v>2001</v>
      </c>
      <c r="B352" s="10" t="s">
        <v>2002</v>
      </c>
      <c r="C352" s="10" t="s">
        <v>2003</v>
      </c>
      <c r="D352" s="10" t="s">
        <v>61</v>
      </c>
      <c r="E352" s="10" t="s">
        <v>2004</v>
      </c>
      <c r="F352" s="10" t="s">
        <v>2005</v>
      </c>
      <c r="G352" s="10" t="s">
        <v>74</v>
      </c>
      <c r="H352" s="10" t="str">
        <f aca="false">IF(G352="BUG","BUG-"&amp;A352,IF(G352="FUNCTIONAL","FUNCTIONAL-"&amp;A352,""))</f>
        <v/>
      </c>
    </row>
    <row r="353" customFormat="false" ht="15" hidden="false" customHeight="true" outlineLevel="0" collapsed="false">
      <c r="A353" s="10" t="s">
        <v>2006</v>
      </c>
      <c r="B353" s="10" t="s">
        <v>2002</v>
      </c>
      <c r="C353" s="10" t="s">
        <v>2007</v>
      </c>
      <c r="D353" s="10" t="s">
        <v>61</v>
      </c>
      <c r="E353" s="10" t="s">
        <v>2008</v>
      </c>
      <c r="F353" s="10" t="s">
        <v>2009</v>
      </c>
      <c r="G353" s="10" t="s">
        <v>74</v>
      </c>
      <c r="H353" s="10" t="str">
        <f aca="false">IF(G353="BUG","BUG-"&amp;A353,IF(G353="FUNCTIONAL","FUNCTIONAL-"&amp;A353,""))</f>
        <v/>
      </c>
    </row>
    <row r="354" customFormat="false" ht="15" hidden="false" customHeight="true" outlineLevel="0" collapsed="false">
      <c r="A354" s="10" t="s">
        <v>2010</v>
      </c>
      <c r="B354" s="10" t="s">
        <v>2002</v>
      </c>
      <c r="C354" s="10" t="s">
        <v>2011</v>
      </c>
      <c r="D354" s="10" t="s">
        <v>2012</v>
      </c>
      <c r="E354" s="10" t="s">
        <v>2013</v>
      </c>
      <c r="F354" s="10" t="s">
        <v>2014</v>
      </c>
      <c r="G354" s="10" t="s">
        <v>74</v>
      </c>
      <c r="H354" s="10" t="str">
        <f aca="false">IF(G354="BUG","BUG-"&amp;A354,IF(G354="FUNCTIONAL","FUNCTIONAL-"&amp;A354,""))</f>
        <v/>
      </c>
    </row>
    <row r="355" customFormat="false" ht="15" hidden="false" customHeight="true" outlineLevel="0" collapsed="false">
      <c r="A355" s="10" t="s">
        <v>2015</v>
      </c>
      <c r="B355" s="10" t="s">
        <v>2002</v>
      </c>
      <c r="C355" s="10" t="s">
        <v>2016</v>
      </c>
      <c r="D355" s="10" t="s">
        <v>61</v>
      </c>
      <c r="E355" s="10" t="s">
        <v>2017</v>
      </c>
      <c r="F355" s="10" t="s">
        <v>2018</v>
      </c>
      <c r="G355" s="10" t="s">
        <v>74</v>
      </c>
      <c r="H355" s="10" t="str">
        <f aca="false">IF(G355="BUG","BUG-"&amp;A355,IF(G355="FUNCTIONAL","FUNCTIONAL-"&amp;A355,""))</f>
        <v/>
      </c>
    </row>
    <row r="356" customFormat="false" ht="15" hidden="false" customHeight="true" outlineLevel="0" collapsed="false">
      <c r="A356" s="10" t="s">
        <v>2019</v>
      </c>
      <c r="B356" s="10" t="s">
        <v>2020</v>
      </c>
      <c r="C356" s="10" t="s">
        <v>2021</v>
      </c>
      <c r="D356" s="10" t="s">
        <v>2022</v>
      </c>
      <c r="E356" s="10" t="s">
        <v>2023</v>
      </c>
      <c r="F356" s="10" t="s">
        <v>2024</v>
      </c>
      <c r="G356" s="10" t="s">
        <v>74</v>
      </c>
      <c r="H356" s="10" t="str">
        <f aca="false">IF(G356="BUG","BUG-"&amp;A356,IF(G356="FUNCTIONAL","FUNCTIONAL-"&amp;A356,""))</f>
        <v/>
      </c>
      <c r="L356" s="11" t="s">
        <v>2025</v>
      </c>
    </row>
    <row r="357" customFormat="false" ht="15" hidden="false" customHeight="true" outlineLevel="0" collapsed="false">
      <c r="A357" s="10" t="s">
        <v>2026</v>
      </c>
      <c r="B357" s="10" t="s">
        <v>2027</v>
      </c>
      <c r="C357" s="10" t="s">
        <v>2028</v>
      </c>
      <c r="D357" s="10" t="s">
        <v>2029</v>
      </c>
      <c r="E357" s="10" t="s">
        <v>2030</v>
      </c>
      <c r="F357" s="10" t="s">
        <v>2031</v>
      </c>
      <c r="G357" s="10" t="s">
        <v>74</v>
      </c>
      <c r="H357" s="10" t="str">
        <f aca="false">IF(G357="BUG","BUG-"&amp;A357,IF(G357="FUNCTIONAL","FUNCTIONAL-"&amp;A357,""))</f>
        <v/>
      </c>
      <c r="L357" s="11" t="s">
        <v>2032</v>
      </c>
    </row>
    <row r="358" customFormat="false" ht="15" hidden="false" customHeight="true" outlineLevel="0" collapsed="false">
      <c r="A358" s="10" t="s">
        <v>2033</v>
      </c>
      <c r="B358" s="10" t="s">
        <v>2034</v>
      </c>
      <c r="C358" s="10" t="s">
        <v>2035</v>
      </c>
      <c r="D358" s="10" t="s">
        <v>61</v>
      </c>
      <c r="E358" s="10" t="s">
        <v>2036</v>
      </c>
      <c r="F358" s="10" t="s">
        <v>2037</v>
      </c>
      <c r="G358" s="10" t="s">
        <v>74</v>
      </c>
      <c r="H358" s="10" t="str">
        <f aca="false">IF(G358="BUG","BUG-"&amp;A358,IF(G358="FUNCTIONAL","FUNCTIONAL-"&amp;A358,""))</f>
        <v/>
      </c>
    </row>
    <row r="359" customFormat="false" ht="15" hidden="false" customHeight="true" outlineLevel="0" collapsed="false">
      <c r="A359" s="10" t="s">
        <v>2038</v>
      </c>
      <c r="B359" s="10" t="s">
        <v>2034</v>
      </c>
      <c r="C359" s="10" t="s">
        <v>2039</v>
      </c>
      <c r="D359" s="10" t="s">
        <v>2040</v>
      </c>
      <c r="E359" s="10" t="s">
        <v>2041</v>
      </c>
      <c r="F359" s="10" t="s">
        <v>2042</v>
      </c>
      <c r="G359" s="10" t="s">
        <v>74</v>
      </c>
      <c r="H359" s="10" t="str">
        <f aca="false">IF(G359="BUG","BUG-"&amp;A359,IF(G359="FUNCTIONAL","FUNCTIONAL-"&amp;A359,""))</f>
        <v/>
      </c>
    </row>
    <row r="360" customFormat="false" ht="15" hidden="false" customHeight="true" outlineLevel="0" collapsed="false">
      <c r="A360" s="10" t="s">
        <v>2043</v>
      </c>
      <c r="B360" s="10" t="s">
        <v>2044</v>
      </c>
      <c r="C360" s="10" t="s">
        <v>2045</v>
      </c>
      <c r="D360" s="10" t="s">
        <v>61</v>
      </c>
      <c r="E360" s="10" t="s">
        <v>2046</v>
      </c>
      <c r="F360" s="10" t="s">
        <v>2047</v>
      </c>
      <c r="G360" s="10" t="s">
        <v>74</v>
      </c>
      <c r="H360" s="10" t="str">
        <f aca="false">IF(G360="BUG","BUG-"&amp;A360,IF(G360="FUNCTIONAL","FUNCTIONAL-"&amp;A360,""))</f>
        <v/>
      </c>
    </row>
    <row r="361" customFormat="false" ht="15" hidden="false" customHeight="true" outlineLevel="0" collapsed="false">
      <c r="A361" s="10" t="s">
        <v>2048</v>
      </c>
      <c r="B361" s="10" t="s">
        <v>2044</v>
      </c>
      <c r="C361" s="10" t="s">
        <v>2049</v>
      </c>
      <c r="D361" s="10" t="s">
        <v>61</v>
      </c>
      <c r="E361" s="10" t="s">
        <v>2050</v>
      </c>
      <c r="F361" s="10" t="s">
        <v>2051</v>
      </c>
      <c r="G361" s="10" t="s">
        <v>74</v>
      </c>
      <c r="H361" s="10" t="str">
        <f aca="false">IF(G361="BUG","BUG-"&amp;A361,IF(G361="FUNCTIONAL","FUNCTIONAL-"&amp;A361,""))</f>
        <v/>
      </c>
    </row>
    <row r="362" customFormat="false" ht="15" hidden="false" customHeight="true" outlineLevel="0" collapsed="false">
      <c r="A362" s="10" t="s">
        <v>2052</v>
      </c>
      <c r="B362" s="10" t="s">
        <v>2044</v>
      </c>
      <c r="C362" s="10" t="s">
        <v>2053</v>
      </c>
      <c r="D362" s="10" t="s">
        <v>2054</v>
      </c>
      <c r="E362" s="10" t="s">
        <v>2055</v>
      </c>
      <c r="F362" s="10" t="s">
        <v>2056</v>
      </c>
      <c r="G362" s="10" t="s">
        <v>74</v>
      </c>
      <c r="H362" s="10" t="str">
        <f aca="false">IF(G362="BUG","BUG-"&amp;A362,IF(G362="FUNCTIONAL","FUNCTIONAL-"&amp;A362,""))</f>
        <v/>
      </c>
    </row>
    <row r="363" customFormat="false" ht="15" hidden="false" customHeight="true" outlineLevel="0" collapsed="false">
      <c r="A363" s="10" t="s">
        <v>2057</v>
      </c>
      <c r="B363" s="10" t="s">
        <v>2058</v>
      </c>
      <c r="C363" s="10" t="s">
        <v>2059</v>
      </c>
      <c r="D363" s="10" t="s">
        <v>61</v>
      </c>
      <c r="E363" s="10" t="s">
        <v>2060</v>
      </c>
      <c r="F363" s="10" t="s">
        <v>2061</v>
      </c>
      <c r="G363" s="10" t="s">
        <v>74</v>
      </c>
      <c r="H363" s="10" t="str">
        <f aca="false">IF(G363="BUG","BUG-"&amp;A363,IF(G363="FUNCTIONAL","FUNCTIONAL-"&amp;A363,""))</f>
        <v/>
      </c>
    </row>
    <row r="364" customFormat="false" ht="15" hidden="false" customHeight="true" outlineLevel="0" collapsed="false">
      <c r="A364" s="10" t="s">
        <v>2062</v>
      </c>
      <c r="B364" s="10" t="s">
        <v>2058</v>
      </c>
      <c r="C364" s="10" t="s">
        <v>2063</v>
      </c>
      <c r="D364" s="10" t="s">
        <v>61</v>
      </c>
      <c r="E364" s="10" t="s">
        <v>2064</v>
      </c>
      <c r="F364" s="10" t="s">
        <v>2065</v>
      </c>
      <c r="G364" s="10" t="s">
        <v>74</v>
      </c>
      <c r="H364" s="10" t="str">
        <f aca="false">IF(G364="BUG","BUG-"&amp;A364,IF(G364="FUNCTIONAL","FUNCTIONAL-"&amp;A364,""))</f>
        <v/>
      </c>
    </row>
    <row r="365" customFormat="false" ht="15" hidden="false" customHeight="true" outlineLevel="0" collapsed="false">
      <c r="A365" s="10" t="s">
        <v>2066</v>
      </c>
      <c r="B365" s="10" t="s">
        <v>2058</v>
      </c>
      <c r="C365" s="10" t="s">
        <v>2067</v>
      </c>
      <c r="D365" s="10" t="s">
        <v>61</v>
      </c>
      <c r="E365" s="10" t="s">
        <v>2068</v>
      </c>
      <c r="F365" s="10" t="s">
        <v>2069</v>
      </c>
      <c r="G365" s="10" t="s">
        <v>74</v>
      </c>
      <c r="H365" s="10" t="str">
        <f aca="false">IF(G365="BUG","BUG-"&amp;A365,IF(G365="FUNCTIONAL","FUNCTIONAL-"&amp;A365,""))</f>
        <v/>
      </c>
    </row>
    <row r="366" customFormat="false" ht="15" hidden="false" customHeight="true" outlineLevel="0" collapsed="false">
      <c r="A366" s="10" t="s">
        <v>2070</v>
      </c>
      <c r="B366" s="10" t="s">
        <v>2058</v>
      </c>
      <c r="C366" s="10" t="s">
        <v>2071</v>
      </c>
      <c r="D366" s="10" t="s">
        <v>61</v>
      </c>
      <c r="E366" s="10" t="s">
        <v>2072</v>
      </c>
      <c r="F366" s="10" t="s">
        <v>2073</v>
      </c>
      <c r="G366" s="10" t="s">
        <v>74</v>
      </c>
      <c r="H366" s="10" t="str">
        <f aca="false">IF(G366="BUG","BUG-"&amp;A366,IF(G366="FUNCTIONAL","FUNCTIONAL-"&amp;A366,""))</f>
        <v/>
      </c>
    </row>
    <row r="367" customFormat="false" ht="15" hidden="false" customHeight="true" outlineLevel="0" collapsed="false">
      <c r="A367" s="1" t="s">
        <v>2074</v>
      </c>
      <c r="B367" s="1" t="s">
        <v>2075</v>
      </c>
      <c r="C367" s="1" t="s">
        <v>2076</v>
      </c>
      <c r="D367" s="1" t="s">
        <v>2077</v>
      </c>
      <c r="E367" s="1" t="s">
        <v>2078</v>
      </c>
      <c r="F367" s="1" t="s">
        <v>2079</v>
      </c>
      <c r="G367" s="1" t="s">
        <v>74</v>
      </c>
      <c r="H367" s="1" t="str">
        <f aca="false">IF(G367="BUG","BUG-"&amp;A367,IF(G367="FUNCTIONAL","FUNCTIONAL-"&amp;A367,""))</f>
        <v/>
      </c>
    </row>
    <row r="368" customFormat="false" ht="15" hidden="false" customHeight="true" outlineLevel="0" collapsed="false">
      <c r="A368" s="1" t="s">
        <v>2080</v>
      </c>
      <c r="B368" s="1" t="s">
        <v>2081</v>
      </c>
      <c r="C368" s="1" t="s">
        <v>2082</v>
      </c>
      <c r="D368" s="1" t="s">
        <v>2083</v>
      </c>
      <c r="E368" s="1" t="s">
        <v>2084</v>
      </c>
      <c r="F368" s="1" t="s">
        <v>2085</v>
      </c>
      <c r="G368" s="1" t="s">
        <v>74</v>
      </c>
      <c r="H368" s="1" t="str">
        <f aca="false">IF(G368="BUG","BUG-"&amp;A368,IF(G368="FUNCTIONAL","FUNCTIONAL-"&amp;A368,""))</f>
        <v/>
      </c>
    </row>
    <row r="369" customFormat="false" ht="15" hidden="false" customHeight="true" outlineLevel="0" collapsed="false">
      <c r="A369" s="1" t="s">
        <v>2086</v>
      </c>
      <c r="B369" s="1" t="s">
        <v>2087</v>
      </c>
      <c r="C369" s="1" t="s">
        <v>2088</v>
      </c>
      <c r="D369" s="1" t="s">
        <v>2089</v>
      </c>
      <c r="E369" s="1" t="s">
        <v>2090</v>
      </c>
      <c r="F369" s="1" t="s">
        <v>2091</v>
      </c>
      <c r="G369" s="1" t="s">
        <v>2092</v>
      </c>
      <c r="H369" s="1" t="str">
        <f aca="false">IF(G369="BUG","BUG-"&amp;A369,IF(G369="FUNCTIONAL","FUNCTIONAL-"&amp;A369,""))</f>
        <v/>
      </c>
    </row>
    <row r="370" customFormat="false" ht="15" hidden="false" customHeight="true" outlineLevel="0" collapsed="false">
      <c r="A370" s="1" t="s">
        <v>2093</v>
      </c>
      <c r="B370" s="1" t="s">
        <v>2094</v>
      </c>
      <c r="C370" s="1" t="s">
        <v>2095</v>
      </c>
      <c r="D370" s="1" t="s">
        <v>2096</v>
      </c>
      <c r="E370" s="1" t="s">
        <v>2097</v>
      </c>
      <c r="F370" s="1" t="s">
        <v>2098</v>
      </c>
      <c r="G370" s="1" t="s">
        <v>74</v>
      </c>
      <c r="H370" s="1" t="str">
        <f aca="false">IF(G370="BUG","BUG-"&amp;A370,IF(G370="FUNCTIONAL","FUNCTIONAL-"&amp;A370,""))</f>
        <v/>
      </c>
    </row>
    <row r="371" customFormat="false" ht="15" hidden="false" customHeight="true" outlineLevel="0" collapsed="false">
      <c r="A371" s="1" t="s">
        <v>2099</v>
      </c>
      <c r="B371" s="1" t="s">
        <v>2100</v>
      </c>
      <c r="C371" s="1" t="s">
        <v>2101</v>
      </c>
      <c r="D371" s="1" t="s">
        <v>61</v>
      </c>
      <c r="E371" s="1" t="s">
        <v>2102</v>
      </c>
      <c r="F371" s="1" t="s">
        <v>2103</v>
      </c>
      <c r="G371" s="1" t="s">
        <v>74</v>
      </c>
      <c r="H371" s="1" t="str">
        <f aca="false">IF(G371="BUG","BUG-"&amp;A371,IF(G371="FUNCTIONAL","FUNCTIONAL-"&amp;A371,""))</f>
        <v/>
      </c>
    </row>
    <row r="372" customFormat="false" ht="15" hidden="false" customHeight="true" outlineLevel="0" collapsed="false">
      <c r="A372" s="1" t="s">
        <v>2104</v>
      </c>
      <c r="B372" s="1" t="s">
        <v>2105</v>
      </c>
      <c r="C372" s="1" t="s">
        <v>2106</v>
      </c>
      <c r="D372" s="1" t="s">
        <v>61</v>
      </c>
      <c r="E372" s="1" t="s">
        <v>2107</v>
      </c>
      <c r="F372" s="1" t="s">
        <v>2108</v>
      </c>
      <c r="G372" s="1" t="s">
        <v>74</v>
      </c>
      <c r="H372" s="1" t="str">
        <f aca="false">IF(G372="BUG","BUG-"&amp;A372,IF(G372="FUNCTIONAL","FUNCTIONAL-"&amp;A372,""))</f>
        <v/>
      </c>
    </row>
    <row r="373" customFormat="false" ht="15" hidden="false" customHeight="true" outlineLevel="0" collapsed="false">
      <c r="A373" s="1" t="s">
        <v>2109</v>
      </c>
      <c r="B373" s="1" t="s">
        <v>2110</v>
      </c>
      <c r="C373" s="1" t="s">
        <v>2111</v>
      </c>
      <c r="D373" s="1" t="s">
        <v>61</v>
      </c>
      <c r="E373" s="1" t="s">
        <v>2112</v>
      </c>
      <c r="F373" s="1" t="s">
        <v>2113</v>
      </c>
      <c r="G373" s="1" t="s">
        <v>74</v>
      </c>
      <c r="H373" s="1" t="str">
        <f aca="false">IF(G373="BUG","BUG-"&amp;A373,IF(G373="FUNCTIONAL","FUNCTIONAL-"&amp;A373,""))</f>
        <v/>
      </c>
    </row>
    <row r="374" customFormat="false" ht="15" hidden="false" customHeight="true" outlineLevel="0" collapsed="false">
      <c r="A374" s="1" t="s">
        <v>2114</v>
      </c>
      <c r="B374" s="1" t="s">
        <v>2115</v>
      </c>
      <c r="C374" s="1" t="s">
        <v>2116</v>
      </c>
      <c r="D374" s="1" t="s">
        <v>2117</v>
      </c>
      <c r="E374" s="1" t="s">
        <v>2118</v>
      </c>
      <c r="F374" s="1" t="s">
        <v>2119</v>
      </c>
      <c r="G374" s="1" t="s">
        <v>74</v>
      </c>
      <c r="H374" s="1" t="str">
        <f aca="false">IF(G374="BUG","BUG-"&amp;A374,IF(G374="FUNCTIONAL","FUNCTIONAL-"&amp;A374,""))</f>
        <v/>
      </c>
    </row>
    <row r="375" customFormat="false" ht="15" hidden="false" customHeight="true" outlineLevel="0" collapsed="false">
      <c r="A375" s="1" t="s">
        <v>2120</v>
      </c>
      <c r="B375" s="1" t="s">
        <v>2121</v>
      </c>
      <c r="C375" s="1" t="s">
        <v>2122</v>
      </c>
      <c r="D375" s="1" t="s">
        <v>61</v>
      </c>
      <c r="E375" s="1" t="s">
        <v>2123</v>
      </c>
      <c r="F375" s="1" t="s">
        <v>2124</v>
      </c>
      <c r="G375" s="1" t="s">
        <v>74</v>
      </c>
      <c r="H375" s="1" t="str">
        <f aca="false">IF(G375="BUG","BUG-"&amp;A375,IF(G375="FUNCTIONAL","FUNCTIONAL-"&amp;A375,""))</f>
        <v/>
      </c>
    </row>
    <row r="376" customFormat="false" ht="15" hidden="false" customHeight="true" outlineLevel="0" collapsed="false">
      <c r="A376" s="1" t="s">
        <v>2125</v>
      </c>
      <c r="B376" s="1" t="s">
        <v>2121</v>
      </c>
      <c r="C376" s="1" t="s">
        <v>2126</v>
      </c>
      <c r="D376" s="1" t="s">
        <v>2127</v>
      </c>
      <c r="E376" s="1" t="s">
        <v>2128</v>
      </c>
      <c r="F376" s="1" t="s">
        <v>2129</v>
      </c>
      <c r="G376" s="1" t="s">
        <v>74</v>
      </c>
      <c r="H376" s="1" t="str">
        <f aca="false">IF(G376="BUG","BUG-"&amp;A376,IF(G376="FUNCTIONAL","FUNCTIONAL-"&amp;A376,""))</f>
        <v/>
      </c>
    </row>
    <row r="377" customFormat="false" ht="15" hidden="false" customHeight="true" outlineLevel="0" collapsed="false">
      <c r="A377" s="1" t="s">
        <v>2130</v>
      </c>
      <c r="B377" s="1" t="s">
        <v>2121</v>
      </c>
      <c r="C377" s="1" t="s">
        <v>2131</v>
      </c>
      <c r="D377" s="1" t="s">
        <v>61</v>
      </c>
      <c r="E377" s="1" t="s">
        <v>2132</v>
      </c>
      <c r="F377" s="1" t="s">
        <v>2133</v>
      </c>
      <c r="G377" s="1" t="s">
        <v>74</v>
      </c>
      <c r="H377" s="1" t="str">
        <f aca="false">IF(G377="BUG","BUG-"&amp;A377,IF(G377="FUNCTIONAL","FUNCTIONAL-"&amp;A377,""))</f>
        <v/>
      </c>
    </row>
    <row r="378" customFormat="false" ht="15" hidden="false" customHeight="true" outlineLevel="0" collapsed="false">
      <c r="A378" s="1" t="s">
        <v>2134</v>
      </c>
      <c r="B378" s="1" t="s">
        <v>2121</v>
      </c>
      <c r="C378" s="1" t="s">
        <v>2135</v>
      </c>
      <c r="D378" s="1" t="s">
        <v>2136</v>
      </c>
      <c r="E378" s="1" t="s">
        <v>2137</v>
      </c>
      <c r="F378" s="1" t="s">
        <v>2138</v>
      </c>
      <c r="G378" s="1" t="s">
        <v>74</v>
      </c>
      <c r="H378" s="1" t="str">
        <f aca="false">IF(G378="BUG","BUG-"&amp;A378,IF(G378="FUNCTIONAL","FUNCTIONAL-"&amp;A378,""))</f>
        <v/>
      </c>
    </row>
    <row r="379" customFormat="false" ht="15" hidden="false" customHeight="true" outlineLevel="0" collapsed="false">
      <c r="A379" s="1" t="s">
        <v>2139</v>
      </c>
      <c r="B379" s="1" t="s">
        <v>2140</v>
      </c>
      <c r="C379" s="1" t="s">
        <v>2141</v>
      </c>
      <c r="D379" s="1" t="s">
        <v>2136</v>
      </c>
      <c r="E379" s="1" t="s">
        <v>2142</v>
      </c>
      <c r="F379" s="1" t="s">
        <v>2143</v>
      </c>
      <c r="G379" s="1" t="s">
        <v>74</v>
      </c>
      <c r="H379" s="1" t="str">
        <f aca="false">IF(G379="BUG","BUG-"&amp;A379,IF(G379="FUNCTIONAL","FUNCTIONAL-"&amp;A379,""))</f>
        <v/>
      </c>
    </row>
    <row r="380" customFormat="false" ht="15" hidden="false" customHeight="true" outlineLevel="0" collapsed="false">
      <c r="A380" s="1" t="s">
        <v>2144</v>
      </c>
      <c r="B380" s="1" t="s">
        <v>2140</v>
      </c>
      <c r="C380" s="1" t="s">
        <v>2145</v>
      </c>
      <c r="D380" s="1" t="s">
        <v>2146</v>
      </c>
      <c r="E380" s="1" t="s">
        <v>2147</v>
      </c>
      <c r="F380" s="1" t="s">
        <v>2148</v>
      </c>
      <c r="G380" s="1" t="s">
        <v>74</v>
      </c>
      <c r="H380" s="1" t="str">
        <f aca="false">IF(G380="BUG","BUG-"&amp;A380,IF(G380="FUNCTIONAL","FUNCTIONAL-"&amp;A380,""))</f>
        <v/>
      </c>
    </row>
    <row r="381" customFormat="false" ht="15" hidden="false" customHeight="true" outlineLevel="0" collapsed="false">
      <c r="A381" s="1" t="s">
        <v>2149</v>
      </c>
      <c r="B381" s="1" t="s">
        <v>2150</v>
      </c>
      <c r="C381" s="1" t="s">
        <v>2151</v>
      </c>
      <c r="D381" s="1" t="s">
        <v>2152</v>
      </c>
      <c r="E381" s="1" t="s">
        <v>2153</v>
      </c>
      <c r="F381" s="1" t="s">
        <v>2154</v>
      </c>
      <c r="G381" s="1" t="s">
        <v>74</v>
      </c>
      <c r="H381" s="1" t="str">
        <f aca="false">IF(G381="BUG","BUG-"&amp;A381,IF(G381="FUNCTIONAL","FUNCTIONAL-"&amp;A381,""))</f>
        <v/>
      </c>
      <c r="I381" s="1" t="s">
        <v>42</v>
      </c>
    </row>
    <row r="382" customFormat="false" ht="15" hidden="false" customHeight="true" outlineLevel="0" collapsed="false">
      <c r="A382" s="1" t="s">
        <v>2155</v>
      </c>
      <c r="B382" s="1" t="s">
        <v>2150</v>
      </c>
      <c r="C382" s="1" t="s">
        <v>2156</v>
      </c>
      <c r="D382" s="1" t="s">
        <v>2152</v>
      </c>
      <c r="E382" s="1" t="s">
        <v>2157</v>
      </c>
      <c r="F382" s="1" t="s">
        <v>2158</v>
      </c>
      <c r="G382" s="1" t="s">
        <v>74</v>
      </c>
      <c r="H382" s="1" t="str">
        <f aca="false">IF(G382="BUG","BUG-"&amp;A382,IF(G382="FUNCTIONAL","FUNCTIONAL-"&amp;A382,""))</f>
        <v/>
      </c>
      <c r="I382" s="1" t="s">
        <v>42</v>
      </c>
    </row>
    <row r="383" customFormat="false" ht="15" hidden="false" customHeight="true" outlineLevel="0" collapsed="false">
      <c r="A383" s="1" t="s">
        <v>2159</v>
      </c>
      <c r="B383" s="1" t="s">
        <v>2150</v>
      </c>
      <c r="C383" s="1" t="s">
        <v>2160</v>
      </c>
      <c r="D383" s="1" t="s">
        <v>2152</v>
      </c>
      <c r="E383" s="1" t="s">
        <v>2161</v>
      </c>
      <c r="F383" s="1" t="s">
        <v>2162</v>
      </c>
      <c r="G383" s="1" t="s">
        <v>74</v>
      </c>
      <c r="H383" s="1" t="str">
        <f aca="false">IF(G383="BUG","BUG-"&amp;A383,IF(G383="FUNCTIONAL","FUNCTIONAL-"&amp;A383,""))</f>
        <v/>
      </c>
      <c r="I383" s="1" t="s">
        <v>42</v>
      </c>
    </row>
    <row r="384" customFormat="false" ht="15" hidden="false" customHeight="true" outlineLevel="0" collapsed="false">
      <c r="A384" s="1" t="s">
        <v>2163</v>
      </c>
      <c r="B384" s="1" t="s">
        <v>2150</v>
      </c>
      <c r="C384" s="1" t="s">
        <v>2164</v>
      </c>
      <c r="D384" s="1" t="s">
        <v>2165</v>
      </c>
      <c r="E384" s="1" t="s">
        <v>2166</v>
      </c>
      <c r="F384" s="1" t="s">
        <v>2167</v>
      </c>
      <c r="G384" s="1" t="s">
        <v>2168</v>
      </c>
      <c r="H384" s="1" t="str">
        <f aca="false">IF(G384="BUG","BUG-"&amp;A384,IF(G384="FUNCTIONAL","FUNCTIONAL-"&amp;A384,""))</f>
        <v/>
      </c>
      <c r="I384" s="1" t="s">
        <v>65</v>
      </c>
    </row>
    <row r="385" customFormat="false" ht="15" hidden="false" customHeight="true" outlineLevel="0" collapsed="false">
      <c r="A385" s="1" t="s">
        <v>2169</v>
      </c>
      <c r="B385" s="1" t="s">
        <v>2170</v>
      </c>
      <c r="C385" s="1" t="s">
        <v>2171</v>
      </c>
      <c r="D385" s="1" t="s">
        <v>61</v>
      </c>
      <c r="E385" s="1" t="s">
        <v>2172</v>
      </c>
      <c r="F385" s="1" t="s">
        <v>2173</v>
      </c>
      <c r="G385" s="1" t="s">
        <v>74</v>
      </c>
      <c r="H385" s="1" t="str">
        <f aca="false">IF(G385="BUG","BUG-"&amp;A385,IF(G385="FUNCTIONAL","FUNCTIONAL-"&amp;A385,""))</f>
        <v/>
      </c>
      <c r="I385" s="1" t="s">
        <v>56</v>
      </c>
    </row>
    <row r="386" customFormat="false" ht="15" hidden="false" customHeight="true" outlineLevel="0" collapsed="false">
      <c r="A386" s="1" t="s">
        <v>2174</v>
      </c>
      <c r="B386" s="1" t="s">
        <v>2175</v>
      </c>
      <c r="C386" s="1" t="s">
        <v>2176</v>
      </c>
      <c r="D386" s="1" t="s">
        <v>61</v>
      </c>
      <c r="E386" s="1" t="s">
        <v>2177</v>
      </c>
      <c r="F386" s="1" t="s">
        <v>2178</v>
      </c>
      <c r="G386" s="1" t="s">
        <v>74</v>
      </c>
      <c r="H386" s="1" t="str">
        <f aca="false">IF(G386="BUG","BUG-"&amp;A386,IF(G386="FUNCTIONAL","FUNCTIONAL-"&amp;A386,""))</f>
        <v/>
      </c>
      <c r="I386" s="1" t="s">
        <v>42</v>
      </c>
    </row>
    <row r="387" customFormat="false" ht="15" hidden="false" customHeight="true" outlineLevel="0" collapsed="false">
      <c r="A387" s="1" t="s">
        <v>2179</v>
      </c>
      <c r="B387" s="1" t="s">
        <v>2180</v>
      </c>
      <c r="C387" s="1" t="s">
        <v>2181</v>
      </c>
      <c r="D387" s="1" t="s">
        <v>61</v>
      </c>
      <c r="E387" s="1" t="s">
        <v>2182</v>
      </c>
      <c r="F387" s="1" t="s">
        <v>2183</v>
      </c>
      <c r="G387" s="1" t="s">
        <v>74</v>
      </c>
      <c r="H387" s="1" t="str">
        <f aca="false">IF(G387="BUG","BUG-"&amp;A387,IF(G387="FUNCTIONAL","FUNCTIONAL-"&amp;A387,""))</f>
        <v/>
      </c>
      <c r="I387" s="1" t="s">
        <v>65</v>
      </c>
    </row>
    <row r="388" customFormat="false" ht="15" hidden="false" customHeight="true" outlineLevel="0" collapsed="false">
      <c r="A388" s="1" t="s">
        <v>2184</v>
      </c>
      <c r="B388" s="1" t="s">
        <v>2180</v>
      </c>
      <c r="C388" s="1" t="s">
        <v>2185</v>
      </c>
      <c r="D388" s="1" t="s">
        <v>61</v>
      </c>
      <c r="E388" s="1" t="s">
        <v>2186</v>
      </c>
      <c r="F388" s="1" t="s">
        <v>2187</v>
      </c>
      <c r="G388" s="1" t="s">
        <v>74</v>
      </c>
      <c r="H388" s="1" t="str">
        <f aca="false">IF(G388="BUG","BUG-"&amp;A388,IF(G388="FUNCTIONAL","FUNCTIONAL-"&amp;A388,""))</f>
        <v/>
      </c>
      <c r="I388" s="1" t="s">
        <v>65</v>
      </c>
    </row>
    <row r="389" customFormat="false" ht="15" hidden="false" customHeight="true" outlineLevel="0" collapsed="false">
      <c r="A389" s="1" t="s">
        <v>2188</v>
      </c>
      <c r="B389" s="1" t="s">
        <v>2180</v>
      </c>
      <c r="C389" s="1" t="s">
        <v>2189</v>
      </c>
      <c r="D389" s="1" t="s">
        <v>61</v>
      </c>
      <c r="E389" s="1" t="s">
        <v>2190</v>
      </c>
      <c r="F389" s="1" t="s">
        <v>2191</v>
      </c>
      <c r="G389" s="1" t="s">
        <v>74</v>
      </c>
      <c r="H389" s="1" t="str">
        <f aca="false">IF(G389="BUG","BUG-"&amp;A389,IF(G389="FUNCTIONAL","FUNCTIONAL-"&amp;A389,""))</f>
        <v/>
      </c>
      <c r="I389" s="1" t="s">
        <v>65</v>
      </c>
    </row>
    <row r="390" customFormat="false" ht="15" hidden="false" customHeight="true" outlineLevel="0" collapsed="false">
      <c r="A390" s="1" t="s">
        <v>2192</v>
      </c>
      <c r="B390" s="1" t="s">
        <v>2180</v>
      </c>
      <c r="C390" s="1" t="s">
        <v>2193</v>
      </c>
      <c r="D390" s="1" t="s">
        <v>61</v>
      </c>
      <c r="E390" s="1" t="s">
        <v>2194</v>
      </c>
      <c r="F390" s="1" t="s">
        <v>2195</v>
      </c>
      <c r="G390" s="1" t="s">
        <v>74</v>
      </c>
      <c r="H390" s="1" t="str">
        <f aca="false">IF(G390="BUG","BUG-"&amp;A390,IF(G390="FUNCTIONAL","FUNCTIONAL-"&amp;A390,""))</f>
        <v/>
      </c>
      <c r="I390" s="1" t="s">
        <v>65</v>
      </c>
    </row>
    <row r="391" customFormat="false" ht="15" hidden="false" customHeight="true" outlineLevel="0" collapsed="false">
      <c r="A391" s="1" t="s">
        <v>2196</v>
      </c>
      <c r="B391" s="1" t="s">
        <v>2197</v>
      </c>
      <c r="C391" s="1" t="s">
        <v>2198</v>
      </c>
      <c r="D391" s="1" t="s">
        <v>2199</v>
      </c>
      <c r="E391" s="1" t="s">
        <v>2200</v>
      </c>
      <c r="F391" s="1" t="s">
        <v>2201</v>
      </c>
      <c r="G391" s="1" t="s">
        <v>74</v>
      </c>
      <c r="H391" s="1" t="str">
        <f aca="false">IF(G391="BUG","BUG-"&amp;A391,IF(G391="FUNCTIONAL","FUNCTIONAL-"&amp;A391,""))</f>
        <v/>
      </c>
    </row>
    <row r="392" customFormat="false" ht="15" hidden="false" customHeight="true" outlineLevel="0" collapsed="false">
      <c r="A392" s="1" t="s">
        <v>2202</v>
      </c>
      <c r="B392" s="1" t="s">
        <v>2203</v>
      </c>
      <c r="C392" s="1" t="s">
        <v>2204</v>
      </c>
      <c r="D392" s="1" t="s">
        <v>2205</v>
      </c>
      <c r="E392" s="1" t="s">
        <v>2206</v>
      </c>
      <c r="F392" s="1" t="s">
        <v>2207</v>
      </c>
      <c r="G392" s="1" t="s">
        <v>74</v>
      </c>
      <c r="H392" s="1" t="str">
        <f aca="false">IF(G392="BUG","BUG-"&amp;A392,IF(G392="FUNCTIONAL","FUNCTIONAL-"&amp;A392,""))</f>
        <v/>
      </c>
    </row>
    <row r="393" customFormat="false" ht="15" hidden="false" customHeight="true" outlineLevel="0" collapsed="false">
      <c r="A393" s="1" t="s">
        <v>2208</v>
      </c>
      <c r="B393" s="1" t="s">
        <v>2203</v>
      </c>
      <c r="C393" s="1" t="s">
        <v>2209</v>
      </c>
      <c r="D393" s="1" t="s">
        <v>2210</v>
      </c>
      <c r="E393" s="1" t="s">
        <v>2211</v>
      </c>
      <c r="F393" s="1" t="s">
        <v>2212</v>
      </c>
      <c r="G393" s="1" t="s">
        <v>74</v>
      </c>
      <c r="H393" s="1" t="str">
        <f aca="false">IF(G393="BUG","BUG-"&amp;A393,IF(G393="FUNCTIONAL","FUNCTIONAL-"&amp;A393,""))</f>
        <v/>
      </c>
    </row>
    <row r="394" customFormat="false" ht="15" hidden="false" customHeight="true" outlineLevel="0" collapsed="false">
      <c r="A394" s="1" t="s">
        <v>2213</v>
      </c>
      <c r="B394" s="1" t="s">
        <v>2214</v>
      </c>
      <c r="C394" s="1" t="s">
        <v>2215</v>
      </c>
      <c r="D394" s="1" t="s">
        <v>264</v>
      </c>
      <c r="E394" s="1" t="s">
        <v>2216</v>
      </c>
      <c r="F394" s="1" t="s">
        <v>2217</v>
      </c>
      <c r="G394" s="1" t="s">
        <v>74</v>
      </c>
      <c r="H394" s="1" t="str">
        <f aca="false">IF(G394="BUG","BUG-"&amp;A394,IF(G394="FUNCTIONAL","FUNCTIONAL-"&amp;A394,""))</f>
        <v/>
      </c>
    </row>
    <row r="395" customFormat="false" ht="15" hidden="false" customHeight="true" outlineLevel="0" collapsed="false">
      <c r="A395" s="1" t="s">
        <v>2218</v>
      </c>
      <c r="B395" s="1" t="s">
        <v>2219</v>
      </c>
      <c r="C395" s="1" t="s">
        <v>2220</v>
      </c>
      <c r="D395" s="1" t="s">
        <v>2221</v>
      </c>
      <c r="E395" s="1" t="s">
        <v>2222</v>
      </c>
      <c r="F395" s="1" t="s">
        <v>2223</v>
      </c>
      <c r="G395" s="1" t="s">
        <v>74</v>
      </c>
      <c r="H395" s="1" t="str">
        <f aca="false">IF(G395="BUG","BUG-"&amp;A395,IF(G395="FUNCTIONAL","FUNCTIONAL-"&amp;A395,""))</f>
        <v/>
      </c>
    </row>
    <row r="396" customFormat="false" ht="15" hidden="false" customHeight="true" outlineLevel="0" collapsed="false">
      <c r="A396" s="1" t="s">
        <v>2224</v>
      </c>
      <c r="B396" s="1" t="s">
        <v>2225</v>
      </c>
      <c r="C396" s="1" t="s">
        <v>2226</v>
      </c>
      <c r="D396" s="1" t="s">
        <v>1770</v>
      </c>
      <c r="E396" s="1" t="s">
        <v>2227</v>
      </c>
      <c r="F396" s="1" t="s">
        <v>2228</v>
      </c>
      <c r="G396" s="1" t="s">
        <v>41</v>
      </c>
      <c r="H396" s="1" t="str">
        <f aca="false">IF(G396="BUG","BUG-"&amp;A396,IF(G396="FUNCTIONAL","FUNCTIONAL-"&amp;A396,""))</f>
        <v/>
      </c>
    </row>
    <row r="397" customFormat="false" ht="15" hidden="false" customHeight="true" outlineLevel="0" collapsed="false">
      <c r="A397" s="10" t="s">
        <v>2229</v>
      </c>
      <c r="B397" s="10" t="s">
        <v>2230</v>
      </c>
      <c r="C397" s="10" t="s">
        <v>2231</v>
      </c>
      <c r="D397" s="10" t="s">
        <v>2232</v>
      </c>
      <c r="E397" s="10" t="s">
        <v>2233</v>
      </c>
      <c r="F397" s="10" t="s">
        <v>2234</v>
      </c>
      <c r="G397" s="10" t="s">
        <v>41</v>
      </c>
      <c r="H397" s="10" t="str">
        <f aca="false">IF(G397="BUG","BUG-"&amp;A397,IF(G397="FUNCTIONAL","FUNCTIONAL-"&amp;A397,""))</f>
        <v/>
      </c>
      <c r="I397" s="10" t="s">
        <v>42</v>
      </c>
      <c r="K397" s="11" t="s">
        <v>652</v>
      </c>
      <c r="L397" s="11" t="s">
        <v>2235</v>
      </c>
    </row>
    <row r="398" customFormat="false" ht="15" hidden="false" customHeight="true" outlineLevel="0" collapsed="false">
      <c r="A398" s="10" t="s">
        <v>2236</v>
      </c>
      <c r="B398" s="10" t="s">
        <v>2230</v>
      </c>
      <c r="C398" s="10" t="s">
        <v>2237</v>
      </c>
      <c r="D398" s="10" t="s">
        <v>2238</v>
      </c>
      <c r="E398" s="10" t="s">
        <v>2239</v>
      </c>
      <c r="F398" s="10" t="s">
        <v>2240</v>
      </c>
      <c r="G398" s="10" t="s">
        <v>41</v>
      </c>
      <c r="H398" s="10" t="str">
        <f aca="false">IF(G398="BUG","BUG-"&amp;A398,IF(G398="FUNCTIONAL","FUNCTIONAL-"&amp;A398,""))</f>
        <v/>
      </c>
      <c r="I398" s="10" t="s">
        <v>42</v>
      </c>
      <c r="K398" s="11" t="s">
        <v>198</v>
      </c>
      <c r="L398" s="11" t="s">
        <v>2241</v>
      </c>
    </row>
    <row r="399" customFormat="false" ht="15" hidden="false" customHeight="true" outlineLevel="0" collapsed="false">
      <c r="A399" s="10" t="s">
        <v>2242</v>
      </c>
      <c r="B399" s="10" t="s">
        <v>2230</v>
      </c>
      <c r="C399" s="10" t="s">
        <v>2243</v>
      </c>
      <c r="D399" s="10" t="s">
        <v>2244</v>
      </c>
      <c r="E399" s="10" t="s">
        <v>2245</v>
      </c>
      <c r="F399" s="10" t="s">
        <v>2246</v>
      </c>
      <c r="G399" s="10" t="s">
        <v>41</v>
      </c>
      <c r="H399" s="10" t="str">
        <f aca="false">IF(G399="BUG","BUG-"&amp;A399,IF(G399="FUNCTIONAL","FUNCTIONAL-"&amp;A399,""))</f>
        <v/>
      </c>
      <c r="I399" s="10" t="s">
        <v>42</v>
      </c>
      <c r="K399" s="11" t="s">
        <v>198</v>
      </c>
      <c r="L399" s="11" t="s">
        <v>2247</v>
      </c>
    </row>
    <row r="400" customFormat="false" ht="15" hidden="false" customHeight="true" outlineLevel="0" collapsed="false">
      <c r="A400" s="10" t="s">
        <v>2248</v>
      </c>
      <c r="B400" s="10" t="s">
        <v>2230</v>
      </c>
      <c r="C400" s="10" t="s">
        <v>2249</v>
      </c>
      <c r="D400" s="10" t="s">
        <v>2250</v>
      </c>
      <c r="E400" s="10" t="s">
        <v>2251</v>
      </c>
      <c r="F400" s="10" t="s">
        <v>2252</v>
      </c>
      <c r="G400" s="10" t="s">
        <v>41</v>
      </c>
      <c r="H400" s="10" t="str">
        <f aca="false">IF(G400="BUG","BUG-"&amp;A400,IF(G400="FUNCTIONAL","FUNCTIONAL-"&amp;A400,""))</f>
        <v/>
      </c>
      <c r="I400" s="10" t="s">
        <v>56</v>
      </c>
      <c r="L400" s="11" t="s">
        <v>2253</v>
      </c>
    </row>
    <row r="401" customFormat="false" ht="15" hidden="false" customHeight="true" outlineLevel="0" collapsed="false">
      <c r="A401" s="10" t="s">
        <v>2254</v>
      </c>
      <c r="B401" s="10" t="s">
        <v>2230</v>
      </c>
      <c r="C401" s="10" t="s">
        <v>2255</v>
      </c>
      <c r="D401" s="10" t="s">
        <v>2256</v>
      </c>
      <c r="E401" s="10" t="s">
        <v>2257</v>
      </c>
      <c r="F401" s="10" t="s">
        <v>2258</v>
      </c>
      <c r="G401" s="10" t="s">
        <v>2259</v>
      </c>
      <c r="H401" s="10" t="str">
        <f aca="false">IF(G401="BUG","BUG-"&amp;A401,IF(G401="FUNCTIONAL","FUNCTIONAL-"&amp;A401,""))</f>
        <v/>
      </c>
      <c r="I401" s="10" t="s">
        <v>56</v>
      </c>
      <c r="L401" s="11" t="s">
        <v>2260</v>
      </c>
    </row>
    <row r="402" customFormat="false" ht="15" hidden="false" customHeight="true" outlineLevel="0" collapsed="false">
      <c r="A402" s="10" t="s">
        <v>2261</v>
      </c>
      <c r="B402" s="10" t="s">
        <v>2230</v>
      </c>
      <c r="C402" s="10" t="s">
        <v>2262</v>
      </c>
      <c r="D402" s="10" t="s">
        <v>2263</v>
      </c>
      <c r="E402" s="10" t="s">
        <v>2264</v>
      </c>
      <c r="F402" s="10" t="s">
        <v>2265</v>
      </c>
      <c r="G402" s="10" t="s">
        <v>2259</v>
      </c>
      <c r="H402" s="10" t="str">
        <f aca="false">IF(G402="BUG","BUG-"&amp;A402,IF(G402="FUNCTIONAL","FUNCTIONAL-"&amp;A402,""))</f>
        <v/>
      </c>
      <c r="I402" s="10" t="s">
        <v>65</v>
      </c>
      <c r="L402" s="11" t="s">
        <v>2266</v>
      </c>
    </row>
    <row r="403" customFormat="false" ht="15" hidden="false" customHeight="true" outlineLevel="0" collapsed="false">
      <c r="A403" s="10" t="s">
        <v>2267</v>
      </c>
      <c r="B403" s="10" t="s">
        <v>2268</v>
      </c>
      <c r="C403" s="10" t="s">
        <v>2269</v>
      </c>
      <c r="D403" s="10" t="s">
        <v>2238</v>
      </c>
      <c r="E403" s="10" t="s">
        <v>2270</v>
      </c>
      <c r="F403" s="10" t="s">
        <v>2271</v>
      </c>
      <c r="G403" s="10" t="s">
        <v>74</v>
      </c>
      <c r="H403" s="10" t="str">
        <f aca="false">IF(G403="BUG","BUG-"&amp;A403,IF(G403="FUNCTIONAL","FUNCTIONAL-"&amp;A403,""))</f>
        <v/>
      </c>
      <c r="I403" s="10" t="s">
        <v>42</v>
      </c>
      <c r="L403" s="11" t="s">
        <v>2272</v>
      </c>
    </row>
    <row r="404" customFormat="false" ht="15" hidden="false" customHeight="true" outlineLevel="0" collapsed="false">
      <c r="A404" s="10" t="s">
        <v>2273</v>
      </c>
      <c r="B404" s="10" t="s">
        <v>2268</v>
      </c>
      <c r="C404" s="10" t="s">
        <v>2274</v>
      </c>
      <c r="D404" s="10" t="s">
        <v>2244</v>
      </c>
      <c r="E404" s="10" t="s">
        <v>2275</v>
      </c>
      <c r="F404" s="10" t="s">
        <v>2246</v>
      </c>
      <c r="G404" s="10" t="s">
        <v>74</v>
      </c>
      <c r="H404" s="10" t="str">
        <f aca="false">IF(G404="BUG","BUG-"&amp;A404,IF(G404="FUNCTIONAL","FUNCTIONAL-"&amp;A404,""))</f>
        <v/>
      </c>
      <c r="I404" s="10" t="s">
        <v>42</v>
      </c>
      <c r="L404" s="11" t="s">
        <v>2276</v>
      </c>
    </row>
    <row r="405" customFormat="false" ht="15" hidden="false" customHeight="true" outlineLevel="0" collapsed="false">
      <c r="A405" s="10" t="s">
        <v>2277</v>
      </c>
      <c r="B405" s="10" t="s">
        <v>2268</v>
      </c>
      <c r="C405" s="10" t="s">
        <v>2278</v>
      </c>
      <c r="D405" s="10" t="s">
        <v>2279</v>
      </c>
      <c r="E405" s="10" t="s">
        <v>2280</v>
      </c>
      <c r="F405" s="10" t="s">
        <v>2281</v>
      </c>
      <c r="G405" s="10" t="s">
        <v>41</v>
      </c>
      <c r="H405" s="10" t="str">
        <f aca="false">IF(G405="BUG","BUG-"&amp;A405,IF(G405="FUNCTIONAL","FUNCTIONAL-"&amp;A405,""))</f>
        <v/>
      </c>
      <c r="I405" s="10" t="s">
        <v>42</v>
      </c>
      <c r="L405" s="11" t="s">
        <v>2282</v>
      </c>
    </row>
    <row r="406" customFormat="false" ht="15" hidden="false" customHeight="true" outlineLevel="0" collapsed="false">
      <c r="A406" s="10" t="s">
        <v>2283</v>
      </c>
      <c r="B406" s="10" t="s">
        <v>2268</v>
      </c>
      <c r="C406" s="10" t="s">
        <v>2284</v>
      </c>
      <c r="D406" s="10" t="s">
        <v>2285</v>
      </c>
      <c r="E406" s="10" t="s">
        <v>2286</v>
      </c>
      <c r="F406" s="10" t="s">
        <v>2287</v>
      </c>
      <c r="G406" s="10" t="s">
        <v>2288</v>
      </c>
      <c r="H406" s="10" t="str">
        <f aca="false">IF(G406="BUG","BUG-"&amp;A406,IF(G406="FUNCTIONAL","FUNCTIONAL-"&amp;A406,""))</f>
        <v/>
      </c>
      <c r="I406" s="10" t="s">
        <v>56</v>
      </c>
      <c r="L406" s="11" t="s">
        <v>2289</v>
      </c>
    </row>
    <row r="407" customFormat="false" ht="15" hidden="false" customHeight="true" outlineLevel="0" collapsed="false">
      <c r="A407" s="10" t="s">
        <v>2290</v>
      </c>
      <c r="B407" s="10" t="s">
        <v>2268</v>
      </c>
      <c r="C407" s="10" t="s">
        <v>2291</v>
      </c>
      <c r="D407" s="10" t="s">
        <v>2292</v>
      </c>
      <c r="E407" s="10" t="s">
        <v>2293</v>
      </c>
      <c r="F407" s="10" t="s">
        <v>2294</v>
      </c>
      <c r="G407" s="10" t="s">
        <v>41</v>
      </c>
      <c r="H407" s="10" t="str">
        <f aca="false">IF(G407="BUG","BUG-"&amp;A407,IF(G407="FUNCTIONAL","FUNCTIONAL-"&amp;A407,""))</f>
        <v/>
      </c>
      <c r="I407" s="10" t="s">
        <v>42</v>
      </c>
      <c r="L407" s="11" t="s">
        <v>2295</v>
      </c>
    </row>
    <row r="408" customFormat="false" ht="15" hidden="false" customHeight="true" outlineLevel="0" collapsed="false">
      <c r="A408" s="10" t="s">
        <v>2296</v>
      </c>
      <c r="B408" s="10" t="s">
        <v>2297</v>
      </c>
      <c r="C408" s="10" t="s">
        <v>2298</v>
      </c>
      <c r="D408" s="10" t="s">
        <v>2299</v>
      </c>
      <c r="E408" s="10" t="s">
        <v>2300</v>
      </c>
      <c r="F408" s="10" t="s">
        <v>2301</v>
      </c>
      <c r="G408" s="10" t="s">
        <v>41</v>
      </c>
      <c r="H408" s="10" t="str">
        <f aca="false">IF(G408="BUG","BUG-"&amp;A408,IF(G408="FUNCTIONAL","FUNCTIONAL-"&amp;A408,""))</f>
        <v/>
      </c>
      <c r="I408" s="10" t="s">
        <v>65</v>
      </c>
      <c r="L408" s="11" t="s">
        <v>2302</v>
      </c>
    </row>
    <row r="409" customFormat="false" ht="15" hidden="false" customHeight="true" outlineLevel="0" collapsed="false">
      <c r="A409" s="1" t="s">
        <v>2303</v>
      </c>
      <c r="B409" s="1" t="s">
        <v>2304</v>
      </c>
      <c r="C409" s="1" t="s">
        <v>2305</v>
      </c>
      <c r="D409" s="1" t="s">
        <v>2306</v>
      </c>
      <c r="E409" s="1" t="s">
        <v>2307</v>
      </c>
      <c r="F409" s="1" t="s">
        <v>2308</v>
      </c>
      <c r="G409" s="1" t="s">
        <v>41</v>
      </c>
      <c r="H409" s="1" t="str">
        <f aca="false">IF(G409="BUG","BUG-"&amp;A409,IF(G409="FUNCTIONAL","FUNCTIONAL-"&amp;A409,""))</f>
        <v/>
      </c>
      <c r="I409" s="1" t="s">
        <v>42</v>
      </c>
      <c r="L409" s="1" t="s">
        <v>2309</v>
      </c>
    </row>
    <row r="410" customFormat="false" ht="15" hidden="false" customHeight="true" outlineLevel="0" collapsed="false">
      <c r="A410" s="1" t="s">
        <v>2310</v>
      </c>
      <c r="B410" s="1" t="s">
        <v>2304</v>
      </c>
      <c r="C410" s="1" t="s">
        <v>2311</v>
      </c>
      <c r="D410" s="1" t="s">
        <v>2312</v>
      </c>
      <c r="E410" s="1" t="s">
        <v>2313</v>
      </c>
      <c r="F410" s="1" t="s">
        <v>2314</v>
      </c>
      <c r="G410" s="1" t="s">
        <v>41</v>
      </c>
      <c r="H410" s="1" t="str">
        <f aca="false">IF(G410="BUG","BUG-"&amp;A410,IF(G410="FUNCTIONAL","FUNCTIONAL-"&amp;A410,""))</f>
        <v/>
      </c>
      <c r="I410" s="1" t="s">
        <v>56</v>
      </c>
      <c r="L410" s="1" t="s">
        <v>2315</v>
      </c>
    </row>
    <row r="411" customFormat="false" ht="15" hidden="false" customHeight="true" outlineLevel="0" collapsed="false">
      <c r="A411" s="1" t="s">
        <v>2316</v>
      </c>
      <c r="B411" s="1" t="s">
        <v>2304</v>
      </c>
      <c r="C411" s="1" t="s">
        <v>2317</v>
      </c>
      <c r="D411" s="1" t="s">
        <v>2318</v>
      </c>
      <c r="E411" s="1" t="s">
        <v>2319</v>
      </c>
      <c r="F411" s="1" t="s">
        <v>2320</v>
      </c>
      <c r="G411" s="1" t="s">
        <v>74</v>
      </c>
      <c r="H411" s="1" t="str">
        <f aca="false">IF(G411="BUG","BUG-"&amp;A411,IF(G411="FUNCTIONAL","FUNCTIONAL-"&amp;A411,""))</f>
        <v/>
      </c>
      <c r="I411" s="1" t="s">
        <v>56</v>
      </c>
      <c r="L411" s="1" t="s">
        <v>2321</v>
      </c>
    </row>
    <row r="412" customFormat="false" ht="15" hidden="false" customHeight="true" outlineLevel="0" collapsed="false">
      <c r="A412" s="1" t="s">
        <v>2322</v>
      </c>
      <c r="B412" s="1" t="s">
        <v>2323</v>
      </c>
      <c r="C412" s="1" t="s">
        <v>2324</v>
      </c>
      <c r="D412" s="1" t="s">
        <v>2325</v>
      </c>
      <c r="E412" s="1" t="s">
        <v>2326</v>
      </c>
      <c r="F412" s="1" t="s">
        <v>2327</v>
      </c>
      <c r="G412" s="1" t="s">
        <v>41</v>
      </c>
      <c r="H412" s="1" t="str">
        <f aca="false">IF(G412="BUG","BUG-"&amp;A412,IF(G412="FUNCTIONAL","FUNCTIONAL-"&amp;A412,""))</f>
        <v/>
      </c>
      <c r="I412" s="1" t="s">
        <v>42</v>
      </c>
      <c r="L412" s="1" t="s">
        <v>2328</v>
      </c>
    </row>
    <row r="413" customFormat="false" ht="15" hidden="false" customHeight="true" outlineLevel="0" collapsed="false">
      <c r="A413" s="1" t="s">
        <v>2329</v>
      </c>
      <c r="B413" s="1" t="s">
        <v>2330</v>
      </c>
      <c r="C413" s="1" t="s">
        <v>2331</v>
      </c>
      <c r="D413" s="1" t="s">
        <v>2332</v>
      </c>
      <c r="E413" s="1" t="s">
        <v>2333</v>
      </c>
      <c r="F413" s="1" t="s">
        <v>2334</v>
      </c>
      <c r="G413" s="1" t="s">
        <v>2335</v>
      </c>
      <c r="H413" s="1" t="str">
        <f aca="false">IF(G413="BUG","BUG-"&amp;A413,IF(G413="FUNCTIONAL","FUNCTIONAL-"&amp;A413,""))</f>
        <v/>
      </c>
      <c r="I413" s="1" t="s">
        <v>56</v>
      </c>
      <c r="L413" s="1" t="s">
        <v>2336</v>
      </c>
    </row>
    <row r="414" customFormat="false" ht="15" hidden="false" customHeight="true" outlineLevel="0" collapsed="false">
      <c r="A414" s="1" t="s">
        <v>2337</v>
      </c>
      <c r="B414" s="1" t="s">
        <v>2304</v>
      </c>
      <c r="C414" s="1" t="s">
        <v>2338</v>
      </c>
      <c r="D414" s="1" t="s">
        <v>1184</v>
      </c>
      <c r="E414" s="1" t="s">
        <v>2339</v>
      </c>
      <c r="F414" s="1" t="s">
        <v>2340</v>
      </c>
      <c r="G414" s="1" t="s">
        <v>74</v>
      </c>
      <c r="H414" s="1" t="str">
        <f aca="false">IF(G414="BUG","BUG-"&amp;A414,IF(G414="FUNCTIONAL","FUNCTIONAL-"&amp;A414,""))</f>
        <v/>
      </c>
      <c r="I414" s="1" t="s">
        <v>65</v>
      </c>
      <c r="L414" s="1" t="s">
        <v>2341</v>
      </c>
    </row>
    <row r="415" customFormat="false" ht="15" hidden="false" customHeight="true" outlineLevel="0" collapsed="false">
      <c r="A415" s="1" t="s">
        <v>2342</v>
      </c>
      <c r="B415" s="1" t="s">
        <v>2304</v>
      </c>
      <c r="C415" s="1" t="s">
        <v>2343</v>
      </c>
      <c r="D415" s="1" t="s">
        <v>1184</v>
      </c>
      <c r="E415" s="1" t="s">
        <v>2344</v>
      </c>
      <c r="F415" s="1" t="s">
        <v>2340</v>
      </c>
      <c r="G415" s="1" t="s">
        <v>74</v>
      </c>
      <c r="H415" s="1" t="str">
        <f aca="false">IF(G415="BUG","BUG-"&amp;A415,IF(G415="FUNCTIONAL","FUNCTIONAL-"&amp;A415,""))</f>
        <v/>
      </c>
      <c r="I415" s="1" t="s">
        <v>65</v>
      </c>
      <c r="L415" s="1" t="s">
        <v>2345</v>
      </c>
    </row>
    <row r="416" customFormat="false" ht="15" hidden="false" customHeight="true" outlineLevel="0" collapsed="false">
      <c r="A416" s="1" t="s">
        <v>2346</v>
      </c>
      <c r="B416" s="1" t="s">
        <v>2347</v>
      </c>
      <c r="C416" s="1" t="s">
        <v>2348</v>
      </c>
      <c r="D416" s="1" t="s">
        <v>2349</v>
      </c>
      <c r="E416" s="1" t="s">
        <v>2350</v>
      </c>
      <c r="F416" s="1" t="s">
        <v>2351</v>
      </c>
      <c r="G416" s="1" t="s">
        <v>74</v>
      </c>
      <c r="H416" s="1" t="str">
        <f aca="false">IF(G416="BUG","BUG-"&amp;A416,IF(G416="FUNCTIONAL","FUNCTIONAL-"&amp;A416,""))</f>
        <v/>
      </c>
      <c r="I416" s="1" t="s">
        <v>56</v>
      </c>
      <c r="L416" s="1" t="s">
        <v>2352</v>
      </c>
    </row>
    <row r="417" customFormat="false" ht="15" hidden="false" customHeight="true" outlineLevel="0" collapsed="false">
      <c r="A417" s="1" t="s">
        <v>2353</v>
      </c>
      <c r="B417" s="1" t="s">
        <v>2354</v>
      </c>
      <c r="C417" s="1" t="s">
        <v>2355</v>
      </c>
      <c r="D417" s="1" t="s">
        <v>2356</v>
      </c>
      <c r="E417" s="1" t="s">
        <v>2357</v>
      </c>
      <c r="F417" s="1" t="s">
        <v>2358</v>
      </c>
      <c r="G417" s="1" t="s">
        <v>74</v>
      </c>
      <c r="H417" s="1" t="str">
        <f aca="false">IF(G417="BUG","BUG-"&amp;A417,IF(G417="FUNCTIONAL","FUNCTIONAL-"&amp;A417,""))</f>
        <v/>
      </c>
      <c r="I417" s="1" t="s">
        <v>65</v>
      </c>
      <c r="L417" s="1" t="s">
        <v>2359</v>
      </c>
    </row>
    <row r="418" customFormat="false" ht="15" hidden="false" customHeight="true" outlineLevel="0" collapsed="false">
      <c r="A418" s="1" t="s">
        <v>2360</v>
      </c>
      <c r="B418" s="1" t="s">
        <v>2354</v>
      </c>
      <c r="C418" s="1" t="s">
        <v>2361</v>
      </c>
      <c r="D418" s="1" t="s">
        <v>2356</v>
      </c>
      <c r="E418" s="1" t="s">
        <v>2362</v>
      </c>
      <c r="F418" s="1" t="s">
        <v>2363</v>
      </c>
      <c r="G418" s="1" t="s">
        <v>74</v>
      </c>
      <c r="H418" s="1" t="str">
        <f aca="false">IF(G418="BUG","BUG-"&amp;A418,IF(G418="FUNCTIONAL","FUNCTIONAL-"&amp;A418,""))</f>
        <v/>
      </c>
      <c r="I418" s="1" t="s">
        <v>65</v>
      </c>
      <c r="L418" s="1" t="s">
        <v>2364</v>
      </c>
    </row>
    <row r="419" customFormat="false" ht="15" hidden="false" customHeight="true" outlineLevel="0" collapsed="false">
      <c r="A419" s="1" t="s">
        <v>2365</v>
      </c>
      <c r="B419" s="1" t="s">
        <v>2366</v>
      </c>
      <c r="C419" s="1" t="s">
        <v>2367</v>
      </c>
      <c r="D419" s="1" t="s">
        <v>2368</v>
      </c>
      <c r="E419" s="1" t="s">
        <v>2369</v>
      </c>
      <c r="F419" s="1" t="s">
        <v>2370</v>
      </c>
      <c r="G419" s="1" t="s">
        <v>74</v>
      </c>
      <c r="H419" s="1" t="str">
        <f aca="false">IF(G419="BUG","BUG-"&amp;A419,IF(G419="FUNCTIONAL","FUNCTIONAL-"&amp;A419,""))</f>
        <v/>
      </c>
      <c r="I419" s="1" t="s">
        <v>56</v>
      </c>
      <c r="L419" s="1" t="s">
        <v>2371</v>
      </c>
    </row>
    <row r="420" customFormat="false" ht="15" hidden="false" customHeight="true" outlineLevel="0" collapsed="false">
      <c r="A420" s="1" t="s">
        <v>2372</v>
      </c>
      <c r="B420" s="1" t="s">
        <v>2366</v>
      </c>
      <c r="C420" s="1" t="s">
        <v>2373</v>
      </c>
      <c r="D420" s="1" t="s">
        <v>2374</v>
      </c>
      <c r="E420" s="1" t="s">
        <v>2375</v>
      </c>
      <c r="F420" s="1" t="s">
        <v>2376</v>
      </c>
      <c r="G420" s="1" t="s">
        <v>74</v>
      </c>
      <c r="H420" s="1" t="str">
        <f aca="false">IF(G420="BUG","BUG-"&amp;A420,IF(G420="FUNCTIONAL","FUNCTIONAL-"&amp;A420,""))</f>
        <v/>
      </c>
      <c r="I420" s="1" t="s">
        <v>56</v>
      </c>
      <c r="L420" s="1" t="s">
        <v>2377</v>
      </c>
    </row>
    <row r="421" customFormat="false" ht="15" hidden="false" customHeight="true" outlineLevel="0" collapsed="false">
      <c r="A421" s="1" t="s">
        <v>2378</v>
      </c>
      <c r="B421" s="1" t="s">
        <v>2379</v>
      </c>
      <c r="C421" s="1" t="s">
        <v>2380</v>
      </c>
      <c r="D421" s="1" t="s">
        <v>2381</v>
      </c>
      <c r="E421" s="1" t="s">
        <v>2382</v>
      </c>
      <c r="F421" s="1" t="s">
        <v>2383</v>
      </c>
      <c r="G421" s="1" t="s">
        <v>74</v>
      </c>
      <c r="H421" s="1" t="str">
        <f aca="false">IF(G421="BUG","BUG-"&amp;A421,IF(G421="FUNCTIONAL","FUNCTIONAL-"&amp;A421,""))</f>
        <v/>
      </c>
      <c r="I421" s="1" t="s">
        <v>56</v>
      </c>
      <c r="L421" s="1" t="s">
        <v>2384</v>
      </c>
    </row>
    <row r="422" customFormat="false" ht="15" hidden="false" customHeight="true" outlineLevel="0" collapsed="false">
      <c r="A422" s="1" t="s">
        <v>2385</v>
      </c>
      <c r="B422" s="1" t="s">
        <v>2386</v>
      </c>
      <c r="C422" s="1" t="s">
        <v>2387</v>
      </c>
      <c r="D422" s="1" t="s">
        <v>2381</v>
      </c>
      <c r="E422" s="1" t="s">
        <v>2388</v>
      </c>
      <c r="F422" s="1" t="s">
        <v>2389</v>
      </c>
      <c r="G422" s="1" t="s">
        <v>74</v>
      </c>
      <c r="H422" s="1" t="str">
        <f aca="false">IF(G422="BUG","BUG-"&amp;A422,IF(G422="FUNCTIONAL","FUNCTIONAL-"&amp;A422,""))</f>
        <v/>
      </c>
      <c r="I422" s="1" t="s">
        <v>65</v>
      </c>
      <c r="L422" s="1" t="s">
        <v>2390</v>
      </c>
    </row>
    <row r="423" customFormat="false" ht="15" hidden="false" customHeight="true" outlineLevel="0" collapsed="false">
      <c r="A423" s="1" t="s">
        <v>2391</v>
      </c>
      <c r="B423" s="1" t="s">
        <v>2392</v>
      </c>
      <c r="C423" s="1" t="s">
        <v>2393</v>
      </c>
      <c r="D423" s="1" t="s">
        <v>2394</v>
      </c>
      <c r="E423" s="1" t="s">
        <v>2395</v>
      </c>
      <c r="F423" s="1" t="s">
        <v>2396</v>
      </c>
      <c r="G423" s="1" t="s">
        <v>74</v>
      </c>
      <c r="H423" s="1" t="str">
        <f aca="false">IF(G423="BUG","BUG-"&amp;A423,IF(G423="FUNCTIONAL","FUNCTIONAL-"&amp;A423,""))</f>
        <v/>
      </c>
      <c r="I423" s="1" t="s">
        <v>56</v>
      </c>
      <c r="L423" s="1" t="s">
        <v>2397</v>
      </c>
    </row>
    <row r="424" customFormat="false" ht="15" hidden="false" customHeight="true" outlineLevel="0" collapsed="false">
      <c r="A424" s="1" t="s">
        <v>2398</v>
      </c>
      <c r="B424" s="1" t="s">
        <v>2399</v>
      </c>
      <c r="C424" s="1" t="s">
        <v>2400</v>
      </c>
      <c r="D424" s="1" t="s">
        <v>2394</v>
      </c>
      <c r="E424" s="1" t="s">
        <v>2401</v>
      </c>
      <c r="F424" s="1" t="s">
        <v>2402</v>
      </c>
      <c r="G424" s="1" t="s">
        <v>74</v>
      </c>
      <c r="H424" s="1" t="str">
        <f aca="false">IF(G424="BUG","BUG-"&amp;A424,IF(G424="FUNCTIONAL","FUNCTIONAL-"&amp;A424,""))</f>
        <v/>
      </c>
      <c r="I424" s="1" t="s">
        <v>65</v>
      </c>
      <c r="L424" s="1" t="s">
        <v>2403</v>
      </c>
    </row>
    <row r="425" customFormat="false" ht="15" hidden="false" customHeight="true" outlineLevel="0" collapsed="false">
      <c r="A425" s="1" t="s">
        <v>2404</v>
      </c>
      <c r="B425" s="1" t="s">
        <v>2405</v>
      </c>
      <c r="C425" s="1" t="s">
        <v>2406</v>
      </c>
      <c r="D425" s="1" t="s">
        <v>2394</v>
      </c>
      <c r="E425" s="1" t="s">
        <v>2407</v>
      </c>
      <c r="F425" s="1" t="s">
        <v>2408</v>
      </c>
      <c r="G425" s="1" t="s">
        <v>74</v>
      </c>
      <c r="H425" s="1" t="str">
        <f aca="false">IF(G425="BUG","BUG-"&amp;A425,IF(G425="FUNCTIONAL","FUNCTIONAL-"&amp;A425,""))</f>
        <v/>
      </c>
      <c r="I425" s="1" t="s">
        <v>56</v>
      </c>
      <c r="L425" s="1" t="s">
        <v>2409</v>
      </c>
    </row>
    <row r="426" customFormat="false" ht="15" hidden="false" customHeight="true" outlineLevel="0" collapsed="false">
      <c r="A426" s="1" t="s">
        <v>2410</v>
      </c>
      <c r="B426" s="1" t="s">
        <v>2411</v>
      </c>
      <c r="C426" s="1" t="s">
        <v>2412</v>
      </c>
      <c r="D426" s="1" t="s">
        <v>2381</v>
      </c>
      <c r="E426" s="1" t="s">
        <v>2413</v>
      </c>
      <c r="F426" s="1" t="s">
        <v>2414</v>
      </c>
      <c r="G426" s="1" t="s">
        <v>74</v>
      </c>
      <c r="H426" s="1" t="str">
        <f aca="false">IF(G426="BUG","BUG-"&amp;A426,IF(G426="FUNCTIONAL","FUNCTIONAL-"&amp;A426,""))</f>
        <v/>
      </c>
      <c r="I426" s="1" t="s">
        <v>56</v>
      </c>
      <c r="L426" s="1" t="s">
        <v>2415</v>
      </c>
    </row>
    <row r="427" customFormat="false" ht="15" hidden="false" customHeight="true" outlineLevel="0" collapsed="false">
      <c r="A427" s="1" t="s">
        <v>2416</v>
      </c>
      <c r="B427" s="1" t="s">
        <v>2417</v>
      </c>
      <c r="C427" s="1" t="s">
        <v>2418</v>
      </c>
      <c r="D427" s="1" t="s">
        <v>2419</v>
      </c>
      <c r="E427" s="1" t="s">
        <v>2420</v>
      </c>
      <c r="F427" s="1" t="s">
        <v>2421</v>
      </c>
      <c r="G427" s="1" t="s">
        <v>74</v>
      </c>
      <c r="H427" s="1" t="str">
        <f aca="false">IF(G427="BUG","BUG-"&amp;A427,IF(G427="FUNCTIONAL","FUNCTIONAL-"&amp;A427,""))</f>
        <v/>
      </c>
      <c r="I427" s="1" t="s">
        <v>42</v>
      </c>
      <c r="L427" s="1" t="s">
        <v>2422</v>
      </c>
    </row>
    <row r="428" customFormat="false" ht="15" hidden="false" customHeight="true" outlineLevel="0" collapsed="false">
      <c r="A428" s="1" t="s">
        <v>2423</v>
      </c>
      <c r="B428" s="1" t="s">
        <v>2424</v>
      </c>
      <c r="C428" s="1" t="s">
        <v>2425</v>
      </c>
      <c r="D428" s="1" t="s">
        <v>2426</v>
      </c>
      <c r="E428" s="1" t="s">
        <v>2427</v>
      </c>
      <c r="F428" s="1" t="s">
        <v>2428</v>
      </c>
      <c r="G428" s="1" t="s">
        <v>74</v>
      </c>
      <c r="H428" s="1" t="str">
        <f aca="false">IF(G428="BUG","BUG-"&amp;A428,IF(G428="FUNCTIONAL","FUNCTIONAL-"&amp;A428,""))</f>
        <v/>
      </c>
      <c r="I428" s="1" t="s">
        <v>42</v>
      </c>
      <c r="L428" s="1" t="s">
        <v>2429</v>
      </c>
    </row>
    <row r="429" customFormat="false" ht="15" hidden="false" customHeight="true" outlineLevel="0" collapsed="false">
      <c r="A429" s="1" t="s">
        <v>2430</v>
      </c>
      <c r="B429" s="1" t="s">
        <v>2431</v>
      </c>
      <c r="C429" s="1" t="s">
        <v>2432</v>
      </c>
      <c r="D429" s="1" t="s">
        <v>2433</v>
      </c>
      <c r="E429" s="1" t="s">
        <v>2434</v>
      </c>
      <c r="F429" s="1" t="s">
        <v>2435</v>
      </c>
      <c r="G429" s="1" t="s">
        <v>74</v>
      </c>
      <c r="H429" s="1" t="str">
        <f aca="false">IF(G429="BUG","BUG-"&amp;A429,IF(G429="FUNCTIONAL","FUNCTIONAL-"&amp;A429,""))</f>
        <v/>
      </c>
      <c r="I429" s="1" t="s">
        <v>56</v>
      </c>
      <c r="L429" s="1" t="s">
        <v>2436</v>
      </c>
    </row>
    <row r="430" customFormat="false" ht="15" hidden="false" customHeight="true" outlineLevel="0" collapsed="false">
      <c r="A430" s="1" t="s">
        <v>2437</v>
      </c>
      <c r="B430" s="1" t="s">
        <v>2438</v>
      </c>
      <c r="C430" s="1" t="s">
        <v>2439</v>
      </c>
      <c r="D430" s="1" t="s">
        <v>2440</v>
      </c>
      <c r="E430" s="1" t="s">
        <v>2441</v>
      </c>
      <c r="F430" s="1" t="s">
        <v>2442</v>
      </c>
      <c r="G430" s="1" t="s">
        <v>74</v>
      </c>
      <c r="H430" s="1" t="str">
        <f aca="false">IF(G430="BUG","BUG-"&amp;A430,IF(G430="FUNCTIONAL","FUNCTIONAL-"&amp;A430,""))</f>
        <v/>
      </c>
      <c r="I430" s="1" t="s">
        <v>56</v>
      </c>
      <c r="L430" s="1" t="s">
        <v>2443</v>
      </c>
    </row>
    <row r="431" customFormat="false" ht="15" hidden="false" customHeight="true" outlineLevel="0" collapsed="false">
      <c r="A431" s="1" t="s">
        <v>2444</v>
      </c>
      <c r="B431" s="1" t="s">
        <v>2445</v>
      </c>
      <c r="C431" s="1" t="s">
        <v>2446</v>
      </c>
      <c r="D431" s="1" t="s">
        <v>2447</v>
      </c>
      <c r="E431" s="1" t="s">
        <v>2448</v>
      </c>
      <c r="F431" s="1" t="s">
        <v>2449</v>
      </c>
      <c r="G431" s="1" t="s">
        <v>74</v>
      </c>
      <c r="H431" s="1" t="str">
        <f aca="false">IF(G431="BUG","BUG-"&amp;A431,IF(G431="FUNCTIONAL","FUNCTIONAL-"&amp;A431,""))</f>
        <v/>
      </c>
      <c r="I431" s="1" t="s">
        <v>42</v>
      </c>
      <c r="L431" s="1" t="s">
        <v>2450</v>
      </c>
    </row>
    <row r="432" customFormat="false" ht="15" hidden="false" customHeight="true" outlineLevel="0" collapsed="false">
      <c r="A432" s="1" t="s">
        <v>2451</v>
      </c>
      <c r="B432" s="1" t="s">
        <v>2452</v>
      </c>
      <c r="C432" s="1" t="s">
        <v>2453</v>
      </c>
      <c r="D432" s="1" t="s">
        <v>2454</v>
      </c>
      <c r="E432" s="1" t="s">
        <v>2455</v>
      </c>
      <c r="F432" s="1" t="s">
        <v>2456</v>
      </c>
      <c r="G432" s="1" t="s">
        <v>74</v>
      </c>
      <c r="H432" s="1" t="str">
        <f aca="false">IF(G432="BUG","BUG-"&amp;A432,IF(G432="FUNCTIONAL","FUNCTIONAL-"&amp;A432,""))</f>
        <v/>
      </c>
      <c r="I432" s="1" t="s">
        <v>56</v>
      </c>
      <c r="L432" s="1" t="s">
        <v>2457</v>
      </c>
    </row>
    <row r="433" customFormat="false" ht="15" hidden="false" customHeight="true" outlineLevel="0" collapsed="false">
      <c r="A433" s="1" t="s">
        <v>2458</v>
      </c>
      <c r="B433" s="1" t="s">
        <v>2459</v>
      </c>
      <c r="C433" s="1" t="s">
        <v>2460</v>
      </c>
      <c r="D433" s="1" t="s">
        <v>2461</v>
      </c>
      <c r="E433" s="1" t="s">
        <v>2462</v>
      </c>
      <c r="F433" s="1" t="s">
        <v>2463</v>
      </c>
      <c r="G433" s="1" t="s">
        <v>74</v>
      </c>
      <c r="H433" s="1" t="str">
        <f aca="false">IF(G433="BUG","BUG-"&amp;A433,IF(G433="FUNCTIONAL","FUNCTIONAL-"&amp;A433,""))</f>
        <v/>
      </c>
      <c r="I433" s="1" t="s">
        <v>42</v>
      </c>
      <c r="L433" s="1" t="s">
        <v>2464</v>
      </c>
    </row>
    <row r="434" customFormat="false" ht="15" hidden="false" customHeight="true" outlineLevel="0" collapsed="false">
      <c r="A434" s="1" t="s">
        <v>2465</v>
      </c>
      <c r="B434" s="1" t="s">
        <v>2466</v>
      </c>
      <c r="C434" s="1" t="s">
        <v>2467</v>
      </c>
      <c r="D434" s="1" t="s">
        <v>2468</v>
      </c>
      <c r="E434" s="1" t="s">
        <v>2469</v>
      </c>
      <c r="F434" s="1" t="s">
        <v>2470</v>
      </c>
      <c r="G434" s="1" t="s">
        <v>74</v>
      </c>
      <c r="H434" s="1" t="str">
        <f aca="false">IF(G434="BUG","BUG-"&amp;A434,IF(G434="FUNCTIONAL","FUNCTIONAL-"&amp;A434,""))</f>
        <v/>
      </c>
      <c r="I434" s="1" t="s">
        <v>56</v>
      </c>
      <c r="L434" s="1" t="s">
        <v>2471</v>
      </c>
    </row>
    <row r="435" customFormat="false" ht="15" hidden="false" customHeight="true" outlineLevel="0" collapsed="false">
      <c r="A435" s="1" t="s">
        <v>2472</v>
      </c>
      <c r="B435" s="1" t="s">
        <v>2473</v>
      </c>
      <c r="C435" s="1" t="s">
        <v>2474</v>
      </c>
      <c r="D435" s="1" t="s">
        <v>2475</v>
      </c>
      <c r="E435" s="1" t="s">
        <v>2476</v>
      </c>
      <c r="F435" s="1" t="s">
        <v>2477</v>
      </c>
      <c r="G435" s="1" t="s">
        <v>74</v>
      </c>
      <c r="H435" s="1" t="str">
        <f aca="false">IF(G435="BUG","BUG-"&amp;A435,IF(G435="FUNCTIONAL","FUNCTIONAL-"&amp;A435,""))</f>
        <v/>
      </c>
      <c r="I435" s="1" t="s">
        <v>42</v>
      </c>
      <c r="L435" s="1" t="s">
        <v>2478</v>
      </c>
    </row>
    <row r="436" customFormat="false" ht="15" hidden="false" customHeight="true" outlineLevel="0" collapsed="false">
      <c r="A436" s="1" t="s">
        <v>2479</v>
      </c>
      <c r="B436" s="1" t="s">
        <v>2480</v>
      </c>
      <c r="C436" s="1" t="s">
        <v>2481</v>
      </c>
      <c r="D436" s="1" t="s">
        <v>1184</v>
      </c>
      <c r="E436" s="1" t="s">
        <v>2482</v>
      </c>
      <c r="F436" s="1" t="s">
        <v>2483</v>
      </c>
      <c r="G436" s="1" t="s">
        <v>74</v>
      </c>
      <c r="H436" s="1" t="str">
        <f aca="false">IF(G436="BUG","BUG-"&amp;A436,IF(G436="FUNCTIONAL","FUNCTIONAL-"&amp;A436,""))</f>
        <v/>
      </c>
      <c r="I436" s="1" t="s">
        <v>65</v>
      </c>
      <c r="L436" s="1" t="s">
        <v>2484</v>
      </c>
    </row>
    <row r="437" customFormat="false" ht="15" hidden="false" customHeight="true" outlineLevel="0" collapsed="false">
      <c r="A437" s="10" t="s">
        <v>2485</v>
      </c>
      <c r="B437" s="10" t="s">
        <v>2486</v>
      </c>
      <c r="C437" s="10" t="s">
        <v>2487</v>
      </c>
      <c r="D437" s="10" t="s">
        <v>2488</v>
      </c>
      <c r="E437" s="10" t="s">
        <v>2489</v>
      </c>
      <c r="F437" s="10" t="s">
        <v>2490</v>
      </c>
      <c r="G437" s="10" t="s">
        <v>74</v>
      </c>
      <c r="H437" s="10" t="str">
        <f aca="false">IF(G437="BUG","BUG-"&amp;A437,IF(G437="FUNCTIONAL","FUNCTIONAL-"&amp;A437,""))</f>
        <v/>
      </c>
      <c r="I437" s="10" t="s">
        <v>42</v>
      </c>
      <c r="L437" s="11" t="s">
        <v>2491</v>
      </c>
    </row>
    <row r="438" customFormat="false" ht="15" hidden="false" customHeight="true" outlineLevel="0" collapsed="false">
      <c r="A438" s="10" t="s">
        <v>2492</v>
      </c>
      <c r="B438" s="10" t="s">
        <v>2493</v>
      </c>
      <c r="C438" s="10" t="s">
        <v>2494</v>
      </c>
      <c r="D438" s="10" t="s">
        <v>2495</v>
      </c>
      <c r="E438" s="10" t="s">
        <v>2496</v>
      </c>
      <c r="F438" s="10" t="s">
        <v>2497</v>
      </c>
      <c r="G438" s="10" t="s">
        <v>74</v>
      </c>
      <c r="H438" s="10" t="str">
        <f aca="false">IF(G438="BUG","BUG-"&amp;A438,IF(G438="FUNCTIONAL","FUNCTIONAL-"&amp;A438,""))</f>
        <v/>
      </c>
      <c r="I438" s="10" t="s">
        <v>42</v>
      </c>
      <c r="L438" s="11" t="s">
        <v>2498</v>
      </c>
    </row>
    <row r="439" customFormat="false" ht="15" hidden="false" customHeight="true" outlineLevel="0" collapsed="false">
      <c r="A439" s="10" t="s">
        <v>2499</v>
      </c>
      <c r="B439" s="10" t="s">
        <v>2500</v>
      </c>
      <c r="C439" s="10" t="s">
        <v>2501</v>
      </c>
      <c r="D439" s="10" t="s">
        <v>2502</v>
      </c>
      <c r="E439" s="10" t="s">
        <v>2503</v>
      </c>
      <c r="F439" s="10" t="s">
        <v>2504</v>
      </c>
      <c r="G439" s="10" t="s">
        <v>74</v>
      </c>
      <c r="H439" s="10" t="str">
        <f aca="false">IF(G439="BUG","BUG-"&amp;A439,IF(G439="FUNCTIONAL","FUNCTIONAL-"&amp;A439,""))</f>
        <v/>
      </c>
      <c r="I439" s="10" t="s">
        <v>42</v>
      </c>
      <c r="L439" s="11" t="s">
        <v>2505</v>
      </c>
    </row>
    <row r="440" customFormat="false" ht="15" hidden="false" customHeight="true" outlineLevel="0" collapsed="false">
      <c r="A440" s="10" t="s">
        <v>2506</v>
      </c>
      <c r="B440" s="10" t="s">
        <v>2507</v>
      </c>
      <c r="C440" s="10" t="s">
        <v>2508</v>
      </c>
      <c r="D440" s="10" t="s">
        <v>2509</v>
      </c>
      <c r="E440" s="10" t="s">
        <v>2510</v>
      </c>
      <c r="F440" s="10" t="s">
        <v>2511</v>
      </c>
      <c r="G440" s="10" t="s">
        <v>74</v>
      </c>
      <c r="H440" s="10" t="str">
        <f aca="false">IF(G440="BUG","BUG-"&amp;A440,IF(G440="FUNCTIONAL","FUNCTIONAL-"&amp;A440,""))</f>
        <v/>
      </c>
      <c r="I440" s="10" t="s">
        <v>56</v>
      </c>
      <c r="L440" s="11" t="s">
        <v>2512</v>
      </c>
    </row>
    <row r="441" customFormat="false" ht="15" hidden="false" customHeight="true" outlineLevel="0" collapsed="false">
      <c r="A441" s="10" t="s">
        <v>2513</v>
      </c>
      <c r="B441" s="10" t="s">
        <v>2514</v>
      </c>
      <c r="C441" s="10" t="s">
        <v>2515</v>
      </c>
      <c r="D441" s="10" t="s">
        <v>2516</v>
      </c>
      <c r="E441" s="10" t="s">
        <v>2517</v>
      </c>
      <c r="F441" s="10" t="s">
        <v>2518</v>
      </c>
      <c r="G441" s="10" t="s">
        <v>74</v>
      </c>
      <c r="H441" s="10" t="str">
        <f aca="false">IF(G441="BUG","BUG-"&amp;A441,IF(G441="FUNCTIONAL","FUNCTIONAL-"&amp;A441,""))</f>
        <v/>
      </c>
      <c r="I441" s="10" t="s">
        <v>42</v>
      </c>
      <c r="L441" s="11" t="s">
        <v>2519</v>
      </c>
    </row>
    <row r="442" customFormat="false" ht="15" hidden="false" customHeight="true" outlineLevel="0" collapsed="false">
      <c r="A442" s="10" t="s">
        <v>2520</v>
      </c>
      <c r="B442" s="10" t="s">
        <v>2521</v>
      </c>
      <c r="C442" s="10" t="s">
        <v>2522</v>
      </c>
      <c r="D442" s="10" t="s">
        <v>2523</v>
      </c>
      <c r="E442" s="10" t="s">
        <v>2524</v>
      </c>
      <c r="F442" s="10" t="s">
        <v>2525</v>
      </c>
      <c r="G442" s="10" t="s">
        <v>74</v>
      </c>
      <c r="H442" s="10" t="str">
        <f aca="false">IF(G442="BUG","BUG-"&amp;A442,IF(G442="FUNCTIONAL","FUNCTIONAL-"&amp;A442,""))</f>
        <v/>
      </c>
      <c r="I442" s="10" t="s">
        <v>56</v>
      </c>
      <c r="L442" s="11" t="s">
        <v>2526</v>
      </c>
    </row>
    <row r="443" customFormat="false" ht="15" hidden="false" customHeight="true" outlineLevel="0" collapsed="false">
      <c r="A443" s="10" t="s">
        <v>2527</v>
      </c>
      <c r="B443" s="10" t="s">
        <v>2528</v>
      </c>
      <c r="C443" s="10" t="s">
        <v>2529</v>
      </c>
      <c r="D443" s="10" t="s">
        <v>2530</v>
      </c>
      <c r="E443" s="10" t="s">
        <v>2531</v>
      </c>
      <c r="F443" s="10" t="s">
        <v>2532</v>
      </c>
      <c r="G443" s="10" t="s">
        <v>74</v>
      </c>
      <c r="H443" s="10" t="str">
        <f aca="false">IF(G443="BUG","BUG-"&amp;A443,IF(G443="FUNCTIONAL","FUNCTIONAL-"&amp;A443,""))</f>
        <v/>
      </c>
      <c r="I443" s="10" t="s">
        <v>56</v>
      </c>
      <c r="L443" s="11" t="s">
        <v>2533</v>
      </c>
    </row>
    <row r="444" customFormat="false" ht="15" hidden="false" customHeight="true" outlineLevel="0" collapsed="false">
      <c r="A444" s="10" t="s">
        <v>2534</v>
      </c>
      <c r="B444" s="10" t="s">
        <v>2354</v>
      </c>
      <c r="C444" s="10" t="s">
        <v>2535</v>
      </c>
      <c r="D444" s="10" t="s">
        <v>2536</v>
      </c>
      <c r="E444" s="10" t="s">
        <v>2537</v>
      </c>
      <c r="F444" s="10" t="s">
        <v>2538</v>
      </c>
      <c r="G444" s="10" t="s">
        <v>74</v>
      </c>
      <c r="H444" s="10" t="str">
        <f aca="false">IF(G444="BUG","BUG-"&amp;A444,IF(G444="FUNCTIONAL","FUNCTIONAL-"&amp;A444,""))</f>
        <v/>
      </c>
      <c r="I444" s="10" t="s">
        <v>65</v>
      </c>
      <c r="L444" s="11" t="s">
        <v>2539</v>
      </c>
    </row>
    <row r="445" customFormat="false" ht="15" hidden="false" customHeight="true" outlineLevel="0" collapsed="false">
      <c r="A445" s="10" t="s">
        <v>2540</v>
      </c>
      <c r="B445" s="10" t="s">
        <v>2354</v>
      </c>
      <c r="C445" s="10" t="s">
        <v>2541</v>
      </c>
      <c r="D445" s="10" t="s">
        <v>2542</v>
      </c>
      <c r="E445" s="10" t="s">
        <v>2543</v>
      </c>
      <c r="F445" s="10" t="s">
        <v>2544</v>
      </c>
      <c r="G445" s="10" t="s">
        <v>74</v>
      </c>
      <c r="H445" s="10" t="str">
        <f aca="false">IF(G445="BUG","BUG-"&amp;A445,IF(G445="FUNCTIONAL","FUNCTIONAL-"&amp;A445,""))</f>
        <v/>
      </c>
      <c r="I445" s="10" t="s">
        <v>56</v>
      </c>
      <c r="L445" s="11" t="s">
        <v>2545</v>
      </c>
    </row>
    <row r="446" customFormat="false" ht="15" hidden="false" customHeight="true" outlineLevel="0" collapsed="false">
      <c r="A446" s="10" t="s">
        <v>2546</v>
      </c>
      <c r="B446" s="10" t="s">
        <v>2547</v>
      </c>
      <c r="C446" s="10" t="s">
        <v>2548</v>
      </c>
      <c r="D446" s="10" t="s">
        <v>2549</v>
      </c>
      <c r="E446" s="10" t="s">
        <v>2550</v>
      </c>
      <c r="F446" s="10" t="s">
        <v>2551</v>
      </c>
      <c r="G446" s="10" t="s">
        <v>2552</v>
      </c>
      <c r="H446" s="10" t="str">
        <f aca="false">IF(G446="BUG","BUG-"&amp;A446,IF(G446="FUNCTIONAL","FUNCTIONAL-"&amp;A446,""))</f>
        <v/>
      </c>
      <c r="I446" s="10" t="s">
        <v>56</v>
      </c>
      <c r="L446" s="11" t="s">
        <v>2553</v>
      </c>
    </row>
    <row r="447" customFormat="false" ht="15" hidden="false" customHeight="true" outlineLevel="0" collapsed="false">
      <c r="A447" s="10" t="s">
        <v>2554</v>
      </c>
      <c r="B447" s="10" t="s">
        <v>2354</v>
      </c>
      <c r="C447" s="10" t="s">
        <v>2555</v>
      </c>
      <c r="D447" s="10" t="s">
        <v>2556</v>
      </c>
      <c r="E447" s="10" t="s">
        <v>2557</v>
      </c>
      <c r="F447" s="10" t="s">
        <v>2558</v>
      </c>
      <c r="G447" s="10" t="s">
        <v>74</v>
      </c>
      <c r="H447" s="10" t="str">
        <f aca="false">IF(G447="BUG","BUG-"&amp;A447,IF(G447="FUNCTIONAL","FUNCTIONAL-"&amp;A447,""))</f>
        <v/>
      </c>
      <c r="I447" s="10" t="s">
        <v>42</v>
      </c>
      <c r="L447" s="11" t="s">
        <v>2559</v>
      </c>
    </row>
    <row r="448" customFormat="false" ht="15" hidden="false" customHeight="true" outlineLevel="0" collapsed="false">
      <c r="A448" s="10" t="s">
        <v>2560</v>
      </c>
      <c r="B448" s="10" t="s">
        <v>2354</v>
      </c>
      <c r="C448" s="10" t="s">
        <v>2561</v>
      </c>
      <c r="D448" s="10" t="s">
        <v>2562</v>
      </c>
      <c r="E448" s="10" t="s">
        <v>2563</v>
      </c>
      <c r="F448" s="10" t="s">
        <v>2564</v>
      </c>
      <c r="G448" s="10" t="s">
        <v>74</v>
      </c>
      <c r="H448" s="10" t="str">
        <f aca="false">IF(G448="BUG","BUG-"&amp;A448,IF(G448="FUNCTIONAL","FUNCTIONAL-"&amp;A448,""))</f>
        <v/>
      </c>
      <c r="I448" s="10" t="s">
        <v>42</v>
      </c>
      <c r="L448" s="11" t="s">
        <v>2565</v>
      </c>
    </row>
    <row r="449" customFormat="false" ht="15" hidden="false" customHeight="true" outlineLevel="0" collapsed="false">
      <c r="A449" s="10" t="s">
        <v>2566</v>
      </c>
      <c r="B449" s="10" t="s">
        <v>2354</v>
      </c>
      <c r="C449" s="10" t="s">
        <v>2567</v>
      </c>
      <c r="D449" s="10" t="s">
        <v>2568</v>
      </c>
      <c r="E449" s="10" t="s">
        <v>2569</v>
      </c>
      <c r="F449" s="10" t="s">
        <v>2570</v>
      </c>
      <c r="G449" s="10" t="s">
        <v>74</v>
      </c>
      <c r="H449" s="10" t="str">
        <f aca="false">IF(G449="BUG","BUG-"&amp;A449,IF(G449="FUNCTIONAL","FUNCTIONAL-"&amp;A449,""))</f>
        <v/>
      </c>
      <c r="I449" s="10" t="s">
        <v>42</v>
      </c>
      <c r="L449" s="11" t="s">
        <v>2571</v>
      </c>
    </row>
    <row r="450" customFormat="false" ht="15" hidden="false" customHeight="true" outlineLevel="0" collapsed="false">
      <c r="A450" s="10" t="s">
        <v>2572</v>
      </c>
      <c r="B450" s="10" t="s">
        <v>2547</v>
      </c>
      <c r="C450" s="10" t="s">
        <v>2573</v>
      </c>
      <c r="D450" s="10" t="s">
        <v>2574</v>
      </c>
      <c r="E450" s="10" t="s">
        <v>2550</v>
      </c>
      <c r="F450" s="10" t="s">
        <v>2575</v>
      </c>
      <c r="G450" s="10" t="s">
        <v>2552</v>
      </c>
      <c r="H450" s="10" t="str">
        <f aca="false">IF(G445="BUG","BUG-"&amp;A445,IF(G445="FUNCTIONAL","FUNCTIONAL-"&amp;A445,""))</f>
        <v/>
      </c>
      <c r="I450" s="10" t="s">
        <v>65</v>
      </c>
      <c r="L450" s="11" t="s">
        <v>2576</v>
      </c>
    </row>
    <row r="451" customFormat="false" ht="15" hidden="false" customHeight="true" outlineLevel="0" collapsed="false">
      <c r="A451" s="10" t="s">
        <v>2577</v>
      </c>
      <c r="B451" s="10" t="s">
        <v>2578</v>
      </c>
      <c r="C451" s="10" t="s">
        <v>2579</v>
      </c>
      <c r="D451" s="10" t="s">
        <v>2580</v>
      </c>
      <c r="E451" s="10" t="s">
        <v>2581</v>
      </c>
      <c r="F451" s="10" t="s">
        <v>2582</v>
      </c>
      <c r="G451" s="10" t="s">
        <v>74</v>
      </c>
      <c r="H451" s="10" t="str">
        <f aca="false">IF(G446="BUG","BUG-"&amp;A446,IF(G446="FUNCTIONAL","FUNCTIONAL-"&amp;A446,""))</f>
        <v/>
      </c>
      <c r="I451" s="10" t="s">
        <v>65</v>
      </c>
      <c r="L451" s="11" t="s">
        <v>2583</v>
      </c>
    </row>
    <row r="452" customFormat="false" ht="15" hidden="false" customHeight="true" outlineLevel="0" collapsed="false">
      <c r="A452" s="10" t="s">
        <v>2584</v>
      </c>
      <c r="B452" s="10" t="s">
        <v>2354</v>
      </c>
      <c r="C452" s="10" t="s">
        <v>2585</v>
      </c>
      <c r="D452" s="10" t="s">
        <v>2586</v>
      </c>
      <c r="E452" s="10" t="s">
        <v>2587</v>
      </c>
      <c r="F452" s="10" t="s">
        <v>2588</v>
      </c>
      <c r="G452" s="10" t="s">
        <v>74</v>
      </c>
      <c r="H452" s="10" t="str">
        <f aca="false">IF(G452="BUG","BUG-"&amp;A452,IF(G452="FUNCTIONAL","FUNCTIONAL-"&amp;A452,""))</f>
        <v/>
      </c>
      <c r="I452" s="10" t="s">
        <v>56</v>
      </c>
      <c r="L452" s="11" t="s">
        <v>2589</v>
      </c>
    </row>
    <row r="453" customFormat="false" ht="15" hidden="false" customHeight="true" outlineLevel="0" collapsed="false">
      <c r="A453" s="10" t="s">
        <v>2590</v>
      </c>
      <c r="B453" s="10" t="s">
        <v>2354</v>
      </c>
      <c r="C453" s="10" t="s">
        <v>2591</v>
      </c>
      <c r="D453" s="10" t="s">
        <v>2549</v>
      </c>
      <c r="E453" s="10" t="s">
        <v>2592</v>
      </c>
      <c r="F453" s="10" t="s">
        <v>2593</v>
      </c>
      <c r="G453" s="10" t="s">
        <v>2552</v>
      </c>
      <c r="H453" s="10" t="str">
        <f aca="false">IF(G453="BUG","BUG-"&amp;A453,IF(G453="FUNCTIONAL","FUNCTIONAL-"&amp;A453,""))</f>
        <v/>
      </c>
      <c r="I453" s="10" t="s">
        <v>56</v>
      </c>
      <c r="L453" s="11" t="s">
        <v>2594</v>
      </c>
    </row>
    <row r="454" customFormat="false" ht="15" hidden="false" customHeight="true" outlineLevel="0" collapsed="false">
      <c r="A454" s="10" t="s">
        <v>2595</v>
      </c>
      <c r="B454" s="10" t="s">
        <v>2354</v>
      </c>
      <c r="C454" s="10" t="s">
        <v>2596</v>
      </c>
      <c r="D454" s="10" t="s">
        <v>2597</v>
      </c>
      <c r="E454" s="10" t="s">
        <v>2598</v>
      </c>
      <c r="F454" s="10" t="s">
        <v>2599</v>
      </c>
      <c r="G454" s="10" t="s">
        <v>74</v>
      </c>
      <c r="H454" s="10" t="str">
        <f aca="false">IF(G454="BUG","BUG-"&amp;A454,IF(G454="FUNCTIONAL","FUNCTIONAL-"&amp;A454,""))</f>
        <v/>
      </c>
      <c r="I454" s="10" t="s">
        <v>56</v>
      </c>
      <c r="L454" s="11" t="s">
        <v>2600</v>
      </c>
    </row>
    <row r="455" customFormat="false" ht="15" hidden="false" customHeight="true" outlineLevel="0" collapsed="false">
      <c r="A455" s="10" t="s">
        <v>2601</v>
      </c>
      <c r="B455" s="10" t="s">
        <v>2602</v>
      </c>
      <c r="C455" s="10" t="s">
        <v>2603</v>
      </c>
      <c r="D455" s="10" t="s">
        <v>2604</v>
      </c>
      <c r="E455" s="10" t="s">
        <v>2605</v>
      </c>
      <c r="F455" s="10" t="s">
        <v>2606</v>
      </c>
      <c r="G455" s="10" t="s">
        <v>2552</v>
      </c>
      <c r="H455" s="10" t="str">
        <f aca="false">IF(G455="BUG","BUG-"&amp;A455,IF(G455="FUNCTIONAL","FUNCTIONAL-"&amp;A455,""))</f>
        <v/>
      </c>
      <c r="I455" s="10" t="s">
        <v>65</v>
      </c>
      <c r="L455" s="11" t="s">
        <v>2607</v>
      </c>
    </row>
    <row r="456" customFormat="false" ht="15" hidden="false" customHeight="true" outlineLevel="0" collapsed="false">
      <c r="A456" s="10" t="s">
        <v>2608</v>
      </c>
      <c r="B456" s="10" t="s">
        <v>2354</v>
      </c>
      <c r="C456" s="10" t="s">
        <v>2609</v>
      </c>
      <c r="D456" s="10" t="s">
        <v>2610</v>
      </c>
      <c r="E456" s="10" t="s">
        <v>2611</v>
      </c>
      <c r="F456" s="10" t="s">
        <v>2612</v>
      </c>
      <c r="G456" s="10" t="s">
        <v>74</v>
      </c>
      <c r="H456" s="10" t="str">
        <f aca="false">IF(G456="BUG","BUG-"&amp;A456,IF(G456="FUNCTIONAL","FUNCTIONAL-"&amp;A456,""))</f>
        <v/>
      </c>
      <c r="I456" s="10" t="s">
        <v>56</v>
      </c>
      <c r="L456" s="11" t="s">
        <v>2613</v>
      </c>
    </row>
    <row r="457" customFormat="false" ht="15" hidden="false" customHeight="true" outlineLevel="0" collapsed="false">
      <c r="A457" s="10" t="s">
        <v>2614</v>
      </c>
      <c r="B457" s="10" t="s">
        <v>2615</v>
      </c>
      <c r="C457" s="10" t="s">
        <v>2616</v>
      </c>
      <c r="D457" s="10" t="s">
        <v>2617</v>
      </c>
      <c r="E457" s="10" t="s">
        <v>2618</v>
      </c>
      <c r="F457" s="10" t="s">
        <v>2619</v>
      </c>
      <c r="H457" s="10" t="str">
        <f aca="false">IF(G457="BUG","BUG-"&amp;A457,IF(G457="FUNCTIONAL","FUNCTIONAL-"&amp;A457,""))</f>
        <v/>
      </c>
      <c r="I457" s="10" t="s">
        <v>56</v>
      </c>
      <c r="L457" s="11" t="s">
        <v>2620</v>
      </c>
    </row>
    <row r="458" customFormat="false" ht="15" hidden="false" customHeight="true" outlineLevel="0" collapsed="false">
      <c r="A458" s="10" t="s">
        <v>2621</v>
      </c>
      <c r="B458" s="10" t="s">
        <v>2622</v>
      </c>
      <c r="C458" s="10" t="s">
        <v>2623</v>
      </c>
      <c r="D458" s="10" t="s">
        <v>2624</v>
      </c>
      <c r="E458" s="10" t="s">
        <v>2625</v>
      </c>
      <c r="F458" s="10" t="s">
        <v>2626</v>
      </c>
      <c r="H458" s="10" t="str">
        <f aca="false">IF(G458="BUG","BUG-"&amp;A458,IF(G458="FUNCTIONAL","FUNCTIONAL-"&amp;A458,""))</f>
        <v/>
      </c>
      <c r="I458" s="10" t="s">
        <v>65</v>
      </c>
      <c r="L458" s="11" t="s">
        <v>2627</v>
      </c>
    </row>
    <row r="459" customFormat="false" ht="15" hidden="false" customHeight="true" outlineLevel="0" collapsed="false">
      <c r="A459" s="10" t="s">
        <v>2628</v>
      </c>
      <c r="B459" s="10" t="s">
        <v>2629</v>
      </c>
      <c r="C459" s="10" t="s">
        <v>2630</v>
      </c>
      <c r="D459" s="10" t="s">
        <v>2631</v>
      </c>
      <c r="E459" s="10" t="s">
        <v>2632</v>
      </c>
      <c r="F459" s="10" t="s">
        <v>2633</v>
      </c>
      <c r="G459" s="10" t="s">
        <v>74</v>
      </c>
      <c r="H459" s="10" t="str">
        <f aca="false">IF(G459="BUG","BUG-"&amp;A459,IF(G459="FUNCTIONAL","FUNCTIONAL-"&amp;A459,""))</f>
        <v/>
      </c>
      <c r="I459" s="10" t="s">
        <v>42</v>
      </c>
      <c r="L459" s="11" t="s">
        <v>2634</v>
      </c>
    </row>
    <row r="460" customFormat="false" ht="15" hidden="false" customHeight="true" outlineLevel="0" collapsed="false">
      <c r="A460" s="10" t="s">
        <v>2635</v>
      </c>
      <c r="B460" s="10" t="s">
        <v>2629</v>
      </c>
      <c r="C460" s="10" t="s">
        <v>2636</v>
      </c>
      <c r="D460" s="10" t="s">
        <v>2631</v>
      </c>
      <c r="E460" s="10" t="s">
        <v>2637</v>
      </c>
      <c r="F460" s="10" t="s">
        <v>2638</v>
      </c>
      <c r="G460" s="10" t="s">
        <v>74</v>
      </c>
      <c r="H460" s="10" t="str">
        <f aca="false">IF(G460="BUG","BUG-"&amp;A460,IF(G460="FUNCTIONAL","FUNCTIONAL-"&amp;A460,""))</f>
        <v/>
      </c>
      <c r="I460" s="10" t="s">
        <v>65</v>
      </c>
      <c r="L460" s="11" t="s">
        <v>2639</v>
      </c>
    </row>
    <row r="461" customFormat="false" ht="15" hidden="false" customHeight="true" outlineLevel="0" collapsed="false">
      <c r="A461" s="10" t="s">
        <v>2640</v>
      </c>
      <c r="B461" s="10" t="s">
        <v>2629</v>
      </c>
      <c r="C461" s="10" t="s">
        <v>2641</v>
      </c>
      <c r="D461" s="10" t="s">
        <v>2631</v>
      </c>
      <c r="E461" s="10" t="s">
        <v>2642</v>
      </c>
      <c r="F461" s="10" t="s">
        <v>2643</v>
      </c>
      <c r="G461" s="10" t="s">
        <v>74</v>
      </c>
      <c r="H461" s="10" t="str">
        <f aca="false">IF(G461="BUG","BUG-"&amp;A461,IF(G461="FUNCTIONAL","FUNCTIONAL-"&amp;A461,""))</f>
        <v/>
      </c>
      <c r="I461" s="10" t="s">
        <v>65</v>
      </c>
      <c r="L461" s="11" t="s">
        <v>2644</v>
      </c>
    </row>
    <row r="462" customFormat="false" ht="15" hidden="false" customHeight="true" outlineLevel="0" collapsed="false">
      <c r="A462" s="10" t="s">
        <v>2506</v>
      </c>
      <c r="B462" s="10" t="s">
        <v>2645</v>
      </c>
      <c r="C462" s="10" t="s">
        <v>2646</v>
      </c>
      <c r="D462" s="10" t="s">
        <v>2647</v>
      </c>
      <c r="E462" s="10" t="s">
        <v>2648</v>
      </c>
      <c r="F462" s="10" t="s">
        <v>2649</v>
      </c>
      <c r="H462" s="10" t="str">
        <f aca="false">IF(G462="BUG","BUG-"&amp;A462,IF(G462="FUNCTIONAL","FUNCTIONAL-"&amp;A462,""))</f>
        <v/>
      </c>
      <c r="I462" s="10" t="s">
        <v>42</v>
      </c>
      <c r="L462" s="11" t="s">
        <v>2650</v>
      </c>
    </row>
    <row r="463" customFormat="false" ht="15" hidden="false" customHeight="true" outlineLevel="0" collapsed="false">
      <c r="A463" s="10" t="s">
        <v>2513</v>
      </c>
      <c r="B463" s="10" t="s">
        <v>2645</v>
      </c>
      <c r="C463" s="10" t="s">
        <v>2651</v>
      </c>
      <c r="D463" s="10" t="s">
        <v>2652</v>
      </c>
      <c r="E463" s="10" t="s">
        <v>2653</v>
      </c>
      <c r="F463" s="10" t="s">
        <v>2654</v>
      </c>
      <c r="H463" s="10" t="str">
        <f aca="false">IF(G463="BUG","BUG-"&amp;A463,IF(G463="FUNCTIONAL","FUNCTIONAL-"&amp;A463,""))</f>
        <v/>
      </c>
      <c r="I463" s="10" t="s">
        <v>56</v>
      </c>
      <c r="L463" s="11" t="s">
        <v>2655</v>
      </c>
    </row>
    <row r="464" customFormat="false" ht="15" hidden="false" customHeight="true" outlineLevel="0" collapsed="false">
      <c r="A464" s="10" t="s">
        <v>2520</v>
      </c>
      <c r="B464" s="10" t="s">
        <v>2656</v>
      </c>
      <c r="C464" s="10" t="s">
        <v>2657</v>
      </c>
      <c r="D464" s="10" t="s">
        <v>2658</v>
      </c>
      <c r="E464" s="10" t="s">
        <v>2659</v>
      </c>
      <c r="F464" s="10" t="s">
        <v>2660</v>
      </c>
      <c r="G464" s="10" t="s">
        <v>2552</v>
      </c>
      <c r="H464" s="10" t="str">
        <f aca="false">IF(G464="BUG","BUG-"&amp;A464,IF(G464="FUNCTIONAL","FUNCTIONAL-"&amp;A464,""))</f>
        <v/>
      </c>
      <c r="I464" s="10" t="s">
        <v>56</v>
      </c>
      <c r="L464" s="11" t="s">
        <v>2661</v>
      </c>
    </row>
    <row r="465" customFormat="false" ht="15" hidden="false" customHeight="true" outlineLevel="0" collapsed="false">
      <c r="A465" s="10" t="s">
        <v>2527</v>
      </c>
      <c r="B465" s="10" t="s">
        <v>2656</v>
      </c>
      <c r="C465" s="10" t="s">
        <v>2662</v>
      </c>
      <c r="D465" s="10" t="s">
        <v>2658</v>
      </c>
      <c r="E465" s="10" t="s">
        <v>2663</v>
      </c>
      <c r="F465" s="10" t="s">
        <v>2664</v>
      </c>
      <c r="G465" s="10" t="s">
        <v>2552</v>
      </c>
      <c r="H465" s="10" t="str">
        <f aca="false">IF(G465="BUG","BUG-"&amp;A465,IF(G465="FUNCTIONAL","FUNCTIONAL-"&amp;A465,""))</f>
        <v/>
      </c>
      <c r="I465" s="10" t="s">
        <v>56</v>
      </c>
      <c r="L465" s="11" t="s">
        <v>2665</v>
      </c>
    </row>
    <row r="466" customFormat="false" ht="15" hidden="false" customHeight="true" outlineLevel="0" collapsed="false">
      <c r="A466" s="10" t="s">
        <v>1332</v>
      </c>
      <c r="B466" s="10" t="s">
        <v>2656</v>
      </c>
      <c r="C466" s="10" t="s">
        <v>2666</v>
      </c>
      <c r="D466" s="10" t="s">
        <v>2658</v>
      </c>
      <c r="E466" s="10" t="s">
        <v>2667</v>
      </c>
      <c r="F466" s="10" t="s">
        <v>2668</v>
      </c>
      <c r="G466" s="10" t="s">
        <v>2552</v>
      </c>
      <c r="H466" s="10" t="str">
        <f aca="false">IF(G466="BUG","BUG-"&amp;A466,IF(G466="FUNCTIONAL","FUNCTIONAL-"&amp;A466,""))</f>
        <v/>
      </c>
      <c r="I466" s="10" t="s">
        <v>65</v>
      </c>
      <c r="L466" s="11" t="s">
        <v>2669</v>
      </c>
    </row>
    <row r="467" customFormat="false" ht="15" hidden="false" customHeight="true" outlineLevel="0" collapsed="false">
      <c r="A467" s="10" t="s">
        <v>2540</v>
      </c>
      <c r="B467" s="10" t="s">
        <v>2656</v>
      </c>
      <c r="C467" s="10" t="s">
        <v>2670</v>
      </c>
      <c r="D467" s="10" t="s">
        <v>2671</v>
      </c>
      <c r="E467" s="10" t="s">
        <v>2672</v>
      </c>
      <c r="F467" s="10" t="s">
        <v>2673</v>
      </c>
      <c r="H467" s="10" t="str">
        <f aca="false">IF(G467="BUG","BUG-"&amp;A467,IF(G467="FUNCTIONAL","FUNCTIONAL-"&amp;A467,""))</f>
        <v/>
      </c>
      <c r="I467" s="10" t="s">
        <v>42</v>
      </c>
      <c r="L467" s="11" t="s">
        <v>2674</v>
      </c>
    </row>
    <row r="468" customFormat="false" ht="15" hidden="false" customHeight="true" outlineLevel="0" collapsed="false">
      <c r="A468" s="10" t="s">
        <v>2675</v>
      </c>
      <c r="B468" s="10" t="s">
        <v>2676</v>
      </c>
      <c r="C468" s="10" t="s">
        <v>2677</v>
      </c>
      <c r="D468" s="10" t="s">
        <v>2678</v>
      </c>
      <c r="E468" s="10" t="s">
        <v>2679</v>
      </c>
      <c r="F468" s="10" t="s">
        <v>2680</v>
      </c>
      <c r="G468" s="10" t="s">
        <v>2552</v>
      </c>
      <c r="H468" s="10" t="str">
        <f aca="false">IF(G468="BUG","BUG-"&amp;A468,IF(G468="FUNCTIONAL","FUNCTIONAL-"&amp;A468,""))</f>
        <v/>
      </c>
      <c r="I468" s="10" t="s">
        <v>42</v>
      </c>
      <c r="J468" s="10" t="s">
        <v>2681</v>
      </c>
      <c r="L468" s="11" t="s">
        <v>2682</v>
      </c>
    </row>
    <row r="469" customFormat="false" ht="15" hidden="false" customHeight="true" outlineLevel="0" collapsed="false">
      <c r="A469" s="10" t="s">
        <v>2683</v>
      </c>
      <c r="B469" s="10" t="s">
        <v>2676</v>
      </c>
      <c r="C469" s="10" t="s">
        <v>2684</v>
      </c>
      <c r="D469" s="10" t="s">
        <v>2685</v>
      </c>
      <c r="E469" s="10" t="s">
        <v>2686</v>
      </c>
      <c r="F469" s="10" t="s">
        <v>2687</v>
      </c>
      <c r="G469" s="10" t="s">
        <v>2552</v>
      </c>
      <c r="H469" s="10" t="str">
        <f aca="false">IF(G469="BUG","BUG-"&amp;A469,IF(G469="FUNCTIONAL","FUNCTIONAL-"&amp;A469,""))</f>
        <v/>
      </c>
      <c r="I469" s="10" t="s">
        <v>42</v>
      </c>
      <c r="J469" s="10" t="s">
        <v>2681</v>
      </c>
      <c r="L469" s="11" t="s">
        <v>2688</v>
      </c>
    </row>
    <row r="470" customFormat="false" ht="15" hidden="false" customHeight="true" outlineLevel="0" collapsed="false">
      <c r="A470" s="10" t="s">
        <v>2689</v>
      </c>
      <c r="B470" s="10" t="s">
        <v>2676</v>
      </c>
      <c r="C470" s="10" t="s">
        <v>2690</v>
      </c>
      <c r="D470" s="10" t="s">
        <v>2685</v>
      </c>
      <c r="E470" s="10" t="s">
        <v>2691</v>
      </c>
      <c r="F470" s="10" t="s">
        <v>2692</v>
      </c>
      <c r="G470" s="10" t="s">
        <v>2552</v>
      </c>
      <c r="H470" s="10" t="str">
        <f aca="false">IF(G470="BUG","BUG-"&amp;A470,IF(G470="FUNCTIONAL","FUNCTIONAL-"&amp;A470,""))</f>
        <v/>
      </c>
      <c r="I470" s="10" t="s">
        <v>42</v>
      </c>
      <c r="J470" s="10" t="s">
        <v>2681</v>
      </c>
      <c r="L470" s="11" t="s">
        <v>2693</v>
      </c>
    </row>
    <row r="471" customFormat="false" ht="15" hidden="false" customHeight="true" outlineLevel="0" collapsed="false">
      <c r="A471" s="10" t="s">
        <v>2694</v>
      </c>
      <c r="B471" s="10" t="s">
        <v>2676</v>
      </c>
      <c r="C471" s="10" t="s">
        <v>2695</v>
      </c>
      <c r="D471" s="10" t="s">
        <v>2685</v>
      </c>
      <c r="E471" s="10" t="s">
        <v>2696</v>
      </c>
      <c r="F471" s="10" t="s">
        <v>2697</v>
      </c>
      <c r="G471" s="10" t="s">
        <v>2552</v>
      </c>
      <c r="H471" s="10" t="str">
        <f aca="false">IF(G471="BUG","BUG-"&amp;A471,IF(G471="FUNCTIONAL","FUNCTIONAL-"&amp;A471,""))</f>
        <v/>
      </c>
      <c r="I471" s="10" t="s">
        <v>56</v>
      </c>
      <c r="J471" s="10" t="s">
        <v>2681</v>
      </c>
      <c r="L471" s="11" t="s">
        <v>2698</v>
      </c>
    </row>
    <row r="472" customFormat="false" ht="15" hidden="false" customHeight="true" outlineLevel="0" collapsed="false">
      <c r="A472" s="10" t="s">
        <v>2699</v>
      </c>
      <c r="B472" s="10" t="s">
        <v>2676</v>
      </c>
      <c r="C472" s="10" t="s">
        <v>2700</v>
      </c>
      <c r="D472" s="10" t="s">
        <v>2685</v>
      </c>
      <c r="E472" s="10" t="s">
        <v>2701</v>
      </c>
      <c r="F472" s="10" t="s">
        <v>2702</v>
      </c>
      <c r="G472" s="10" t="s">
        <v>2552</v>
      </c>
      <c r="H472" s="10" t="str">
        <f aca="false">IF(G472="BUG","BUG-"&amp;A472,IF(G472="FUNCTIONAL","FUNCTIONAL-"&amp;A472,""))</f>
        <v/>
      </c>
      <c r="I472" s="10" t="s">
        <v>42</v>
      </c>
      <c r="J472" s="10" t="s">
        <v>2681</v>
      </c>
      <c r="L472" s="11" t="s">
        <v>2703</v>
      </c>
    </row>
    <row r="473" customFormat="false" ht="15" hidden="false" customHeight="true" outlineLevel="0" collapsed="false">
      <c r="A473" s="10" t="s">
        <v>2704</v>
      </c>
      <c r="B473" s="10" t="s">
        <v>2676</v>
      </c>
      <c r="C473" s="10" t="s">
        <v>2705</v>
      </c>
      <c r="D473" s="10" t="s">
        <v>2685</v>
      </c>
      <c r="E473" s="10" t="s">
        <v>2706</v>
      </c>
      <c r="F473" s="10" t="s">
        <v>2707</v>
      </c>
      <c r="G473" s="10" t="s">
        <v>2552</v>
      </c>
      <c r="H473" s="10" t="str">
        <f aca="false">IF(G473="BUG","BUG-"&amp;A473,IF(G473="FUNCTIONAL","FUNCTIONAL-"&amp;A473,""))</f>
        <v/>
      </c>
      <c r="I473" s="10" t="s">
        <v>56</v>
      </c>
      <c r="J473" s="10" t="s">
        <v>2681</v>
      </c>
      <c r="L473" s="11" t="s">
        <v>2708</v>
      </c>
    </row>
    <row r="474" customFormat="false" ht="15" hidden="false" customHeight="true" outlineLevel="0" collapsed="false">
      <c r="A474" s="10" t="s">
        <v>2709</v>
      </c>
      <c r="B474" s="10" t="s">
        <v>2676</v>
      </c>
      <c r="C474" s="10" t="s">
        <v>2710</v>
      </c>
      <c r="D474" s="10" t="s">
        <v>2685</v>
      </c>
      <c r="E474" s="10" t="s">
        <v>2711</v>
      </c>
      <c r="F474" s="10" t="s">
        <v>2712</v>
      </c>
      <c r="G474" s="10" t="s">
        <v>2552</v>
      </c>
      <c r="H474" s="10" t="str">
        <f aca="false">IF(G474="BUG","BUG-"&amp;A474,IF(G474="FUNCTIONAL","FUNCTIONAL-"&amp;A474,""))</f>
        <v/>
      </c>
      <c r="I474" s="10" t="s">
        <v>42</v>
      </c>
      <c r="J474" s="10" t="s">
        <v>2681</v>
      </c>
      <c r="L474" s="11" t="s">
        <v>2713</v>
      </c>
    </row>
    <row r="475" customFormat="false" ht="15" hidden="false" customHeight="true" outlineLevel="0" collapsed="false">
      <c r="A475" s="10" t="s">
        <v>2714</v>
      </c>
      <c r="B475" s="10" t="s">
        <v>2676</v>
      </c>
      <c r="C475" s="10" t="s">
        <v>2715</v>
      </c>
      <c r="D475" s="10" t="s">
        <v>2685</v>
      </c>
      <c r="E475" s="10" t="s">
        <v>2716</v>
      </c>
      <c r="F475" s="10" t="s">
        <v>2717</v>
      </c>
      <c r="G475" s="10" t="s">
        <v>2552</v>
      </c>
      <c r="H475" s="10" t="str">
        <f aca="false">IF(G475="BUG","BUG-"&amp;A475,IF(G475="FUNCTIONAL","FUNCTIONAL-"&amp;A475,""))</f>
        <v/>
      </c>
      <c r="I475" s="10" t="s">
        <v>56</v>
      </c>
      <c r="J475" s="10" t="s">
        <v>2681</v>
      </c>
      <c r="L475" s="11" t="s">
        <v>2718</v>
      </c>
    </row>
    <row r="476" customFormat="false" ht="15" hidden="false" customHeight="true" outlineLevel="0" collapsed="false">
      <c r="A476" s="10" t="s">
        <v>2719</v>
      </c>
      <c r="B476" s="10" t="s">
        <v>2676</v>
      </c>
      <c r="C476" s="10" t="s">
        <v>2720</v>
      </c>
      <c r="D476" s="10" t="s">
        <v>2721</v>
      </c>
      <c r="E476" s="10" t="s">
        <v>2722</v>
      </c>
      <c r="F476" s="10" t="s">
        <v>2723</v>
      </c>
      <c r="G476" s="10" t="s">
        <v>2552</v>
      </c>
      <c r="H476" s="10" t="str">
        <f aca="false">IF(G476="BUG","BUG-"&amp;A476,IF(G476="FUNCTIONAL","FUNCTIONAL-"&amp;A476,""))</f>
        <v/>
      </c>
      <c r="I476" s="10" t="s">
        <v>42</v>
      </c>
      <c r="J476" s="10" t="s">
        <v>2681</v>
      </c>
      <c r="L476" s="11" t="s">
        <v>2724</v>
      </c>
    </row>
    <row r="477" customFormat="false" ht="15" hidden="false" customHeight="true" outlineLevel="0" collapsed="false">
      <c r="A477" s="10" t="s">
        <v>2725</v>
      </c>
      <c r="B477" s="10" t="s">
        <v>2676</v>
      </c>
      <c r="C477" s="10" t="s">
        <v>2726</v>
      </c>
      <c r="D477" s="10" t="s">
        <v>2727</v>
      </c>
      <c r="E477" s="10" t="s">
        <v>2728</v>
      </c>
      <c r="F477" s="10" t="s">
        <v>2729</v>
      </c>
      <c r="G477" s="10" t="s">
        <v>2552</v>
      </c>
      <c r="H477" s="10" t="str">
        <f aca="false">IF(G477="BUG","BUG-"&amp;A477,IF(G477="FUNCTIONAL","FUNCTIONAL-"&amp;A477,""))</f>
        <v/>
      </c>
      <c r="I477" s="10" t="s">
        <v>42</v>
      </c>
      <c r="J477" s="10" t="s">
        <v>2681</v>
      </c>
      <c r="L477" s="11" t="s">
        <v>2730</v>
      </c>
    </row>
    <row r="478" customFormat="false" ht="15" hidden="false" customHeight="true" outlineLevel="0" collapsed="false">
      <c r="A478" s="10" t="s">
        <v>2731</v>
      </c>
      <c r="B478" s="10" t="s">
        <v>2676</v>
      </c>
      <c r="C478" s="10" t="s">
        <v>2732</v>
      </c>
      <c r="D478" s="10" t="s">
        <v>2727</v>
      </c>
      <c r="E478" s="10" t="s">
        <v>2733</v>
      </c>
      <c r="F478" s="10" t="s">
        <v>2734</v>
      </c>
      <c r="G478" s="10" t="s">
        <v>2552</v>
      </c>
      <c r="H478" s="10" t="str">
        <f aca="false">IF(G478="BUG","BUG-"&amp;A478,IF(G478="FUNCTIONAL","FUNCTIONAL-"&amp;A478,""))</f>
        <v/>
      </c>
      <c r="I478" s="10" t="s">
        <v>56</v>
      </c>
      <c r="J478" s="10" t="s">
        <v>2681</v>
      </c>
      <c r="L478" s="11" t="s">
        <v>2735</v>
      </c>
    </row>
    <row r="479" customFormat="false" ht="15" hidden="false" customHeight="true" outlineLevel="0" collapsed="false">
      <c r="A479" s="10" t="s">
        <v>2736</v>
      </c>
      <c r="B479" s="10" t="s">
        <v>2737</v>
      </c>
      <c r="C479" s="10" t="s">
        <v>2738</v>
      </c>
      <c r="D479" s="10" t="s">
        <v>2739</v>
      </c>
      <c r="E479" s="10" t="s">
        <v>2740</v>
      </c>
      <c r="F479" s="10" t="s">
        <v>2741</v>
      </c>
      <c r="G479" s="10" t="s">
        <v>55</v>
      </c>
      <c r="H479" s="10" t="str">
        <f aca="false">IF(G479="BUG","BUG-"&amp;A479,IF(G479="FUNCTIONAL","FUNCTIONAL-"&amp;A479,""))</f>
        <v>BUG-TC-N637</v>
      </c>
      <c r="I479" s="10" t="s">
        <v>42</v>
      </c>
      <c r="K479" s="11" t="s">
        <v>2742</v>
      </c>
      <c r="L479" s="11" t="s">
        <v>2743</v>
      </c>
    </row>
    <row r="480" customFormat="false" ht="15" hidden="false" customHeight="true" outlineLevel="0" collapsed="false">
      <c r="A480" s="10" t="s">
        <v>2744</v>
      </c>
      <c r="B480" s="10" t="s">
        <v>2745</v>
      </c>
      <c r="C480" s="10" t="s">
        <v>2746</v>
      </c>
      <c r="D480" s="10" t="s">
        <v>2747</v>
      </c>
      <c r="E480" s="10" t="s">
        <v>2748</v>
      </c>
      <c r="F480" s="10" t="s">
        <v>2749</v>
      </c>
      <c r="G480" s="10" t="s">
        <v>55</v>
      </c>
      <c r="H480" s="10" t="str">
        <f aca="false">IF(G480="BUG","BUG-"&amp;A480,IF(G480="FUNCTIONAL","FUNCTIONAL-"&amp;A480,""))</f>
        <v>BUG-TC-N638</v>
      </c>
      <c r="I480" s="10" t="s">
        <v>56</v>
      </c>
      <c r="K480" s="11" t="s">
        <v>2742</v>
      </c>
      <c r="L480" s="11" t="s">
        <v>2750</v>
      </c>
    </row>
    <row r="481" customFormat="false" ht="15" hidden="false" customHeight="true" outlineLevel="0" collapsed="false">
      <c r="A481" s="19" t="s">
        <v>2751</v>
      </c>
      <c r="B481" s="19" t="s">
        <v>2752</v>
      </c>
      <c r="C481" s="19" t="s">
        <v>2753</v>
      </c>
      <c r="D481" s="19" t="s">
        <v>2754</v>
      </c>
      <c r="E481" s="19" t="s">
        <v>2755</v>
      </c>
      <c r="F481" s="19" t="s">
        <v>2756</v>
      </c>
      <c r="G481" s="19" t="s">
        <v>74</v>
      </c>
      <c r="H481" s="19"/>
      <c r="I481" s="19" t="s">
        <v>42</v>
      </c>
      <c r="J481" s="19"/>
      <c r="K481" s="19"/>
      <c r="L481" s="19" t="s">
        <v>2757</v>
      </c>
    </row>
    <row r="482" customFormat="false" ht="15" hidden="false" customHeight="true" outlineLevel="0" collapsed="false">
      <c r="A482" s="19" t="s">
        <v>2758</v>
      </c>
      <c r="B482" s="19" t="s">
        <v>2752</v>
      </c>
      <c r="C482" s="19" t="s">
        <v>2759</v>
      </c>
      <c r="D482" s="19" t="s">
        <v>2760</v>
      </c>
      <c r="E482" s="19" t="s">
        <v>2761</v>
      </c>
      <c r="F482" s="19" t="s">
        <v>2762</v>
      </c>
      <c r="G482" s="19" t="s">
        <v>74</v>
      </c>
      <c r="H482" s="19"/>
      <c r="I482" s="19" t="s">
        <v>56</v>
      </c>
      <c r="J482" s="19"/>
      <c r="K482" s="19"/>
      <c r="L482" s="19" t="s">
        <v>2763</v>
      </c>
    </row>
    <row r="483" customFormat="false" ht="15" hidden="false" customHeight="true" outlineLevel="0" collapsed="false">
      <c r="A483" s="19" t="s">
        <v>2764</v>
      </c>
      <c r="B483" s="19" t="s">
        <v>2752</v>
      </c>
      <c r="C483" s="19" t="s">
        <v>2765</v>
      </c>
      <c r="D483" s="19" t="s">
        <v>2685</v>
      </c>
      <c r="E483" s="19" t="s">
        <v>2766</v>
      </c>
      <c r="F483" s="19" t="s">
        <v>2767</v>
      </c>
      <c r="G483" s="19" t="s">
        <v>2552</v>
      </c>
      <c r="H483" s="19"/>
      <c r="I483" s="19" t="s">
        <v>65</v>
      </c>
      <c r="J483" s="19"/>
      <c r="K483" s="19"/>
      <c r="L483" s="19" t="s">
        <v>2768</v>
      </c>
    </row>
    <row r="484" customFormat="false" ht="15" hidden="false" customHeight="true" outlineLevel="0" collapsed="false">
      <c r="A484" s="19" t="s">
        <v>2769</v>
      </c>
      <c r="B484" s="19" t="s">
        <v>2770</v>
      </c>
      <c r="C484" s="19" t="s">
        <v>2771</v>
      </c>
      <c r="D484" s="19" t="s">
        <v>2760</v>
      </c>
      <c r="E484" s="19" t="s">
        <v>2772</v>
      </c>
      <c r="F484" s="19" t="s">
        <v>2773</v>
      </c>
      <c r="G484" s="19" t="s">
        <v>74</v>
      </c>
      <c r="H484" s="19"/>
      <c r="I484" s="19" t="s">
        <v>42</v>
      </c>
      <c r="J484" s="19"/>
      <c r="K484" s="19"/>
      <c r="L484" s="19" t="s">
        <v>2774</v>
      </c>
    </row>
    <row r="485" customFormat="false" ht="15" hidden="false" customHeight="true" outlineLevel="0" collapsed="false">
      <c r="A485" s="19" t="s">
        <v>2775</v>
      </c>
      <c r="B485" s="19" t="s">
        <v>2770</v>
      </c>
      <c r="C485" s="19" t="s">
        <v>2776</v>
      </c>
      <c r="D485" s="19" t="s">
        <v>2777</v>
      </c>
      <c r="E485" s="19" t="s">
        <v>2778</v>
      </c>
      <c r="F485" s="19" t="s">
        <v>2779</v>
      </c>
      <c r="G485" s="19" t="s">
        <v>74</v>
      </c>
      <c r="H485" s="19"/>
      <c r="I485" s="19" t="s">
        <v>56</v>
      </c>
      <c r="J485" s="19"/>
      <c r="K485" s="19"/>
      <c r="L485" s="19" t="s">
        <v>2780</v>
      </c>
    </row>
    <row r="486" customFormat="false" ht="15" hidden="false" customHeight="true" outlineLevel="0" collapsed="false">
      <c r="A486" s="19" t="s">
        <v>2781</v>
      </c>
      <c r="B486" s="19" t="s">
        <v>2770</v>
      </c>
      <c r="C486" s="19" t="s">
        <v>2782</v>
      </c>
      <c r="D486" s="19" t="s">
        <v>2777</v>
      </c>
      <c r="E486" s="19" t="s">
        <v>2783</v>
      </c>
      <c r="F486" s="19" t="s">
        <v>2784</v>
      </c>
      <c r="G486" s="19" t="s">
        <v>74</v>
      </c>
      <c r="H486" s="19"/>
      <c r="I486" s="19" t="s">
        <v>56</v>
      </c>
      <c r="J486" s="19"/>
      <c r="K486" s="19"/>
      <c r="L486" s="19" t="s">
        <v>2785</v>
      </c>
    </row>
    <row r="487" customFormat="false" ht="15" hidden="false" customHeight="false" outlineLevel="0" collapsed="false">
      <c r="A487" s="20" t="s">
        <v>2786</v>
      </c>
      <c r="B487" s="20" t="s">
        <v>2787</v>
      </c>
      <c r="C487" s="20" t="s">
        <v>2788</v>
      </c>
      <c r="D487" s="20" t="s">
        <v>2754</v>
      </c>
      <c r="E487" s="20" t="s">
        <v>2789</v>
      </c>
      <c r="F487" s="20" t="s">
        <v>2790</v>
      </c>
      <c r="G487" s="20" t="s">
        <v>74</v>
      </c>
      <c r="H487" s="20" t="str">
        <f aca="false">IF(G487="BUG","BUG-"&amp;A487,IF(G487="FUNCTIONAL","FUNCTIONAL-"&amp;A487,""))</f>
        <v/>
      </c>
      <c r="I487" s="20" t="s">
        <v>42</v>
      </c>
      <c r="J487" s="20"/>
      <c r="K487" s="20"/>
      <c r="L487" s="20" t="s">
        <v>2791</v>
      </c>
    </row>
    <row r="488" customFormat="false" ht="15" hidden="false" customHeight="false" outlineLevel="0" collapsed="false">
      <c r="A488" s="20" t="s">
        <v>2792</v>
      </c>
      <c r="B488" s="20" t="s">
        <v>2787</v>
      </c>
      <c r="C488" s="20" t="s">
        <v>2793</v>
      </c>
      <c r="D488" s="20" t="s">
        <v>2760</v>
      </c>
      <c r="E488" s="20" t="s">
        <v>2794</v>
      </c>
      <c r="F488" s="20" t="s">
        <v>2795</v>
      </c>
      <c r="G488" s="20" t="s">
        <v>74</v>
      </c>
      <c r="H488" s="20" t="str">
        <f aca="false">IF(G488="BUG","BUG-"&amp;A488,IF(G488="FUNCTIONAL","FUNCTIONAL-"&amp;A488,""))</f>
        <v/>
      </c>
      <c r="I488" s="20" t="s">
        <v>42</v>
      </c>
      <c r="J488" s="20"/>
      <c r="K488" s="20"/>
      <c r="L488" s="20" t="s">
        <v>2796</v>
      </c>
    </row>
    <row r="489" customFormat="false" ht="15" hidden="false" customHeight="false" outlineLevel="0" collapsed="false">
      <c r="A489" s="20" t="s">
        <v>2797</v>
      </c>
      <c r="B489" s="20" t="s">
        <v>2787</v>
      </c>
      <c r="C489" s="20" t="s">
        <v>2798</v>
      </c>
      <c r="D489" s="20" t="s">
        <v>2760</v>
      </c>
      <c r="E489" s="20" t="s">
        <v>2799</v>
      </c>
      <c r="F489" s="20" t="s">
        <v>2800</v>
      </c>
      <c r="G489" s="20" t="s">
        <v>74</v>
      </c>
      <c r="H489" s="20" t="str">
        <f aca="false">IF(G489="BUG","BUG-"&amp;A489,IF(G489="FUNCTIONAL","FUNCTIONAL-"&amp;A489,""))</f>
        <v/>
      </c>
      <c r="I489" s="20" t="s">
        <v>56</v>
      </c>
      <c r="J489" s="20"/>
      <c r="K489" s="20"/>
      <c r="L489" s="20" t="s">
        <v>2801</v>
      </c>
    </row>
    <row r="490" customFormat="false" ht="15" hidden="false" customHeight="false" outlineLevel="0" collapsed="false">
      <c r="A490" s="20" t="s">
        <v>2802</v>
      </c>
      <c r="B490" s="20" t="s">
        <v>2787</v>
      </c>
      <c r="C490" s="20" t="s">
        <v>2803</v>
      </c>
      <c r="D490" s="20" t="s">
        <v>2760</v>
      </c>
      <c r="E490" s="20" t="s">
        <v>2804</v>
      </c>
      <c r="F490" s="20" t="s">
        <v>2805</v>
      </c>
      <c r="G490" s="20" t="s">
        <v>74</v>
      </c>
      <c r="H490" s="20" t="str">
        <f aca="false">IF(G490="BUG","BUG-"&amp;A490,IF(G490="FUNCTIONAL","FUNCTIONAL-"&amp;A490,""))</f>
        <v/>
      </c>
      <c r="I490" s="20" t="s">
        <v>56</v>
      </c>
      <c r="J490" s="20"/>
      <c r="K490" s="20"/>
      <c r="L490" s="20" t="s">
        <v>2806</v>
      </c>
    </row>
    <row r="491" customFormat="false" ht="15" hidden="false" customHeight="false" outlineLevel="0" collapsed="false">
      <c r="A491" s="20" t="s">
        <v>2807</v>
      </c>
      <c r="B491" s="20" t="s">
        <v>2787</v>
      </c>
      <c r="C491" s="20" t="s">
        <v>2808</v>
      </c>
      <c r="D491" s="20" t="s">
        <v>2760</v>
      </c>
      <c r="E491" s="20" t="s">
        <v>2809</v>
      </c>
      <c r="F491" s="20" t="s">
        <v>2810</v>
      </c>
      <c r="G491" s="20" t="s">
        <v>74</v>
      </c>
      <c r="H491" s="20" t="str">
        <f aca="false">IF(G491="BUG","BUG-"&amp;A491,IF(G491="FUNCTIONAL","FUNCTIONAL-"&amp;A491,""))</f>
        <v/>
      </c>
      <c r="I491" s="20" t="s">
        <v>56</v>
      </c>
      <c r="J491" s="20"/>
      <c r="K491" s="20"/>
      <c r="L491" s="20" t="s">
        <v>2811</v>
      </c>
    </row>
    <row r="492" customFormat="false" ht="15" hidden="false" customHeight="false" outlineLevel="0" collapsed="false">
      <c r="A492" s="20" t="s">
        <v>2812</v>
      </c>
      <c r="B492" s="20" t="s">
        <v>2787</v>
      </c>
      <c r="C492" s="20" t="s">
        <v>2813</v>
      </c>
      <c r="D492" s="20" t="s">
        <v>2760</v>
      </c>
      <c r="E492" s="20" t="s">
        <v>2814</v>
      </c>
      <c r="F492" s="20" t="s">
        <v>2815</v>
      </c>
      <c r="G492" s="20" t="s">
        <v>74</v>
      </c>
      <c r="H492" s="20" t="str">
        <f aca="false">IF(G492="BUG","BUG-"&amp;A492,IF(G492="FUNCTIONAL","FUNCTIONAL-"&amp;A492,""))</f>
        <v/>
      </c>
      <c r="I492" s="20" t="s">
        <v>56</v>
      </c>
      <c r="J492" s="20"/>
      <c r="K492" s="20"/>
      <c r="L492" s="20" t="s">
        <v>2816</v>
      </c>
    </row>
    <row r="493" customFormat="false" ht="15" hidden="false" customHeight="false" outlineLevel="0" collapsed="false">
      <c r="A493" s="20" t="s">
        <v>2817</v>
      </c>
      <c r="B493" s="20" t="s">
        <v>2787</v>
      </c>
      <c r="C493" s="20" t="s">
        <v>2818</v>
      </c>
      <c r="D493" s="20" t="s">
        <v>2760</v>
      </c>
      <c r="E493" s="20" t="s">
        <v>2819</v>
      </c>
      <c r="F493" s="20" t="s">
        <v>2820</v>
      </c>
      <c r="G493" s="20" t="s">
        <v>74</v>
      </c>
      <c r="H493" s="20" t="str">
        <f aca="false">IF(G493="BUG","BUG-"&amp;A493,IF(G493="FUNCTIONAL","FUNCTIONAL-"&amp;A493,""))</f>
        <v/>
      </c>
      <c r="I493" s="20" t="s">
        <v>56</v>
      </c>
      <c r="J493" s="20"/>
      <c r="K493" s="20"/>
      <c r="L493" s="20" t="s">
        <v>2821</v>
      </c>
    </row>
    <row r="494" customFormat="false" ht="15" hidden="false" customHeight="false" outlineLevel="0" collapsed="false">
      <c r="A494" s="20" t="s">
        <v>2822</v>
      </c>
      <c r="B494" s="20" t="s">
        <v>2787</v>
      </c>
      <c r="C494" s="20" t="s">
        <v>2823</v>
      </c>
      <c r="D494" s="20" t="s">
        <v>2760</v>
      </c>
      <c r="E494" s="20" t="s">
        <v>2824</v>
      </c>
      <c r="F494" s="20" t="s">
        <v>2825</v>
      </c>
      <c r="G494" s="20" t="s">
        <v>74</v>
      </c>
      <c r="H494" s="20" t="str">
        <f aca="false">IF(G494="BUG","BUG-"&amp;A494,IF(G494="FUNCTIONAL","FUNCTIONAL-"&amp;A494,""))</f>
        <v/>
      </c>
      <c r="I494" s="20" t="s">
        <v>42</v>
      </c>
      <c r="J494" s="20"/>
      <c r="K494" s="20"/>
      <c r="L494" s="20" t="s">
        <v>2826</v>
      </c>
    </row>
    <row r="495" customFormat="false" ht="15" hidden="false" customHeight="false" outlineLevel="0" collapsed="false">
      <c r="A495" s="20" t="s">
        <v>2827</v>
      </c>
      <c r="B495" s="20" t="s">
        <v>2787</v>
      </c>
      <c r="C495" s="20" t="s">
        <v>2828</v>
      </c>
      <c r="D495" s="20" t="s">
        <v>2760</v>
      </c>
      <c r="E495" s="20" t="s">
        <v>2829</v>
      </c>
      <c r="F495" s="20" t="s">
        <v>2830</v>
      </c>
      <c r="G495" s="20" t="s">
        <v>74</v>
      </c>
      <c r="H495" s="20" t="str">
        <f aca="false">IF(G495="BUG","BUG-"&amp;A495,IF(G495="FUNCTIONAL","FUNCTIONAL-"&amp;A495,""))</f>
        <v/>
      </c>
      <c r="I495" s="20" t="s">
        <v>42</v>
      </c>
      <c r="J495" s="20"/>
      <c r="K495" s="20"/>
      <c r="L495" s="20" t="s">
        <v>2831</v>
      </c>
    </row>
    <row r="496" customFormat="false" ht="15" hidden="false" customHeight="false" outlineLevel="0" collapsed="false">
      <c r="A496" s="20" t="s">
        <v>2832</v>
      </c>
      <c r="B496" s="20" t="s">
        <v>2787</v>
      </c>
      <c r="C496" s="20" t="s">
        <v>2833</v>
      </c>
      <c r="D496" s="20" t="s">
        <v>2760</v>
      </c>
      <c r="E496" s="20" t="s">
        <v>2834</v>
      </c>
      <c r="F496" s="20" t="s">
        <v>2835</v>
      </c>
      <c r="G496" s="20" t="s">
        <v>74</v>
      </c>
      <c r="H496" s="20" t="str">
        <f aca="false">IF(G496="BUG","BUG-"&amp;A496,IF(G496="FUNCTIONAL","FUNCTIONAL-"&amp;A496,""))</f>
        <v/>
      </c>
      <c r="I496" s="20" t="s">
        <v>42</v>
      </c>
      <c r="J496" s="20"/>
      <c r="K496" s="20"/>
      <c r="L496" s="20" t="s">
        <v>2836</v>
      </c>
    </row>
    <row r="497" customFormat="false" ht="15" hidden="false" customHeight="false" outlineLevel="0" collapsed="false">
      <c r="A497" s="20" t="s">
        <v>2837</v>
      </c>
      <c r="B497" s="20" t="s">
        <v>2787</v>
      </c>
      <c r="C497" s="20" t="s">
        <v>2838</v>
      </c>
      <c r="D497" s="20" t="s">
        <v>2760</v>
      </c>
      <c r="E497" s="20" t="s">
        <v>2839</v>
      </c>
      <c r="F497" s="20" t="s">
        <v>2840</v>
      </c>
      <c r="G497" s="20" t="s">
        <v>74</v>
      </c>
      <c r="H497" s="20" t="str">
        <f aca="false">IF(G497="BUG","BUG-"&amp;A497,IF(G497="FUNCTIONAL","FUNCTIONAL-"&amp;A497,""))</f>
        <v/>
      </c>
      <c r="I497" s="20" t="s">
        <v>42</v>
      </c>
      <c r="J497" s="20"/>
      <c r="K497" s="20"/>
      <c r="L497" s="20" t="s">
        <v>2841</v>
      </c>
    </row>
    <row r="498" customFormat="false" ht="15" hidden="false" customHeight="false" outlineLevel="0" collapsed="false">
      <c r="A498" s="20" t="s">
        <v>2842</v>
      </c>
      <c r="B498" s="20" t="s">
        <v>2787</v>
      </c>
      <c r="C498" s="20" t="s">
        <v>2843</v>
      </c>
      <c r="D498" s="20" t="s">
        <v>2760</v>
      </c>
      <c r="E498" s="20" t="s">
        <v>2844</v>
      </c>
      <c r="F498" s="20" t="s">
        <v>2845</v>
      </c>
      <c r="G498" s="20" t="s">
        <v>74</v>
      </c>
      <c r="H498" s="20" t="str">
        <f aca="false">IF(G498="BUG","BUG-"&amp;A498,IF(G498="FUNCTIONAL","FUNCTIONAL-"&amp;A498,""))</f>
        <v/>
      </c>
      <c r="I498" s="20" t="s">
        <v>56</v>
      </c>
      <c r="J498" s="20"/>
      <c r="K498" s="20"/>
      <c r="L498" s="20" t="s">
        <v>2846</v>
      </c>
    </row>
    <row r="499" customFormat="false" ht="15" hidden="false" customHeight="false" outlineLevel="0" collapsed="false">
      <c r="A499" s="20" t="s">
        <v>2847</v>
      </c>
      <c r="B499" s="20" t="s">
        <v>2848</v>
      </c>
      <c r="C499" s="20" t="s">
        <v>2849</v>
      </c>
      <c r="D499" s="20" t="s">
        <v>2685</v>
      </c>
      <c r="E499" s="20" t="s">
        <v>2850</v>
      </c>
      <c r="F499" s="20" t="s">
        <v>2851</v>
      </c>
      <c r="G499" s="20" t="s">
        <v>2552</v>
      </c>
      <c r="H499" s="20" t="str">
        <f aca="false">IF(G499="BUG","BUG-"&amp;A499,IF(G499="FUNCTIONAL","FUNCTIONAL-"&amp;A499,""))</f>
        <v/>
      </c>
      <c r="I499" s="20" t="s">
        <v>65</v>
      </c>
      <c r="J499" s="20"/>
      <c r="K499" s="20"/>
      <c r="L499" s="20" t="s">
        <v>2768</v>
      </c>
    </row>
  </sheetData>
  <autoFilter ref="A1:L101"/>
  <conditionalFormatting sqref="G2:G290">
    <cfRule type="cellIs" priority="2" operator="equal" aboveAverage="0" equalAverage="0" bottom="0" percent="0" rank="0" text="" dxfId="14">
      <formula>"ENHANCEMENT"</formula>
    </cfRule>
    <cfRule type="cellIs" priority="3" operator="equal" aboveAverage="0" equalAverage="0" bottom="0" percent="0" rank="0" text="" dxfId="15">
      <formula>"OK"</formula>
    </cfRule>
    <cfRule type="cellIs" priority="4" operator="equal" aboveAverage="0" equalAverage="0" bottom="0" percent="0" rank="0" text="" dxfId="16">
      <formula>"BUG"</formula>
    </cfRule>
    <cfRule type="cellIs" priority="5" operator="equal" aboveAverage="0" equalAverage="0" bottom="0" percent="0" rank="0" text="" dxfId="17">
      <formula>"FUNCTIONAL"</formula>
    </cfRule>
    <cfRule type="cellIs" priority="6" operator="equal" aboveAverage="0" equalAverage="0" bottom="0" percent="0" rank="0" text="" dxfId="18">
      <formula>"DA TESTARE"</formula>
    </cfRule>
  </conditionalFormatting>
  <dataValidations count="2">
    <dataValidation allowBlank="true" errorStyle="stop" operator="between" showDropDown="false" showErrorMessage="false" showInputMessage="false" sqref="G2:G291" type="list">
      <formula1>"OK,BUG,FUNCTIONAL,ENHANCEMENT,DA TESTARE"</formula1>
      <formula2>0</formula2>
    </dataValidation>
    <dataValidation allowBlank="true" errorStyle="stop" operator="between" showDropDown="false" showErrorMessage="false" showInputMessage="false" sqref="I2:I291" type="list">
      <formula1>"Alta,Media,Bassa"</formula1>
      <formula2>0</formula2>
    </dataValidation>
  </dataValidations>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This document is classified as EOLO - C2 General</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customHeight="false"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3"/>
    <col collapsed="false" customWidth="true" hidden="false" outlineLevel="0" max="4" min="4" style="1" width="26"/>
    <col collapsed="false" customWidth="true" hidden="false" outlineLevel="0" max="5" min="5" style="1" width="14"/>
  </cols>
  <sheetData>
    <row r="1" customFormat="false" ht="16.5" hidden="false" customHeight="true" outlineLevel="0" collapsed="false">
      <c r="A1" s="21" t="s">
        <v>2852</v>
      </c>
    </row>
    <row r="2" customFormat="false" ht="15" hidden="false" customHeight="true" outlineLevel="0" collapsed="false">
      <c r="A2" s="4" t="s">
        <v>32</v>
      </c>
      <c r="B2" s="4" t="s">
        <v>2853</v>
      </c>
      <c r="D2" s="4" t="s">
        <v>27</v>
      </c>
      <c r="E2" s="4" t="s">
        <v>2854</v>
      </c>
    </row>
    <row r="3" customFormat="false" ht="15" hidden="false" customHeight="true" outlineLevel="0" collapsed="false">
      <c r="A3" s="6" t="s">
        <v>41</v>
      </c>
      <c r="B3" s="22" t="n">
        <f aca="false">COUNTIF('Test Case'!G:G,"OK")</f>
        <v>17</v>
      </c>
      <c r="D3" s="6" t="s">
        <v>36</v>
      </c>
      <c r="E3" s="22" t="n">
        <f aca="false">COUNTIF('Test Case'!B:B,"Setup")</f>
        <v>11</v>
      </c>
    </row>
    <row r="4" customFormat="false" ht="15" hidden="false" customHeight="true" outlineLevel="0" collapsed="false">
      <c r="A4" s="6" t="s">
        <v>55</v>
      </c>
      <c r="B4" s="22" t="n">
        <f aca="false">COUNTIF('Test Case'!G:G,"BUG")</f>
        <v>12</v>
      </c>
      <c r="D4" s="6" t="s">
        <v>114</v>
      </c>
      <c r="E4" s="22" t="n">
        <f aca="false">COUNTIF('Test Case'!B:B,"Genitori - Home")</f>
        <v>12</v>
      </c>
    </row>
    <row r="5" customFormat="false" ht="15" hidden="false" customHeight="true" outlineLevel="0" collapsed="false">
      <c r="A5" s="6" t="s">
        <v>64</v>
      </c>
      <c r="B5" s="22" t="n">
        <f aca="false">COUNTIF('Test Case'!G:G,"FUNCTIONAL")</f>
        <v>18</v>
      </c>
      <c r="D5" s="6" t="s">
        <v>144</v>
      </c>
      <c r="E5" s="22" t="n">
        <f aca="false">COUNTIF('Test Case'!B:B,"Genitori - Cerca")</f>
        <v>12</v>
      </c>
    </row>
    <row r="6" customFormat="false" ht="15" hidden="false" customHeight="true" outlineLevel="0" collapsed="false">
      <c r="A6" s="6" t="s">
        <v>74</v>
      </c>
      <c r="B6" s="22" t="n">
        <f aca="false">COUNTIF('Test Case'!G:G,"DA TESTARE")</f>
        <v>359</v>
      </c>
      <c r="D6" s="6" t="s">
        <v>201</v>
      </c>
      <c r="E6" s="22" t="n">
        <f aca="false">COUNTIF('Test Case'!B:B,"Genitori - Attivita")</f>
        <v>16</v>
      </c>
    </row>
    <row r="7" customFormat="false" ht="15" hidden="false" customHeight="true" outlineLevel="0" collapsed="false">
      <c r="A7" s="8" t="s">
        <v>2855</v>
      </c>
      <c r="B7" s="23" t="n">
        <f aca="false">COUNTA('Test Case'!A2:A10000)</f>
        <v>498</v>
      </c>
      <c r="D7" s="6" t="s">
        <v>226</v>
      </c>
      <c r="E7" s="22" t="n">
        <f aca="false">COUNTIF('Test Case'!B:B,"Genitori - Prenotazione")</f>
        <v>17</v>
      </c>
    </row>
    <row r="8" customFormat="false" ht="15" hidden="false" customHeight="true" outlineLevel="0" collapsed="false">
      <c r="D8" s="6" t="s">
        <v>262</v>
      </c>
      <c r="E8" s="22" t="n">
        <f aca="false">COUNTIF('Test Case'!B:B,"Genitori - Gruppi")</f>
        <v>17</v>
      </c>
    </row>
    <row r="9" customFormat="false" ht="15" hidden="false" customHeight="true" outlineLevel="0" collapsed="false">
      <c r="D9" s="6" t="s">
        <v>352</v>
      </c>
      <c r="E9" s="22" t="n">
        <f aca="false">COUNTIF('Test Case'!B:B,"Gestore - Richieste Gruppo")</f>
        <v>4</v>
      </c>
    </row>
    <row r="10" customFormat="false" ht="15" hidden="false" customHeight="true" outlineLevel="0" collapsed="false">
      <c r="D10" s="6" t="s">
        <v>374</v>
      </c>
      <c r="E10" s="22" t="n">
        <f aca="false">COUNTIF('Test Case'!B:B,"Genitori - Accompagnamento")</f>
        <v>8</v>
      </c>
    </row>
    <row r="11" customFormat="false" ht="15" hidden="false" customHeight="true" outlineLevel="0" collapsed="false">
      <c r="D11" s="6" t="s">
        <v>415</v>
      </c>
      <c r="E11" s="22" t="n">
        <f aca="false">COUNTIF('Test Case'!B:B,"Genitori - Calendario")</f>
        <v>2</v>
      </c>
    </row>
    <row r="12" customFormat="false" ht="15" hidden="false" customHeight="true" outlineLevel="0" collapsed="false">
      <c r="D12" s="6" t="s">
        <v>430</v>
      </c>
      <c r="E12" s="22" t="n">
        <f aca="false">COUNTIF('Test Case'!B:B,"Genitori - Profilo")</f>
        <v>23</v>
      </c>
    </row>
    <row r="13" customFormat="false" ht="15" hidden="false" customHeight="true" outlineLevel="0" collapsed="false">
      <c r="D13" s="6" t="s">
        <v>463</v>
      </c>
      <c r="E13" s="22" t="n">
        <f aca="false">COUNTIF('Test Case'!B:B,"Gestore - Dashboard")</f>
        <v>4</v>
      </c>
    </row>
    <row r="14" customFormat="false" ht="15" hidden="false" customHeight="true" outlineLevel="0" collapsed="false">
      <c r="D14" s="6" t="s">
        <v>472</v>
      </c>
      <c r="E14" s="22" t="n">
        <f aca="false">COUNTIF('Test Case'!B:B,"Gestore - Attivita")</f>
        <v>9</v>
      </c>
    </row>
    <row r="15" customFormat="false" ht="15" hidden="false" customHeight="true" outlineLevel="0" collapsed="false">
      <c r="D15" s="6" t="s">
        <v>497</v>
      </c>
      <c r="E15" s="22" t="n">
        <f aca="false">COUNTIF('Test Case'!B:B,"Gestore - Promozioni")</f>
        <v>2</v>
      </c>
    </row>
    <row r="16" customFormat="false" ht="15" hidden="false" customHeight="true" outlineLevel="0" collapsed="false">
      <c r="D16" s="6" t="s">
        <v>507</v>
      </c>
      <c r="E16" s="22" t="n">
        <f aca="false">COUNTIF('Test Case'!B:B,"Gestore - Profilo Centro")</f>
        <v>4</v>
      </c>
    </row>
    <row r="17" customFormat="false" ht="15" hidden="false" customHeight="true" outlineLevel="0" collapsed="false">
      <c r="D17" s="6" t="s">
        <v>517</v>
      </c>
      <c r="E17" s="22" t="n">
        <f aca="false">COUNTIF('Test Case'!B:B,"Admin - Dashboard")</f>
        <v>2</v>
      </c>
    </row>
    <row r="18" customFormat="false" ht="15" hidden="false" customHeight="true" outlineLevel="0" collapsed="false">
      <c r="D18" s="6" t="s">
        <v>525</v>
      </c>
      <c r="E18" s="22" t="n">
        <f aca="false">COUNTIF('Test Case'!B:B,"Admin - Gestione")</f>
        <v>7</v>
      </c>
    </row>
    <row r="19" customFormat="false" ht="15" hidden="false" customHeight="true" outlineLevel="0" collapsed="false">
      <c r="D19" s="6" t="s">
        <v>553</v>
      </c>
      <c r="E19" s="22" t="n">
        <f aca="false">COUNTIF('Test Case'!B:B,"Admin - Richieste Gruppo")</f>
        <v>1</v>
      </c>
    </row>
    <row r="20" customFormat="false" ht="15" hidden="false" customHeight="true" outlineLevel="0" collapsed="false">
      <c r="D20" s="6" t="s">
        <v>560</v>
      </c>
      <c r="E20" s="22" t="n">
        <f aca="false">COUNTIF('Test Case'!B:B,"Admin - Analytics")</f>
        <v>3</v>
      </c>
    </row>
    <row r="21" customFormat="false" ht="15" hidden="false" customHeight="true" outlineLevel="0" collapsed="false">
      <c r="D21" s="6" t="s">
        <v>578</v>
      </c>
      <c r="E21" s="22" t="n">
        <f aca="false">COUNTIF('Test Case'!B:B,"Multi-tenant / PWA")</f>
        <v>7</v>
      </c>
    </row>
    <row r="22" customFormat="false" ht="15" hidden="false" customHeight="true" outlineLevel="0" collapsed="false">
      <c r="D22" s="6" t="s">
        <v>607</v>
      </c>
      <c r="E22" s="22" t="n">
        <f aca="false">COUNTIF('Test Case'!B:B,"Fuori scope attuale")</f>
        <v>3</v>
      </c>
    </row>
    <row r="23" customFormat="false" ht="15" hidden="false" customHeight="true" outlineLevel="0" collapsed="false">
      <c r="D23" s="6" t="s">
        <v>631</v>
      </c>
      <c r="E23" s="22" t="n">
        <f aca="false">COUNTIF('Test Case'!B:B,"Genitori - Home (Planner/Per Bambino)")</f>
        <v>14</v>
      </c>
    </row>
    <row r="24" customFormat="false" ht="15" hidden="false" customHeight="true" outlineLevel="0" collapsed="false">
      <c r="D24" s="6" t="s">
        <v>774</v>
      </c>
      <c r="E24" s="22" t="n">
        <f aca="false">COUNTIF('Test Case'!B:B,"Gestore - Inviti")</f>
        <v>6</v>
      </c>
    </row>
    <row r="25" customFormat="false" ht="15" hidden="false" customHeight="true" outlineLevel="0" collapsed="false">
      <c r="D25" s="6" t="s">
        <v>799</v>
      </c>
      <c r="E25" s="22" t="n">
        <f aca="false">COUNTIF('Test Case'!B:B,"Genitori - Registrazione")</f>
        <v>2</v>
      </c>
    </row>
    <row r="26" customFormat="false" ht="15" hidden="false" customHeight="true" outlineLevel="0" collapsed="false">
      <c r="D26" s="6" t="s">
        <v>978</v>
      </c>
      <c r="E26" s="22" t="n">
        <f aca="false">COUNTIF('Test Case'!B:B,"Gestore - Le mie richieste")</f>
        <v>4</v>
      </c>
    </row>
    <row r="27" customFormat="false" ht="15" hidden="false" customHeight="true" outlineLevel="0" collapsed="false">
      <c r="D27" s="6" t="s">
        <v>991</v>
      </c>
      <c r="E27" s="22" t="n">
        <f aca="false">COUNTIF('Test Case'!B:B,"Gestore - Report presenze")</f>
        <v>2</v>
      </c>
    </row>
    <row r="28" customFormat="false" ht="15" hidden="false" customHeight="true" outlineLevel="0" collapsed="false">
      <c r="D28" s="1" t="s">
        <v>1049</v>
      </c>
      <c r="E28" s="1" t="n">
        <f aca="false">COUNTIF('Test Case'!B:B,"Admin - Nuovi pannelli")</f>
        <v>3</v>
      </c>
    </row>
    <row r="29" customFormat="false" ht="15" hidden="false" customHeight="true" outlineLevel="0" collapsed="false">
      <c r="D29" s="1" t="s">
        <v>886</v>
      </c>
      <c r="E29" s="1" t="n">
        <f aca="false">COUNTIF('Test Case'!B:B,"Gestore - Account")</f>
        <v>1</v>
      </c>
    </row>
    <row r="30" customFormat="false" ht="15" hidden="false" customHeight="true" outlineLevel="0" collapsed="false">
      <c r="D30" s="1" t="s">
        <v>853</v>
      </c>
      <c r="E30" s="1" t="n">
        <f aca="false">COUNTIF('Test Case'!B:B,"Gestore - Il mio account")</f>
        <v>2</v>
      </c>
    </row>
    <row r="31" customFormat="false" ht="15" hidden="false" customHeight="true" outlineLevel="0" collapsed="false">
      <c r="D31" s="1" t="s">
        <v>860</v>
      </c>
      <c r="E31" s="1" t="n">
        <f aca="false">COUNTIF('Test Case'!B:B,"Gestore - Registro presenze")</f>
        <v>6</v>
      </c>
    </row>
    <row r="32" customFormat="false" ht="15" hidden="false" customHeight="true" outlineLevel="0" collapsed="false">
      <c r="D32" s="1" t="s">
        <v>1153</v>
      </c>
      <c r="E32" s="1" t="n">
        <f aca="false">COUNTIF('Test Case'!B:B,"NEXTGEN - Setup")</f>
        <v>6</v>
      </c>
    </row>
    <row r="33" customFormat="false" ht="15" hidden="false" customHeight="true" outlineLevel="0" collapsed="false">
      <c r="D33" s="1" t="s">
        <v>1188</v>
      </c>
      <c r="E33" s="1" t="n">
        <f aca="false">COUNTIF('Test Case'!B:B,"NEXTGEN - Dashboard Genitore")</f>
        <v>3</v>
      </c>
    </row>
    <row r="34" customFormat="false" ht="15" hidden="false" customHeight="true" outlineLevel="0" collapsed="false">
      <c r="D34" s="1" t="s">
        <v>1202</v>
      </c>
      <c r="E34" s="1" t="n">
        <f aca="false">COUNTIF('Test Case'!B:B,"NEXTGEN - Ricerca e scoperta")</f>
        <v>3</v>
      </c>
    </row>
    <row r="35" customFormat="false" ht="15" hidden="false" customHeight="true" outlineLevel="0" collapsed="false">
      <c r="D35" s="1" t="s">
        <v>1218</v>
      </c>
      <c r="E35" s="1" t="n">
        <f aca="false">COUNTIF('Test Case'!B:B,"NEXTGEN - Planner")</f>
        <v>7</v>
      </c>
    </row>
    <row r="36" customFormat="false" ht="15" hidden="false" customHeight="true" outlineLevel="0" collapsed="false">
      <c r="D36" s="1" t="s">
        <v>1255</v>
      </c>
      <c r="E36" s="1" t="n">
        <f aca="false">COUNTIF('Test Case'!B:B,"NEXTGEN - Home (rifinitura)")</f>
        <v>11</v>
      </c>
    </row>
    <row r="37" customFormat="false" ht="15" hidden="false" customHeight="true" outlineLevel="0" collapsed="false">
      <c r="D37" s="1" t="s">
        <v>1310</v>
      </c>
      <c r="E37" s="1" t="n">
        <f aca="false">COUNTIF('Test Case'!B:B,"Versione LEGACY/NEXTGEN - Toggle")</f>
        <v>5</v>
      </c>
    </row>
    <row r="38" customFormat="false" ht="15" hidden="false" customHeight="true" outlineLevel="0" collapsed="false">
      <c r="D38" s="1" t="s">
        <v>1338</v>
      </c>
      <c r="E38" s="1" t="n">
        <f aca="false">COUNTIF('Test Case'!B:B,"NEXTGEN - Community")</f>
        <v>9</v>
      </c>
    </row>
    <row r="39" customFormat="false" ht="15" hidden="false" customHeight="true" outlineLevel="0" collapsed="false">
      <c r="D39" s="1" t="s">
        <v>1685</v>
      </c>
      <c r="E39" s="1" t="n">
        <f aca="false">COUNTIF('Test Case'!B:B,"TRAMA - Login")</f>
        <v>4</v>
      </c>
    </row>
  </sheetData>
  <printOptions headings="false" gridLines="false" gridLinesSet="true" horizontalCentered="false" verticalCentered="false"/>
  <pageMargins left="0.75" right="0.75" top="1" bottom="1" header="0.511811023622047"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&amp;C&amp;"Aptos,Regular"&amp;10 _x005F_x000d_# This document is classified as EOLO - C2 General</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2026-07-08T11:00:13Z</dcterms:created>
  <dc:creator>openpyxl</dc:creator>
  <dc:description/>
  <dc:language>en-US</dc:language>
  <cp:lastModifiedBy>Fabrizio Pirulli</cp:lastModifiedBy>
  <dcterms:modified xsi:type="dcterms:W3CDTF">2026-08-24T14:24:39Z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c112c3a-7bd8-47cc-83d0-f5c7c61e6e4e_ActionId">
    <vt:lpwstr>e48ec917-a6dc-4bbf-aed4-7d25bb5375dd</vt:lpwstr>
  </property>
  <property fmtid="{D5CDD505-2E9C-101B-9397-08002B2CF9AE}" pid="3" name="MSIP_Label_dc112c3a-7bd8-47cc-83d0-f5c7c61e6e4e_ContentBits">
    <vt:lpwstr>2</vt:lpwstr>
  </property>
  <property fmtid="{D5CDD505-2E9C-101B-9397-08002B2CF9AE}" pid="4" name="MSIP_Label_dc112c3a-7bd8-47cc-83d0-f5c7c61e6e4e_Enabled">
    <vt:lpwstr>true</vt:lpwstr>
  </property>
  <property fmtid="{D5CDD505-2E9C-101B-9397-08002B2CF9AE}" pid="5" name="MSIP_Label_dc112c3a-7bd8-47cc-83d0-f5c7c61e6e4e_Method">
    <vt:lpwstr>Standard</vt:lpwstr>
  </property>
  <property fmtid="{D5CDD505-2E9C-101B-9397-08002B2CF9AE}" pid="6" name="MSIP_Label_dc112c3a-7bd8-47cc-83d0-f5c7c61e6e4e_Name">
    <vt:lpwstr>C2</vt:lpwstr>
  </property>
  <property fmtid="{D5CDD505-2E9C-101B-9397-08002B2CF9AE}" pid="7" name="MSIP_Label_dc112c3a-7bd8-47cc-83d0-f5c7c61e6e4e_SetDate">
    <vt:lpwstr>2026-07-08T13:02:17Z</vt:lpwstr>
  </property>
  <property fmtid="{D5CDD505-2E9C-101B-9397-08002B2CF9AE}" pid="8" name="MSIP_Label_dc112c3a-7bd8-47cc-83d0-f5c7c61e6e4e_SiteId">
    <vt:lpwstr>3eb573ab-f148-4769-95fd-b69696295c69</vt:lpwstr>
  </property>
  <property fmtid="{D5CDD505-2E9C-101B-9397-08002B2CF9AE}" pid="9" name="MSIP_Label_dc112c3a-7bd8-47cc-83d0-f5c7c61e6e4e_Tag">
    <vt:lpwstr>50, 3, 0, 1</vt:lpwstr>
  </property>
</Properties>
</file>