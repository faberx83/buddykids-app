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<sst xmlns="http://schemas.openxmlformats.org/spreadsheetml/2006/main" count="4567" uniqueCount="2957">
  <si>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</si>
  <si>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</si>
  <si>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</si>
  <si>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</si>
  <si>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</si>
  <si>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</si>
  <si>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</si>
  <si>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</si>
  <si>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</si>
  <si>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</si>
  <si>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</si>
  <si>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</si>
  <si>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</si>
  <si>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</si>
  <si>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</si>
  <si>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</si>
  <si>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</si>
  <si>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</si>
  <si>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</si>
  <si>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</si>
  <si>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</si>
  <si>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</si>
  <si>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</si>
  <si>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</si>
  <si>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</si>
  <si>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</si>
  <si>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</si>
  <si>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</si>
  <si>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</si>
  <si>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</si>
  <si>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</si>
  <si>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</si>
  <si>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</si>
  <si>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</si>
  <si>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</si>
  <si>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</si>
  <si>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</si>
  <si>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</si>
  <si>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</si>
  <si>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</si>
  <si>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</si>
  <si>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</si>
  <si>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</si>
  <si>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</si>
  <si>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</si>
  <si>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</si>
  <si>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</si>
  <si>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</si>
  <si>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</si>
  <si>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</si>
  <si>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</si>
  <si>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</si>
  <si>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</si>
  <si>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</si>
  <si>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</si>
  <si>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</si>
  <si>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</si>
  <si>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</si>
  <si>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</si>
  <si>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</si>
  <si>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</si>
  <si>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</si>
  <si>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</si>
  <si>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</si>
  <si>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</si>
  <si>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</si>
  <si>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</si>
  <si>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</si>
  <si>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</si>
  <si>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</si>
  <si>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</si>
  <si>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</si>
  <si>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</si>
  <si>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</si>
  <si>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</si>
  <si>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</si>
  <si>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</si>
  <si>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</si>
  <si>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</si>
  <si>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</si>
  <si>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</si>
  <si>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</si>
  <si>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</si>
  <si>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</si>
  <si>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</si>
  <si>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</si>
  <si>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</si>
  <si>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</si>
  <si>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</si>
  <si>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</si>
  <si>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</si>
  <si>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</si>
  <si>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</si>
  <si>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</si>
  <si>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</si>
  <si>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</si>
  <si>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</si>
  <si>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</si>
  <si>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</si>
  <si>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</si>
  <si>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</si>
  <si>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</si>
  <si>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</si>
  <si>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</si>
  <si>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</si>
  <si>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</si>
  <si>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</si>
  <si>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</si>
  <si>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</si>
  <si>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</si>
  <si>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</si>
  <si>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</si>
  <si>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</si>
  <si>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</si>
  <si>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</si>
  <si>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</si>
  <si>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</si>
  <si>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</si>
  <si>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</si>
  <si>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</si>
  <si>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</si>
  <si>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</si>
  <si>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</si>
  <si>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</si>
  <si>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</si>
  <si>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</si>
  <si>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</si>
  <si>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</si>
  <si>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</si>
  <si>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</si>
  <si>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</si>
  <si>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</si>
  <si>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</si>
  <si>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</si>
  <si>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</si>
  <si>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</si>
  <si>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</si>
  <si>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</si>
  <si>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</si>
  <si>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</si>
  <si>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</si>
  <si>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</si>
  <si>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</si>
  <si>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</si>
  <si>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</si>
  <si>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</si>
  <si>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</si>
  <si>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</si>
  <si>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</si>
  <si>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</si>
  <si>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</si>
  <si>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</si>
  <si>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</si>
  <si>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</si>
  <si>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</si>
  <si>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</si>
  <si>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</si>
  <si>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</si>
  <si>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</si>
  <si>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</si>
  <si>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</si>
  <si>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</si>
  <si>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</si>
  <si>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</si>
  <si>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</si>
  <si>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</si>
  <si>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</si>
  <si>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</si>
  <si>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</si>
  <si>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</si>
  <si>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</si>
  <si>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</si>
  <si>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</si>
  <si>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</si>
  <si>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</si>
  <si>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</si>
  <si>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</si>
  <si>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</si>
  <si>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</si>
  <si>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</si>
  <si>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</si>
  <si>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</si>
  <si>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</si>
  <si>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</si>
  <si>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</si>
  <si>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</si>
  <si>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</si>
  <si>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</si>
  <si>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</si>
  <si>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</si>
  <si>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</si>
  <si>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</si>
  <si>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</si>
  <si>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</si>
  <si>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</si>
  <si>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</si>
  <si>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</si>
  <si>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</si>
  <si>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</si>
  <si>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</si>
  <si>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</si>
  <si>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</si>
  <si>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</si>
  <si>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</si>
  <si>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</si>
  <si>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</si>
  <si>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</si>
  <si>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</si>
  <si>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</si>
  <si>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</si>
  <si>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</si>
  <si>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</si>
  <si>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</si>
  <si>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</si>
  <si>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</si>
  <si>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</si>
  <si>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</si>
  <si>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</si>
  <si>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</si>
  <si>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</si>
  <si>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</si>
  <si>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</si>
  <si>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</si>
  <si>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</si>
  <si>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</si>
  <si>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</si>
  <si>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</si>
  <si>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</si>
  <si>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</si>
  <si>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</si>
  <si>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</si>
  <si>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</si>
  <si>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</si>
  <si>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</si>
  <si>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</si>
  <si>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</si>
  <si>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</si>
  <si>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</si>
  <si>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</si>
  <si>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</si>
  <si>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</si>
  <si>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</si>
  <si>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</si>
  <si>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</si>
  <si>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</si>
  <si>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</si>
  <si>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</si>
  <si>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</si>
  <si>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</si>
  <si>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</si>
  <si>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</si>
  <si>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</si>
  <si>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</si>
  <si>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</si>
  <si>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</si>
  <si>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</si>
  <si>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</si>
  <si>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</si>
  <si>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</si>
  <si>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</si>
  <si>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</si>
  <si>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</si>
  <si>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</si>
  <si>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</si>
  <si>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</si>
  <si>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</si>
  <si>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</si>
  <si>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</si>
  <si>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</si>
  <si>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</si>
  <si>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</si>
  <si>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</si>
  <si>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</si>
  <si>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</si>
  <si>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</si>
  <si>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</si>
  <si>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</si>
  <si>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</si>
  <si>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</si>
  <si>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</si>
  <si>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</si>
  <si>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</si>
  <si>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</si>
  <si>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</si>
  <si>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</si>
  <si>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</si>
  <si>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</si>
  <si>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</si>
  <si>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</si>
  <si>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</si>
  <si>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</si>
  <si>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</si>
  <si>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</si>
  <si>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</si>
  <si>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</si>
  <si>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</si>
  <si>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</si>
  <si>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</si>
  <si>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</si>
  <si>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</si>
  <si>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</si>
  <si>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</si>
  <si>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</si>
  <si>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</si>
  <si>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</si>
  <si>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</si>
  <si>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</si>
  <si>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</si>
  <si>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</si>
  <si>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</si>
  <si>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</si>
  <si>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</si>
  <si>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</si>
  <si>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</si>
  <si>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</si>
  <si>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</si>
  <si>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</si>
  <si>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</si>
  <si>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</si>
  <si>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</si>
  <si>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</si>
  <si>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</si>
  <si>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</si>
  <si>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</si>
  <si>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</si>
  <si>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</si>
  <si>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</si>
  <si>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</si>
  <si>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</si>
  <si>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</si>
  <si>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</si>
  <si>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</si>
  <si>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</si>
  <si>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</si>
  <si>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</si>
  <si>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</si>
  <si>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</si>
  <si>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</si>
  <si>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</si>
  <si>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</si>
  <si>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</si>
  <si>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</si>
  <si>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</si>
  <si>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</si>
  <si>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</si>
  <si>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</si>
  <si>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</si>
  <si>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</si>
  <si>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</si>
  <si>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</si>
  <si>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</si>
  <si>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</si>
  <si>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</si>
  <si>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</si>
  <si>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</si>
  <si>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</si>
  <si>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</si>
  <si>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</si>
  <si>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</si>
  <si>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</si>
  <si>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</si>
  <si>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</si>
  <si>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</si>
  <si>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</si>
  <si>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</si>
  <si>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</si>
  <si>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</si>
  <si>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</si>
  <si>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</si>
  <si>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</si>
  <si>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</si>
  <si>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</si>
  <si>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</si>
  <si>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</si>
  <si>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</si>
  <si>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</si>
  <si>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</si>
  <si>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</si>
  <si>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</si>
  <si>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</si>
  <si>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</si>
  <si>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</si>
  <si>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</si>
  <si>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</si>
  <si>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</si>
  <si>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</si>
  <si>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</si>
  <si>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</si>
  <si>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</si>
  <si>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</si>
  <si>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</si>
  <si>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</si>
  <si>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</si>
  <si>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</si>
  <si>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</si>
  <si>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</si>
  <si>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</si>
  <si>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</si>
  <si>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</si>
  <si>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</si>
  <si>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</si>
  <si>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</si>
  <si>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</si>
  <si>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</si>
  <si>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</si>
  <si>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</si>
  <si>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</si>
  <si>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</si>
  <si>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</si>
  <si>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</si>
  <si>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</si>
  <si>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</si>
  <si>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</si>
  <si>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</si>
  <si>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</si>
  <si>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</si>
  <si>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</si>
  <si>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</si>
  <si>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</si>
  <si>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</si>
  <si>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</si>
  <si>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</si>
  <si>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</si>
  <si>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</si>
  <si>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</si>
  <si>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</si>
  <si>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</si>
  <si>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</si>
  <si>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</si>
  <si>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</si>
  <si>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</si>
  <si>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</si>
  <si>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</si>
  <si>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</si>
  <si>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</si>
  <si>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</si>
  <si>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</si>
  <si>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</si>
  <si>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</si>
  <si>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</si>
  <si>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</si>
  <si>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</si>
  <si>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</si>
  <si>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</si>
  <si>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</si>
  <si>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</si>
  <si>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</si>
  <si>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</si>
  <si>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</si>
  <si>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</si>
  <si>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</si>
  <si>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</si>
  <si>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</si>
  <si>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</si>
  <si>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</si>
  <si>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</si>
  <si>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</si>
  <si>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</si>
  <si>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</si>
  <si>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</si>
  <si>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</si>
  <si>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</si>
  <si>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</si>
  <si>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</si>
  <si>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</si>
  <si>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</si>
  <si>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</si>
  <si>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</si>
  <si>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</si>
  <si>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</si>
  <si>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</si>
  <si>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</si>
  <si>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</si>
  <si>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</si>
  <si>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</si>
  <si>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</si>
  <si>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</si>
  <si>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</si>
  <si>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</si>
  <si>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</si>
  <si>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</si>
  <si>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</si>
  <si>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</si>
  <si>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</si>
  <si>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</si>
  <si>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</si>
  <si>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</si>
  <si>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</si>
  <si>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</si>
  <si>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</si>
  <si>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</si>
  <si>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</si>
  <si>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</si>
  <si>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</si>
  <si>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</si>
  <si>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</si>
  <si>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</si>
  <si>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</si>
  <si>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</si>
  <si>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</si>
  <si>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</si>
  <si>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</si>
  <si>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</si>
  <si>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</si>
  <si>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</si>
  <si>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</si>
  <si>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</si>
  <si>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</si>
  <si>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</si>
  <si>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</si>
  <si>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</si>
  <si>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</si>
  <si>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</si>
  <si>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</si>
  <si>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</si>
  <si>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</si>
  <si>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</si>
  <si>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</si>
  <si>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</si>
  <si>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</si>
  <si>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</si>
  <si>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</si>
  <si>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</si>
  <si>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</si>
  <si>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</si>
  <si>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</si>
  <si>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</si>
  <si>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</si>
  <si>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</si>
  <si>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</si>
  <si>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</si>
  <si>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</si>
  <si>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</si>
  <si>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</si>
  <si>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</si>
  <si>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</si>
  <si>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</si>
  <si>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</si>
  <si>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</si>
  <si>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</si>
  <si>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</si>
  <si>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</si>
  <si>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</si>
  <si>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</si>
  <si>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</si>
  <si>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</si>
  <si>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</si>
  <si>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</si>
  <si>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</si>
  <si>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</si>
  <si>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</si>
  <si>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</si>
  <si>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</si>
  <si>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</si>
  <si>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</si>
  <si>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</si>
  <si>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</si>
  <si>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</si>
  <si>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</si>
  <si>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</si>
  <si>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</si>
  <si>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</si>
  <si>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</si>
  <si>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</si>
  <si>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</si>
  <si>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</si>
  <si>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</si>
  <si>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</si>
  <si>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</si>
  <si>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</si>
  <si>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</si>
  <si>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</si>
  <si>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</si>
  <si>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</si>
  <si>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</si>
  <si>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</si>
  <si>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</si>
  <si>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</si>
  <si>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</si>
  <si>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</si>
  <si>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</si>
  <si>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</si>
  <si>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</si>
  <si>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</si>
  <si>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</si>
  <si>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</si>
  <si>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</si>
  <si>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</si>
  <si>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</si>
  <si>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</si>
  <si>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</si>
  <si>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</si>
  <si>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</si>
  <si>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</si>
  <si>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</si>
  <si>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</si>
  <si>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</si>
  <si>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</si>
  <si>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</si>
  <si>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</si>
  <si>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</si>
  <si>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</si>
  <si>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</si>
  <si>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</si>
  <si>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</si>
  <si>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</si>
  <si>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</si>
  <si>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</si>
  <si>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</si>
  <si>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</si>
  <si>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</si>
  <si>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</si>
  <si>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</si>
  <si>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</si>
  <si>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</si>
  <si>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</si>
  <si>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</si>
  <si>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</si>
  <si>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</si>
  <si>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</si>
  <si>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</si>
  <si>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</si>
  <si>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</si>
  <si>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</si>
  <si>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</si>
  <si>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</si>
  <si>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</si>
  <si>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</si>
  <si>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</si>
  <si>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</si>
  <si>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</si>
  <si>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</si>
  <si>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</si>
  <si>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</si>
  <si>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</si>
  <si>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</si>
  <si>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</si>
  <si>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</si>
  <si>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</si>
  <si>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</si>
  <si>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</si>
  <si>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</si>
  <si>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</si>
  <si>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</si>
  <si>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</si>
  <si>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</si>
  <si>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</si>
  <si>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</si>
  <si>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</si>
  <si>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</si>
  <si>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</si>
  <si>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</si>
  <si>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</si>
  <si>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</si>
  <si>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</si>
  <si>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</si>
  <si>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</si>
  <si>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</si>
  <si>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</si>
  <si>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</si>
  <si>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</si>
  <si>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</si>
  <si>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</si>
  <si>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</si>
  <si>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</si>
  <si>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</si>
  <si>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</si>
  <si>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</si>
  <si>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</si>
  <si>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</si>
  <si>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</si>
  <si>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</si>
  <si>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</si>
  <si>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</si>
  <si>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</si>
  <si>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</si>
  <si>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</si>
  <si>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</si>
  <si>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</si>
  <si>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</si>
  <si>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</si>
  <si>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</si>
  <si>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</si>
  <si>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</si>
  <si>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</si>
  <si>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</si>
  <si>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</si>
  <si>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</si>
  <si>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</si>
  <si>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</si>
  <si>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</si>
  <si>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</si>
  <si>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</si>
  <si>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</si>
  <si>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</si>
  <si>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</si>
  <si>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</si>
  <si>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</si>
  <si>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</si>
  <si>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</si>
  <si>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</si>
  <si>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</si>
  <si>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</si>
  <si>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</si>
  <si>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</si>
  <si>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</si>
  <si>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</si>
  <si>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</si>
  <si>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</si>
  <si>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</si>
  <si>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</si>
  <si>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</si>
  <si>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</si>
  <si>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</si>
  <si>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</si>
  <si>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</si>
  <si>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</si>
  <si>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</si>
  <si>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</si>
  <si>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</si>
  <si>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</si>
  <si>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</si>
  <si>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</si>
  <si>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</si>
  <si>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</si>
  <si>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</si>
  <si>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</si>
  <si>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</si>
  <si>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</si>
  <si>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</si>
  <si>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</si>
  <si>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</si>
  <si>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</si>
  <si>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</si>
  <si>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</si>
  <si>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</si>
  <si>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</si>
  <si>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</si>
  <si>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</si>
  <si>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</si>
  <si>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</si>
  <si>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</si>
  <si>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</si>
  <si>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</si>
  <si>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</si>
  <si>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</si>
  <si>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</si>
  <si>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</si>
  <si>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</si>
  <si>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</si>
  <si>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</si>
  <si>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</si>
  <si>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</si>
  <si>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</si>
  <si>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</si>
  <si>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</si>
  <si>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</si>
  <si>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</si>
  <si>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</si>
  <si>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</si>
  <si>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</si>
  <si>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</si>
  <si>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</si>
  <si>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</si>
  <si>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</si>
  <si>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</si>
  <si>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</si>
  <si>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</si>
  <si>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</si>
  <si>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</si>
  <si>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</si>
  <si>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</si>
  <si>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</si>
  <si>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</si>
  <si>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</si>
  <si>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</si>
  <si>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</si>
  <si>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</si>
  <si>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</si>
  <si>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</si>
  <si>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</si>
  <si>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</si>
  <si>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</si>
  <si>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</si>
  <si>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</si>
  <si>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</si>
  <si>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</si>
  <si>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</si>
  <si>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</si>
  <si>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</si>
  <si>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</si>
  <si>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</si>
  <si>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</si>
  <si>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</si>
  <si>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</si>
  <si>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</si>
  <si>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</si>
  <si>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</si>
  <si>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</si>
  <si>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</si>
  <si>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</si>
  <si>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</si>
  <si>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</si>
  <si>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</si>
  <si>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</si>
  <si>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</si>
  <si>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</si>
  <si>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</si>
  <si>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</si>
  <si>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</si>
  <si>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</si>
  <si>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</si>
  <si>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</si>
  <si>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</si>
  <si>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</si>
  <si>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</si>
  <si>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</si>
  <si>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</si>
  <si>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</si>
  <si>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</si>
  <si>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</si>
  <si>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</si>
  <si>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</si>
  <si>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</si>
  <si>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</si>
  <si>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</si>
  <si>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</si>
  <si>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</si>
  <si>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</si>
  <si>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</si>
  <si>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</si>
  <si>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</si>
  <si>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</si>
  <si>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</si>
  <si>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</si>
  <si>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</si>
  <si>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</si>
  <si>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</si>
  <si>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</si>
  <si>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</si>
  <si>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</si>
  <si>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</si>
  <si>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</si>
  <si>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</si>
  <si>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</si>
  <si>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</si>
  <si>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</si>
  <si>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</si>
  <si>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</si>
  <si>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</si>
  <si>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</si>
  <si>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</si>
  <si>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</si>
  <si>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</si>
  <si>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</si>
  <si>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</si>
  <si>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</si>
  <si>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</si>
  <si>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</si>
  <si>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</si>
  <si>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</si>
  <si>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</si>
  <si>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</si>
  <si>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</si>
  <si>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</si>
  <si>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</si>
  <si>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</si>
  <si>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</si>
  <si>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</si>
  <si>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</si>
  <si>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</si>
  <si>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</si>
  <si>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</si>
  <si>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</si>
  <si>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</si>
  <si>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</si>
  <si>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</si>
  <si>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</si>
  <si>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</si>
  <si>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</si>
  <si>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</si>
  <si>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</si>
  <si>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</si>
  <si>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</si>
  <si>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</si>
  <si>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</si>
  <si>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</si>
  <si>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</si>
  <si>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</si>
  <si>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</si>
  <si>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</si>
  <si>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</si>
  <si>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</si>
  <si>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</si>
  <si>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</si>
  <si>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</si>
  <si>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</si>
  <si>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</si>
  <si>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</si>
  <si>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</si>
  <si>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</si>
  <si>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</si>
  <si>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</si>
  <si>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</si>
  <si>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</si>
  <si>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</si>
  <si>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</si>
  <si>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</si>
  <si>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</si>
  <si>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</si>
  <si>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</si>
  <si>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</si>
  <si>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</si>
  <si>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</si>
  <si>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</si>
  <si>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</si>
  <si>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</si>
  <si>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</si>
  <si>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</si>
  <si>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</si>
  <si>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</si>
  <si>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</si>
  <si>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</si>
  <si>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</si>
  <si>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</si>
  <si>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</si>
  <si>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</si>
  <si>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</si>
  <si>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</si>
  <si>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</si>
  <si>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</si>
  <si>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</si>
  <si>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</si>
  <si>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</si>
  <si>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</si>
  <si>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</si>
  <si>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</si>
  <si>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</si>
  <si>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</si>
  <si>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</si>
  <si>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</si>
  <si>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</si>
  <si>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</si>
  <si>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</si>
  <si>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</si>
  <si>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</si>
  <si>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</si>
  <si>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</si>
  <si>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</si>
  <si>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</si>
  <si>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</si>
  <si>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</si>
  <si>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</si>
  <si>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</si>
  <si>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</si>
  <si>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</si>
  <si>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</si>
  <si>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</si>
  <si>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</si>
  <si>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</si>
  <si>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</si>
  <si>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</si>
  <si>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</si>
  <si>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</si>
  <si>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</si>
  <si>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</si>
  <si>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</si>
  <si>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</si>
  <si>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</si>
  <si>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</si>
  <si>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</si>
  <si>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</si>
  <si>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</si>
  <si>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</si>
  <si>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</si>
  <si>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</si>
  <si>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</si>
  <si>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</si>
  <si>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</si>
  <si>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</si>
  <si>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</si>
  <si>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</si>
  <si>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</si>
  <si>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</si>
  <si>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</si>
  <si>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</si>
  <si>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</si>
  <si>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</si>
  <si>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</si>
  <si>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</si>
  <si>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</si>
  <si>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</si>
  <si>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</si>
  <si>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</si>
  <si>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</si>
  <si>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</si>
  <si>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</si>
  <si>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</si>
  <si>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</si>
  <si>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</si>
  <si>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</si>
  <si>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</si>
  <si>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</si>
  <si>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</si>
  <si>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</si>
  <si>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</si>
  <si>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</si>
  <si>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</si>
  <si>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</si>
  <si>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</si>
  <si>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</si>
  <si>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</si>
  <si>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</si>
  <si>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</si>
  <si>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</si>
  <si>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</si>
  <si>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</si>
  <si>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</si>
  <si>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</si>
  <si>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</si>
  <si>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</si>
  <si>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</si>
  <si>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</si>
  <si>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</si>
  <si>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</si>
  <si>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</si>
  <si>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</si>
  <si>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</si>
  <si>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</si>
  <si>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</si>
  <si>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</si>
  <si>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</si>
  <si>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</si>
  <si>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</si>
  <si>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</si>
  <si>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</si>
  <si>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</si>
  <si>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</si>
  <si>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</si>
  <si>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</si>
  <si>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</si>
  <si>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</si>
  <si>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</si>
  <si>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</si>
  <si>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</si>
  <si>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</si>
  <si>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</si>
  <si>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</si>
  <si>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</si>
  <si>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</si>
  <si>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</si>
  <si>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</si>
  <si>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</si>
  <si>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</si>
  <si>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</si>
  <si>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</si>
  <si>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</si>
  <si>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</si>
  <si>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</si>
  <si>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</si>
  <si>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</si>
  <si>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</si>
  <si>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</si>
  <si>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</si>
  <si>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</si>
  <si>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</si>
  <si>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</si>
  <si>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</si>
  <si>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</si>
  <si>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</si>
  <si>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</si>
  <si>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</si>
  <si>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</si>
  <si>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</si>
  <si>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</si>
  <si>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</si>
  <si>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</si>
  <si>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</si>
  <si>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</si>
  <si>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</si>
  <si>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</si>
  <si>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</si>
  <si>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</si>
  <si>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</si>
  <si>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</si>
  <si>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</si>
  <si>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</si>
  <si>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</si>
  <si>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</si>
  <si>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</si>
  <si>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</si>
  <si>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</si>
  <si>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</si>
  <si>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</si>
  <si>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</si>
  <si>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</si>
  <si>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</si>
  <si>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</si>
  <si>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</si>
  <si>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</si>
  <si>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</si>
  <si>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</si>
  <si>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</si>
  <si>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</si>
  <si>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</si>
  <si>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</si>
  <si>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</si>
  <si>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</si>
  <si>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</si>
  <si>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</si>
  <si>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</si>
  <si>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</si>
  <si>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</si>
  <si>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</si>
  <si>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</si>
  <si>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</si>
  <si>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</si>
  <si>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</si>
  <si>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</si>
  <si>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</si>
  <si>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</si>
  <si>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</si>
  <si>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</si>
  <si>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</si>
  <si>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</si>
  <si>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</si>
  <si>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</si>
  <si>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</si>
  <si>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</si>
  <si>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</si>
  <si>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</si>
  <si>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</si>
  <si>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</si>
  <si>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</si>
  <si>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</si>
  <si>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</si>
  <si>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</si>
  <si>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</si>
  <si>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</si>
  <si>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</si>
  <si>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</si>
  <si>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</si>
  <si>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</si>
  <si>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</si>
  <si>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</si>
  <si>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</si>
  <si>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</si>
  <si>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</si>
  <si>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</si>
  <si>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</si>
  <si>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</si>
  <si>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</si>
  <si>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</si>
  <si>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</si>
  <si>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</si>
  <si>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</si>
  <si>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</si>
  <si>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</si>
  <si>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</si>
  <si>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</si>
  <si>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</si>
  <si>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</si>
  <si>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</si>
  <si>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</si>
  <si>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</si>
  <si>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</si>
  <si>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</si>
  <si>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</si>
  <si>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</si>
  <si>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</si>
  <si>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</si>
  <si>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</si>
  <si>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</si>
  <si>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</si>
  <si>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</si>
  <si>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</si>
  <si>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</si>
  <si>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</si>
  <si>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</si>
  <si>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</si>
  <si>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</si>
  <si>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</si>
  <si>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</si>
  <si>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</si>
  <si>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</si>
  <si>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</si>
  <si>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</si>
  <si>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</si>
  <si>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</si>
  <si>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</si>
  <si>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</si>
  <si>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</si>
  <si>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</si>
  <si>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</si>
  <si>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</si>
  <si>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</si>
  <si>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</si>
  <si>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</si>
  <si>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</si>
  <si>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</si>
  <si>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</si>
  <si>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</si>
  <si>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</si>
  <si>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</si>
  <si>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</si>
  <si>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</si>
  <si>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</si>
  <si>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</si>
  <si>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</si>
  <si>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</si>
  <si>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</si>
  <si>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</si>
  <si>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</si>
  <si>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</si>
  <si>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</si>
  <si>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</si>
  <si>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</si>
  <si>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</si>
  <si>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</si>
  <si>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</si>
  <si>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</si>
  <si>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</si>
  <si>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</si>
  <si>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</si>
  <si>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</si>
  <si>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</si>
  <si>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</si>
  <si>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</si>
  <si>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</si>
  <si>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</si>
  <si>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</si>
  <si>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</si>
  <si>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</si>
  <si>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</si>
  <si>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</si>
  <si>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</si>
  <si>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</si>
  <si>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</si>
  <si>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</si>
  <si>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</si>
  <si>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</si>
  <si>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</si>
  <si>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</si>
  <si>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</si>
  <si>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</si>
  <si>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</si>
  <si>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</si>
  <si>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</si>
  <si>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</si>
  <si>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</si>
  <si>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</si>
  <si>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</si>
  <si>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</si>
  <si>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</si>
  <si>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</si>
  <si>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</si>
  <si>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</si>
  <si>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</si>
  <si>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</si>
  <si>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</si>
  <si>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</si>
  <si>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</si>
  <si>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</si>
  <si>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</si>
  <si>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</si>
  <si>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</si>
  <si>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</si>
  <si>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</si>
  <si>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</si>
  <si>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</si>
  <si>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</si>
  <si>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</si>
  <si>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</si>
  <si>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</si>
  <si>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</si>
  <si>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</si>
  <si>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</si>
  <si>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</si>
  <si>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</si>
  <si>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</si>
  <si>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</si>
  <si>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</si>
  <si>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</si>
  <si>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</si>
  <si>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</si>
  <si>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</si>
  <si>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</si>
  <si>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</si>
  <si>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</si>
  <si>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</si>
  <si>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</si>
  <si>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</si>
  <si>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</si>
  <si>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</si>
  <si>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</si>
  <si>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</si>
  <si>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</si>
  <si>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</si>
  <si>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</si>
  <si>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</si>
  <si>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</si>
  <si>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</si>
  <si>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</si>
  <si>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</si>
  <si>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</si>
  <si>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</si>
  <si>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</si>
  <si>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</si>
  <si>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</si>
  <si>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</si>
  <si>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</si>
  <si>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</si>
  <si>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</si>
  <si>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</si>
  <si>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</si>
  <si>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</si>
  <si>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</si>
  <si>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</si>
  <si>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</si>
  <si>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</si>
  <si>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</si>
  <si>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</si>
  <si>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</si>
  <si>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</si>
  <si>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</si>
  <si>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</si>
  <si>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</si>
  <si>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</si>
  <si>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</si>
  <si>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</si>
  <si>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</si>
  <si>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</si>
  <si>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</si>
  <si>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</si>
  <si>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</si>
  <si>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</si>
  <si>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</si>
  <si>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</si>
  <si>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</si>
  <si>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</si>
  <si>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</si>
  <si>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</si>
  <si>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</si>
  <si>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</si>
  <si>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</si>
  <si>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</si>
  <si>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</si>
  <si>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</si>
  <si>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</si>
  <si>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</si>
  <si>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</si>
  <si>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</si>
  <si>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</si>
  <si>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</si>
  <si>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</si>
  <si>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</si>
  <si>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</si>
  <si>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</si>
  <si>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</si>
  <si>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</si>
  <si>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</si>
  <si>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</si>
  <si>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</si>
  <si>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</si>
  <si>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</si>
  <si>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</si>
  <si>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</si>
  <si>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</si>
  <si>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</si>
  <si>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</si>
  <si>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</si>
  <si>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</si>
  <si>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</si>
  <si>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</si>
  <si>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</si>
  <si>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</si>
  <si>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</si>
  <si>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</si>
  <si>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</si>
  <si>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</si>
  <si>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</si>
  <si>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</si>
  <si>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</si>
  <si>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</si>
  <si>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</si>
  <si>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</si>
  <si>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</si>
  <si>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</si>
  <si>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</si>
  <si>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</si>
  <si>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</si>
  <si>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</si>
  <si>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</si>
  <si>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</si>
  <si>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</si>
  <si>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</si>
  <si>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</si>
  <si>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</si>
  <si>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</si>
  <si>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</si>
  <si>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</si>
  <si>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</si>
  <si>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</si>
  <si>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</si>
  <si>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</si>
  <si>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</si>
  <si>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</si>
  <si>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</si>
  <si>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</si>
  <si>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</si>
  <si>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</si>
  <si>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</si>
  <si>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</si>
  <si>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</si>
  <si>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</si>
  <si>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</si>
  <si>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</si>
  <si>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</si>
  <si>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</si>
  <si>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</si>
  <si>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</si>
  <si>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</si>
  <si>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</si>
  <si>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</si>
  <si>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</si>
  <si>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</si>
  <si>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</si>
  <si>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</si>
  <si>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</si>
  <si>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</si>
  <si>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</si>
  <si>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</si>
  <si>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</si>
  <si>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</si>
  <si>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</si>
  <si>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</si>
  <si>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</si>
  <si>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</si>
  <si>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</si>
  <si>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</si>
  <si>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</si>
  <si>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</si>
  <si>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</si>
  <si>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</si>
  <si>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</si>
  <si>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</si>
  <si>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</si>
  <si>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</si>
  <si>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</si>
  <si>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</si>
  <si>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</si>
  <si>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</si>
  <si>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</si>
  <si>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</si>
  <si>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</si>
  <si>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</si>
  <si>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</si>
  <si>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</si>
  <si>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</si>
  <si>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</si>
  <si>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</si>
  <si>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</si>
  <si>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</si>
  <si>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</si>
  <si>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</si>
  <si>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</si>
  <si>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</si>
  <si>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</si>
  <si>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</si>
  <si>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</si>
  <si>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</si>
  <si>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</si>
  <si>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</si>
  <si>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</si>
  <si>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</si>
  <si>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</si>
  <si>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</si>
  <si>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</si>
  <si>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</si>
  <si>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</si>
  <si>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</si>
  <si>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</si>
  <si>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</si>
  <si>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</si>
  <si>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</si>
  <si>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</si>
  <si>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</si>
  <si>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</si>
  <si>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</si>
  <si>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</si>
  <si>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</si>
  <si>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</si>
  <si>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</si>
  <si>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</si>
  <si>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</si>
  <si>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</si>
  <si>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</si>
  <si>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</si>
  <si>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</si>
  <si>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</si>
  <si>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</si>
  <si>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</si>
  <si>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</si>
  <si>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</si>
  <si>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</si>
  <si>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</si>
  <si>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</si>
  <si>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</si>
  <si>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</si>
  <si>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</si>
  <si>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</si>
  <si>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</si>
  <si>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</si>
  <si>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</si>
  <si>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</si>
  <si>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</si>
  <si>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</si>
  <si>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</si>
  <si>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</si>
  <si>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</si>
  <si>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</si>
  <si>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</si>
  <si>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</si>
  <si>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</si>
  <si>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</si>
  <si>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</si>
  <si>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</si>
  <si>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</si>
  <si>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</si>
  <si>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</si>
  <si>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</si>
  <si>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</si>
  <si>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</si>
  <si>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</si>
  <si>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</si>
  <si>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</si>
  <si>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</si>
  <si>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</si>
  <si>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</si>
  <si>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</si>
  <si>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</si>
  <si>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</si>
  <si>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</si>
  <si>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</si>
  <si>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</si>
  <si>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</si>
  <si>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</si>
  <si>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</si>
  <si>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</si>
  <si>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</si>
  <si>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</si>
  <si>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</si>
  <si>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</si>
  <si>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</si>
  <si>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</si>
  <si>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</si>
  <si>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</si>
  <si>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</si>
  <si>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</si>
  <si>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</si>
  <si>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</si>
  <si>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</si>
  <si>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</si>
  <si>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</si>
  <si>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</si>
  <si>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</si>
  <si>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</si>
  <si>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</si>
  <si>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</si>
  <si>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</si>
  <si>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</si>
  <si>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</si>
  <si>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</si>
  <si>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</si>
  <si>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</si>
  <si>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</si>
  <si>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</si>
  <si>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</si>
  <si>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</si>
  <si>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</si>
  <si>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</si>
  <si>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</si>
  <si>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</si>
  <si>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</si>
  <si>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</si>
  <si>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</si>
  <si>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</si>
  <si>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</si>
  <si>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</si>
  <si>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</si>
  <si>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</si>
  <si>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</si>
  <si>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</si>
  <si>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</si>
  <si>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</si>
  <si>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</si>
  <si>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</si>
  <si>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</si>
  <si>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</si>
  <si>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</si>
  <si>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</si>
  <si>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</si>
  <si>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</si>
  <si>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</si>
  <si>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</si>
  <si>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</si>
  <si>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</si>
  <si>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</si>
  <si>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</si>
  <si>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</si>
  <si>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</si>
  <si>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</si>
  <si>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</si>
  <si>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</si>
  <si>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</si>
  <si>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</si>
  <si>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</si>
  <si>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</si>
  <si>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</si>
  <si>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</si>
  <si>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</si>
  <si>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</si>
  <si>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</si>
  <si>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</si>
  <si>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</si>
  <si>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</si>
  <si>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</si>
  <si>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</si>
  <si>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</si>
  <si>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</si>
  <si>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</si>
  <si>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</si>
  <si>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</si>
  <si>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</si>
  <si>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</si>
  <si>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</si>
  <si>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</si>
  <si>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</si>
  <si>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</si>
  <si>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</si>
  <si>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</si>
  <si>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</si>
  <si>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</si>
  <si>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</si>
  <si>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</si>
  <si>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</si>
  <si>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</si>
  <si>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</si>
  <si>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</si>
  <si>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</si>
  <si>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</si>
  <si>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</si>
  <si>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</si>
  <si>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</si>
  <si>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</si>
  <si>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</si>
  <si>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</si>
  <si>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</si>
  <si>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</si>
  <si>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</si>
  <si>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</si>
  <si>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</si>
  <si>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</si>
  <si>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</si>
  <si>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</si>
  <si>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</si>
  <si>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</si>
  <si>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</si>
  <si>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</si>
  <si>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</si>
  <si>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</si>
  <si>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</si>
  <si>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</si>
  <si>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</si>
  <si>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</si>
  <si>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</si>
  <si>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</si>
  <si>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</si>
  <si>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</si>
  <si>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</si>
  <si>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</si>
  <si>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</si>
  <si>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</si>
  <si>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</si>
  <si>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</si>
  <si>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</si>
  <si>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</si>
  <si>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</si>
  <si>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</si>
  <si>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</si>
  <si>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</si>
  <si>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</si>
  <si>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</si>
  <si>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</si>
  <si>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</si>
  <si>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</si>
  <si>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</si>
  <si>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</si>
  <si>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</si>
  <si>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</si>
  <si>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</si>
  <si>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</si>
  <si>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</si>
  <si>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</si>
  <si>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</si>
  <si>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</si>
  <si>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</si>
  <si>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</si>
  <si>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</si>
  <si>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</si>
  <si>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</si>
  <si>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</si>
  <si>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</si>
  <si>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</si>
  <si>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</si>
  <si>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</si>
  <si>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</si>
  <si>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</si>
  <si>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</si>
  <si>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</si>
  <si>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</si>
  <si>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</si>
  <si>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</si>
  <si>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</si>
  <si>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</si>
  <si>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</si>
  <si>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</si>
  <si>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</si>
  <si>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</si>
  <si>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</si>
  <si>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</si>
  <si>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</si>
  <si>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</si>
  <si>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</si>
  <si>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</si>
  <si>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</si>
  <si>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</si>
  <si>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</si>
  <si>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</si>
  <si>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</si>
  <si>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</si>
  <si>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</si>
  <si>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</si>
  <si>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</si>
  <si>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</si>
  <si>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</si>
  <si>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</si>
  <si>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</si>
  <si>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</si>
  <si>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</si>
  <si>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</si>
  <si>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</si>
  <si>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</si>
  <si>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</si>
  <si>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</si>
  <si>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</si>
  <si>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</si>
  <si>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</si>
  <si>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</si>
  <si>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</si>
  <si>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</si>
  <si>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</si>
  <si>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</si>
  <si>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</si>
  <si>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</si>
  <si>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</si>
  <si>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</si>
  <si>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</si>
  <si>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</si>
  <si>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</si>
  <si>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</si>
  <si>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</si>
  <si>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</si>
  <si>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</si>
  <si>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</si>
  <si>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</si>
  <si>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</si>
  <si>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</si>
  <si>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</si>
  <si>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</si>
  <si>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</si>
  <si>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</si>
  <si>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</si>
  <si>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</si>
  <si>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</si>
  <si>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</si>
  <si>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</si>
  <si>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</si>
  <si>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</si>
  <si>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</si>
  <si>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</si>
  <si>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</si>
  <si>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</si>
  <si>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</si>
  <si>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</si>
  <si>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</si>
  <si>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</si>
  <si>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</si>
  <si>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</si>
  <si>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</si>
  <si>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</si>
  <si>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</si>
  <si>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</si>
  <si>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</si>
  <si>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</si>
  <si>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</si>
  <si>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</si>
  <si>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</si>
  <si>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</si>
  <si>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</si>
  <si>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</si>
  <si>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</si>
  <si>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</si>
  <si>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</si>
  <si>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</si>
  <si>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</si>
  <si>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</si>
  <si>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</si>
  <si>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</si>
  <si>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</si>
  <si>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</si>
  <si>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</si>
  <si>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</si>
  <si>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</si>
  <si>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</si>
  <si>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</si>
  <si>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</si>
  <si>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</si>
  <si>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</si>
  <si>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</si>
  <si>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</si>
  <si>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</si>
  <si>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</si>
  <si>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</si>
  <si>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</si>
  <si>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</si>
  <si>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</si>
  <si>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</si>
  <si>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</si>
  <si>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</si>
  <si>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</si>
  <si>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</si>
  <si>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</si>
  <si>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</si>
  <si>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</si>
  <si>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</si>
  <si>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</si>
  <si>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</si>
  <si>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</si>
  <si>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</si>
  <si>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</si>
  <si>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</si>
  <si>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</si>
  <si>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</si>
  <si>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</si>
  <si>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</si>
  <si>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</si>
  <si>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</si>
  <si>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</si>
  <si>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</si>
  <si>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</si>
  <si>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</si>
  <si>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</si>
  <si>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</si>
  <si>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</si>
  <si>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</si>
  <si>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</si>
  <si>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</si>
  <si>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</si>
  <si>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</si>
  <si>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</si>
  <si>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</si>
  <si>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</si>
  <si>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</si>
  <si>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</si>
  <si>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</si>
  <si>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</si>
  <si>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</si>
  <si>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</si>
  <si>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</si>
  <si>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</si>
  <si>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</si>
  <si>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</si>
  <si>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</si>
  <si>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</si>
  <si>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</si>
  <si>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</si>
  <si>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</si>
  <si>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</si>
  <si>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</si>
  <si>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</si>
  <si>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</si>
  <si>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</si>
  <si>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</si>
  <si>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</si>
  <si>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</si>
  <si>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</si>
  <si>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</si>
  <si>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</si>
  <si>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</si>
  <si>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</si>
  <si>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</si>
  <si>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</si>
  <si>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</si>
  <si>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</si>
  <si>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</si>
  <si>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</si>
  <si>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</si>
  <si>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</si>
  <si>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</si>
  <si>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</si>
  <si>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</si>
  <si>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</si>
  <si>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</si>
  <si>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</si>
  <si>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</si>
  <si>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</si>
  <si>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</si>
  <si>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</si>
  <si>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</si>
  <si>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</si>
  <si>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</si>
  <si>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</si>
  <si>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</si>
  <si>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</si>
  <si>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</si>
  <si>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</si>
  <si>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</si>
  <si>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</si>
  <si>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</si>
  <si>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</si>
  <si>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</si>
  <si>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</si>
  <si>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</si>
  <si>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</si>
  <si>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</si>
  <si>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</si>
  <si>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</si>
  <si>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</si>
  <si>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</si>
  <si>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</si>
  <si>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</si>
  <si>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</si>
  <si>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</si>
  <si>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</si>
  <si>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</si>
  <si>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</si>
  <si>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</si>
  <si>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</si>
  <si>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</si>
  <si>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</si>
  <si>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</si>
  <si>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</si>
  <si>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</si>
  <si>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</si>
  <si>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</si>
  <si>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</si>
  <si>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</si>
  <si>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</si>
  <si>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</si>
  <si>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</si>
  <si>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</si>
  <si>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</si>
  <si>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</si>
  <si>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</si>
  <si>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</si>
  <si>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</si>
  <si>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</si>
  <si>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</si>
  <si>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</si>
  <si>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</si>
  <si>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</si>
  <si>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</si>
  <si>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</si>
  <si>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</si>
  <si>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</si>
  <si>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</si>
  <si>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</si>
  <si>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</si>
  <si>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</si>
  <si>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</si>
  <si>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</si>
  <si>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</si>
  <si>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</si>
  <si>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</si>
  <si>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</si>
  <si>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</si>
  <si>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</si>
  <si>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</si>
  <si>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</si>
  <si>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</si>
  <si>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</si>
  <si>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</si>
  <si>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</si>
  <si>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</si>
  <si>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</si>
  <si>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</si>
  <si>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</si>
  <si>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</si>
  <si>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</si>
  <si>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</si>
  <si>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</si>
  <si>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</si>
  <si>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</si>
  <si>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</si>
  <si>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</si>
  <si>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</si>
  <si>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</si>
  <si>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</si>
  <si>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</si>
  <si>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</si>
  <si>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</si>
  <si>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</si>
  <si>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</si>
  <si>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</si>
  <si>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</si>
  <si>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</si>
  <si>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</si>
  <si>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</si>
  <si>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</si>
  <si>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</si>
  <si>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</si>
  <si>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</si>
  <si>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</si>
  <si>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</si>
  <si>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</si>
  <si>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</si>
  <si>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</si>
  <si>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</si>
  <si>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</si>
  <si>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</si>
  <si>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</si>
  <si>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</si>
  <si>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</si>
  <si>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</si>
  <si>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</si>
  <si>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</si>
  <si>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</si>
  <si>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</si>
  <si>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</si>
  <si>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</si>
  <si>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</si>
  <si>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</si>
  <si>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</si>
  <si>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</si>
  <si>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</si>
  <si>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</si>
  <si>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</si>
  <si>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</si>
  <si>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</si>
  <si>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</si>
  <si>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</si>
  <si>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</si>
  <si>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</si>
  <si>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</si>
  <si>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</si>
  <si>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</si>
  <si>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</si>
  <si>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</si>
  <si>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</si>
  <si>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</si>
  <si>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</si>
  <si>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</si>
  <si>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</si>
  <si>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</si>
  <si>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</si>
  <si>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</si>
  <si>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</si>
  <si>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</si>
  <si>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</si>
  <si>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</si>
  <si>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</si>
  <si>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</si>
  <si>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</si>
  <si>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</si>
  <si>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</si>
  <si>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</si>
  <si>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</si>
  <si>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</si>
  <si>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</si>
  <si>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</si>
  <si>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</si>
  <si>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</si>
  <si>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</si>
  <si>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</si>
  <si>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</si>
  <si>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</si>
  <si>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</si>
  <si>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</si>
  <si>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</si>
  <si>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</si>
  <si>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</si>
  <si>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</si>
  <si>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</si>
  <si>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</si>
  <si>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</si>
  <si>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</si>
  <si>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</si>
  <si>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</si>
  <si>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</si>
  <si>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</si>
  <si>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</si>
  <si>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</si>
  <si>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</si>
  <si>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</si>
  <si>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</si>
  <si>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</si>
  <si>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</si>
  <si>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</si>
  <si>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</si>
  <si>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</si>
  <si>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</si>
  <si>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</si>
  <si>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</si>
  <si>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</si>
  <si>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</si>
  <si>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</si>
  <si>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</si>
  <si>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</si>
  <si>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</si>
  <si>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</si>
  <si>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</si>
  <si>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</si>
  <si>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</si>
  <si>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</si>
  <si>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</si>
  <si>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</si>
  <si>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</si>
  <si>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</si>
  <si>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</si>
  <si>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</si>
  <si>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</si>
  <si>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</si>
  <si>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</si>
  <si>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</si>
  <si>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</si>
  <si>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</si>
  <si>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</si>
  <si>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</si>
  <si>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</si>
  <si>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</si>
  <si>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</si>
  <si>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</si>
  <si>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</si>
  <si>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</si>
  <si>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</si>
  <si>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</si>
  <si>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</si>
  <si>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</si>
  <si>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</si>
  <si>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</si>
  <si>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</si>
  <si>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</si>
  <si>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</si>
  <si>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</si>
  <si>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</si>
  <si>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</si>
  <si>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</si>
  <si>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</si>
  <si>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</si>
  <si>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</si>
  <si>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</si>
  <si>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</si>
  <si>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</si>
  <si>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</si>
  <si>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</si>
  <si>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</si>
  <si>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</si>
  <si>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</si>
  <si>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</si>
  <si>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</si>
  <si>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</si>
  <si>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</si>
  <si>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</si>
  <si>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</si>
  <si>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</si>
  <si>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</si>
  <si>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</si>
  <si>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</si>
  <si>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</si>
  <si>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</si>
  <si>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</si>
  <si>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</si>
  <si>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</si>
  <si>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</si>
  <si>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</si>
  <si>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</si>
  <si>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</si>
  <si>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</si>
  <si>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</si>
  <si>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</si>
  <si>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</si>
  <si>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</si>
  <si>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</si>
  <si>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</si>
  <si>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</si>
  <si>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</si>
  <si>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</si>
  <si>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</si>
  <si>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</si>
  <si>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</si>
  <si>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</si>
  <si>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</si>
  <si>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</si>
  <si>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</si>
  <si>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</si>
  <si>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</si>
  <si>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</si>
  <si>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</si>
  <si>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</si>
  <si>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</si>
  <si>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</si>
  <si>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</si>
  <si>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</si>
  <si>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</si>
  <si>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</si>
  <si>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</si>
  <si>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</si>
  <si>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</si>
  <si>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</si>
  <si>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</si>
  <si>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</si>
  <si>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</si>
  <si>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</si>
  <si>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</si>
  <si>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</si>
  <si>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</si>
  <si>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</si>
  <si>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</si>
  <si>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</si>
  <si>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</si>
  <si>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</si>
  <si>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</si>
  <si>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</si>
  <si>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</si>
  <si>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</si>
  <si>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</si>
  <si>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</si>
  <si>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</si>
  <si>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</si>
  <si>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</si>
  <si>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</si>
  <si>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</si>
  <si>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</si>
  <si>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</si>
  <si>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</si>
  <si>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</si>
  <si>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</si>
  <si>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</si>
  <si>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</si>
  <si>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</si>
  <si>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</si>
  <si>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</si>
  <si>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</si>
  <si>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</si>
  <si>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</si>
  <si>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</si>
  <si>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</si>
  <si>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</si>
  <si>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</si>
  <si>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</si>
  <si>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</si>
  <si>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</si>
  <si>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</si>
  <si>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</si>
  <si>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</si>
  <si>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</si>
  <si>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</si>
  <si>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</si>
  <si>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</si>
  <si>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</si>
  <si>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</si>
  <si>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</si>
  <si>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</si>
  <si>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</si>
  <si>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</si>
  <si>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</si>
  <si>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</si>
  <si>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</si>
  <si>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</si>
  <si>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</si>
  <si>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</si>
  <si>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</si>
  <si>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</si>
  <si>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</si>
  <si>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</si>
  <si>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</si>
  <si>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</si>
  <si>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</si>
  <si>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</si>
  <si>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</si>
  <si>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</si>
  <si>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</si>
  <si>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</si>
  <si>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</si>
  <si>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</si>
  <si>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</si>
  <si>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</si>
  <si>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</si>
  <si>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</si>
  <si>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</si>
  <si>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</si>
  <si>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</si>
  <si>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</si>
  <si>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</si>
  <si>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</si>
  <si>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</si>
  <si>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</si>
  <si>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</si>
  <si>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</si>
  <si>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</si>
  <si>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</si>
  <si>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</si>
  <si>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</si>
  <si>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</si>
  <si>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</si>
  <si>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</si>
  <si>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</si>
  <si>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</si>
  <si>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</si>
  <si>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</si>
  <si>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</si>
  <si>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</si>
  <si>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</si>
  <si>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</si>
  <si>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</si>
  <si>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</si>
  <si>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</si>
  <si>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</si>
  <si>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</si>
  <si>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</si>
  <si>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</si>
  <si>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</si>
  <si>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</si>
  <si>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</si>
  <si>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</si>
  <si>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</si>
  <si>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</si>
  <si>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</si>
  <si>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</si>
  <si>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</si>
  <si>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</si>
  <si>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</si>
  <si>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</si>
  <si>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</si>
  <si>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</si>
  <si>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</si>
  <si>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</si>
  <si>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</si>
  <si>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</si>
  <si>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</si>
  <si>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</si>
  <si>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</si>
  <si>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</si>
  <si>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</si>
  <si>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</si>
  <si>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</si>
  <si>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</si>
  <si>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</si>
  <si>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</si>
  <si>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</si>
  <si>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</si>
  <si>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</si>
  <si>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</si>
  <si>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</si>
  <si>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</si>
  <si>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</si>
  <si>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</si>
  <si>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</si>
  <si>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</si>
  <si>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</si>
  <si>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</si>
  <si>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</si>
  <si>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</si>
  <si>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</si>
  <si>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</si>
  <si>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</si>
  <si>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</si>
  <si>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</si>
  <si>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</si>
  <si>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</si>
  <si>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</si>
  <si>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</si>
  <si>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</si>
  <si>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</si>
  <si>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</si>
  <si>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</si>
  <si>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</si>
  <si>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</si>
  <si>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</si>
  <si>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</si>
  <si>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</si>
  <si>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</si>
  <si>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</si>
  <si>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</si>
  <si>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</si>
  <si>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</si>
  <si>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</si>
  <si>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</si>
  <si>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</si>
  <si>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</si>
  <si>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</si>
  <si>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</si>
  <si>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</si>
  <si>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</si>
  <si>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</si>
  <si>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</si>
  <si>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</si>
  <si>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</si>
  <si>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</si>
  <si>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</si>
  <si>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</si>
  <si>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</si>
  <si>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</si>
  <si>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</si>
  <si>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</si>
  <si>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</si>
  <si>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</si>
  <si>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</si>
  <si>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</si>
  <si>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</si>
  <si>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</si>
  <si>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</si>
  <si>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</si>
  <si>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</si>
  <si>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</si>
  <si>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</si>
  <si>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</si>
  <si>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</si>
  <si>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</si>
  <si>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</si>
  <si>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</si>
  <si>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</si>
  <si>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</si>
  <si>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</si>
  <si>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</si>
  <si>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</si>
  <si>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</si>
  <si>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</si>
  <si>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</si>
  <si>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</si>
  <si>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</si>
  <si>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</si>
  <si>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</si>
  <si>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</si>
  <si>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</si>
  <si>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</si>
  <si>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</si>
  <si>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</si>
  <si>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</si>
  <si>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</si>
  <si>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</si>
  <si>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</si>
  <si>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</si>
  <si>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</si>
  <si>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</si>
  <si>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</si>
  <si>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</si>
  <si>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</si>
  <si>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</si>
  <si>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</si>
  <si>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</si>
  <si>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</si>
  <si>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</si>
  <si>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</si>
  <si>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</si>
  <si>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</si>
  <si>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</si>
  <si>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</si>
  <si>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</si>
  <si>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</si>
  <si>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</si>
  <si>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</si>
  <si>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</si>
  <si>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</si>
  <si>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</si>
  <si>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</si>
  <si>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</si>
  <si>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</si>
  <si>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</si>
  <si>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</si>
  <si>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</si>
  <si>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</si>
  <si>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</si>
  <si>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</si>
  <si>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</si>
  <si>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</si>
  <si>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</si>
  <si>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</si>
  <si>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</si>
  <si>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</si>
  <si>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</si>
  <si>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</si>
  <si>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</si>
  <si>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</si>
  <si>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</si>
  <si>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</si>
  <si>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</si>
  <si>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</si>
  <si>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</si>
  <si>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</si>
  <si>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</si>
  <si>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</si>
  <si>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</si>
  <si>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</si>
  <si>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</si>
  <si>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</si>
  <si>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</si>
  <si>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</si>
  <si>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</si>
  <si>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</si>
  <si>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</si>
  <si>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</si>
  <si>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</si>
  <si>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</si>
  <si>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</si>
  <si>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</si>
  <si>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</si>
  <si>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</si>
  <si>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</si>
  <si>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</si>
  <si>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</si>
  <si>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</si>
  <si>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</si>
  <si>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</si>
  <si>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</si>
  <si>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</si>
  <si>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</si>
  <si>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</si>
  <si>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</si>
  <si>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</si>
  <si>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</si>
  <si>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</si>
  <si>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</si>
  <si>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</si>
  <si>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</si>
  <si>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</si>
  <si>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</si>
  <si>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</si>
  <si>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</si>
  <si>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</si>
  <si>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</si>
  <si>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</si>
  <si>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</si>
  <si>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</si>
  <si>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</si>
  <si>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</si>
  <si>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</si>
  <si>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</si>
  <si>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</si>
  <si>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</si>
  <si>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</si>
  <si>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</si>
  <si>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</si>
  <si>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</si>
  <si>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</si>
  <si>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</si>
  <si>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</si>
  <si>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</si>
  <si>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</si>
  <si>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</si>
  <si>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</si>
  <si>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</si>
  <si>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</si>
  <si>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</si>
  <si>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</si>
  <si>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</si>
  <si>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</si>
  <si>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</si>
  <si>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</si>
  <si>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</si>
  <si>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</si>
  <si>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</si>
  <si>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</si>
  <si>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</si>
  <si>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</si>
  <si>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</si>
  <si>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</si>
  <si>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</si>
  <si>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</si>
  <si>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</si>
  <si>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</si>
  <si>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</si>
  <si>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</si>
  <si>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</si>
  <si>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</si>
  <si>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</si>
  <si>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</si>
  <si>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</si>
  <si>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</si>
  <si>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</si>
  <si>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</si>
  <si>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</si>
  <si>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</si>
  <si>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</si>
  <si>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</si>
  <si>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</si>
  <si>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</si>
  <si>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</si>
  <si>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</si>
  <si>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</si>
  <si>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</si>
  <si>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</si>
  <si>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</si>
  <si>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</si>
  <si>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</si>
  <si>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</si>
  <si>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</si>
  <si>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</si>
  <si>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</si>
  <si>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</si>
  <si>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</si>
  <si>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</si>
  <si>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</si>
  <si>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</si>
  <si>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</si>
  <si>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</si>
  <si>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</si>
  <si>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</si>
  <si>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</si>
  <si>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</si>
  <si>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</si>
  <si>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</si>
  <si>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</si>
  <si>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</si>
  <si>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</si>
  <si>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</si>
  <si>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</si>
  <si>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</si>
  <si>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</si>
  <si>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</si>
  <si>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</si>
  <si>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</si>
  <si>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</si>
  <si>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</si>
  <si>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</si>
  <si>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</si>
  <si>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</si>
  <si>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</si>
  <si>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</si>
  <si>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</si>
  <si>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</si>
  <si>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</si>
  <si>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</si>
  <si>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</si>
  <si>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</si>
  <si>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</si>
  <si>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</si>
  <si>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</si>
  <si>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</si>
  <si>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</si>
  <si>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</si>
  <si>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</si>
  <si>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</si>
  <si>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</si>
  <si>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</si>
  <si>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</si>
  <si>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</si>
  <si>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</si>
  <si>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</si>
  <si>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</si>
  <si>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</si>
  <si>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</si>
  <si>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</si>
  <si>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</si>
  <si>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</si>
  <si>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</si>
  <si>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</si>
  <si>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</si>
  <si>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</si>
  <si>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</si>
  <si>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</si>
  <si>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</si>
  <si>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</si>
  <si>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</si>
  <si>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</si>
  <si>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</si>
  <si>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</si>
  <si>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</si>
  <si>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</si>
  <si>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</si>
  <si>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</si>
  <si>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</si>
  <si>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</si>
  <si>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</si>
  <si>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</si>
  <si>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</si>
  <si>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</si>
  <si>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</si>
  <si>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</si>
  <si>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</si>
  <si>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</si>
  <si>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</si>
  <si>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</si>
  <si>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</si>
  <si>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</si>
  <si>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</si>
  <si>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</si>
  <si>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</si>
  <si>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</si>
  <si>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</si>
  <si>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</si>
  <si>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</si>
  <si>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</si>
  <si>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</si>
  <si>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</si>
  <si>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</si>
  <si>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</si>
  <si>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</si>
  <si>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</si>
  <si>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</si>
  <si>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</si>
  <si>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</si>
  <si>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</si>
  <si>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</si>
  <si>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</si>
  <si>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</si>
  <si>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</si>
  <si>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</si>
  <si>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</si>
  <si>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</si>
  <si>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</si>
  <si>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</si>
  <si>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</si>
  <si>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</si>
  <si>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</si>
  <si>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</si>
  <si>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</si>
  <si>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</si>
  <si>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</si>
  <si>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</si>
  <si>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</si>
  <si>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</si>
  <si>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</si>
  <si>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</si>
  <si>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</si>
  <si>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</si>
  <si>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</si>
  <si>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</si>
  <si>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</si>
  <si>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</si>
  <si>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</si>
  <si>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</si>
  <si>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</si>
  <si>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</si>
  <si>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</si>
  <si>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</si>
  <si>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</si>
  <si>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</si>
  <si>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</si>
  <si>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</si>
  <si>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</si>
  <si>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</si>
  <si>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</si>
  <si>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</si>
  <si>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</si>
  <si>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</si>
  <si>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</si>
  <si>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</si>
  <si>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</si>
  <si>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</si>
  <si>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</si>
  <si>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</si>
  <si>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</si>
  <si>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</si>
  <si>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</si>
  <si>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</si>
  <si>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</si>
  <si>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</si>
  <si>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</si>
  <si>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</si>
  <si>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</si>
  <si>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</si>
  <si>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</si>
  <si>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</si>
  <si>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</si>
  <si>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</si>
  <si>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</si>
  <si>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</si>
  <si>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</si>
  <si>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</si>
  <si>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</si>
  <si>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</si>
  <si>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</si>
  <si>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</si>
  <si>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</si>
  <si>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</si>
  <si>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</si>
  <si>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</si>
  <si>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</si>
  <si>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</si>
  <si>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</si>
  <si>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</si>
  <si>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</si>
  <si>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</si>
  <si>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</si>
  <si>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</si>
  <si>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</si>
  <si>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</si>
  <si>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</si>
  <si>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</si>
  <si>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</si>
  <si>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</si>
  <si>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</si>
  <si>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</si>
  <si>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</si>
  <si>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</si>
  <si>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</si>
  <si>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</si>
  <si>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</si>
  <si>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</si>
  <si>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</si>
  <si>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</si>
  <si>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</si>
  <si>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</si>
  <si>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</si>
  <si>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</si>
  <si>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</si>
  <si>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</si>
  <si>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</si>
  <si>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</si>
  <si>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</si>
  <si>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</si>
  <si>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</si>
  <si>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</si>
  <si>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</si>
  <si>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</si>
  <si>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</si>
  <si>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</si>
  <si>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</si>
  <si>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</si>
  <si>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</si>
  <si>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</si>
  <si>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</si>
  <si>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</si>
  <si>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</si>
  <si>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</si>
  <si>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</si>
  <si>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</si>
  <si>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</si>
  <si>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</si>
  <si>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</si>
  <si>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</si>
  <si>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</si>
  <si>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</si>
  <si>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</si>
  <si>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</si>
  <si>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</si>
  <si>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</si>
  <si>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</si>
  <si>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</si>
  <si>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</si>
  <si>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</si>
  <si>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</si>
  <si>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</si>
  <si>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</si>
  <si>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</si>
  <si>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</si>
  <si>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</si>
  <si>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LEGAL-01</t>
  </si>
  <si>
    <t xml:space="preserve">Legal Gate - Privacy/Termini [no browser]</t>
  </si>
  <si>
    <t xml:space="preserve">deriveDocumentStatus: published_at NULL -&gt; draft</t>
  </si>
  <si>
    <t xml:space="preserve">deriveDocumentStatus(doc con published_at=null, [doc])</t>
  </si>
  <si>
    <t xml:space="preserve">Ritorna 'draft'</t>
  </si>
  <si>
    <t xml:space="preserve">#573</t>
  </si>
  <si>
    <t xml:space="preserve">Test puro [no browser], tests/one/legal-gate.spec.ts. Eseguito con successo in questo sandbox.</t>
  </si>
  <si>
    <t xml:space="preserve">LEGAL-02</t>
  </si>
  <si>
    <t xml:space="preserve">deriveDocumentStatus: unica riga pubblicata -&gt; published</t>
  </si>
  <si>
    <t xml:space="preserve">deriveDocumentStatus(doc pubblicato, [doc])</t>
  </si>
  <si>
    <t xml:space="preserve">Ritorna 'published'</t>
  </si>
  <si>
    <t xml:space="preserve">Test puro [no browser]. Eseguito con successo.</t>
  </si>
  <si>
    <t xml:space="preserve">LEGAL-03</t>
  </si>
  <si>
    <t xml:space="preserve">deriveDocumentStatus: riga precedente -&gt; superseded</t>
  </si>
  <si>
    <t xml:space="preserve">deriveDocumentStatus(riga vecchia, [vecchia, nuova])</t>
  </si>
  <si>
    <t xml:space="preserve">La riga vecchia ritorna 'superseded', la nuova 'published'</t>
  </si>
  <si>
    <t xml:space="preserve">LEGAL-04</t>
  </si>
  <si>
    <t xml:space="preserve">Legal Gate - Feature Flag [no browser]</t>
  </si>
  <si>
    <t xml:space="preserve">Registry: LEGAL_TERMS_GATE esiste con defaultValue=false</t>
  </si>
  <si>
    <t xml:space="preserve">Nessuna (lettura registry statico)</t>
  </si>
  <si>
    <t xml:space="preserve">isKnownFlag('LEGAL_TERMS_GATE'), FEATURE_FLAG_REGISTRY.LEGAL_TERMS_GATE.defaultValue</t>
  </si>
  <si>
    <t xml:space="preserve">true / false</t>
  </si>
  <si>
    <t xml:space="preserve">#566</t>
  </si>
  <si>
    <t xml:space="preserve">Test puro [no browser]. Eseguito con successo — garantisce che il flag resti spento di default.</t>
  </si>
  <si>
    <t xml:space="preserve">LEGAL-05</t>
  </si>
  <si>
    <t xml:space="preserve">Registry: allowedScopes coerenti</t>
  </si>
  <si>
    <t xml:space="preserve">getFlagDefinition('LEGAL_TERMS_GATE').allowedScopes</t>
  </si>
  <si>
    <t xml:space="preserve">Include almeno global/environment/user/role/cohort</t>
  </si>
  <si>
    <t xml:space="preserve">LEGAL-06</t>
  </si>
  <si>
    <t xml:space="preserve">evaluateFlag: nessun override -&gt; default (false)</t>
  </si>
  <si>
    <t xml:space="preserve">evaluateFlag('LEGAL_TERMS_GATE', {}, [])</t>
  </si>
  <si>
    <t xml:space="preserve">false</t>
  </si>
  <si>
    <t xml:space="preserve">Test puro [no browser]. Conferma lo stato di produzione oggi (nessun override globale scritto).</t>
  </si>
  <si>
    <t xml:space="preserve">LEGAL-07</t>
  </si>
  <si>
    <t xml:space="preserve">evaluateFlag: override scope=user enabled=true -&gt; true</t>
  </si>
  <si>
    <t xml:space="preserve">evaluateFlag con override user:userId enabled=true</t>
  </si>
  <si>
    <t xml:space="preserve">true</t>
  </si>
  <si>
    <t xml:space="preserve">Test puro [no browser]. Verifica che l'attivazione per un singolo account di test funzionerebbe.</t>
  </si>
  <si>
    <t xml:space="preserve">LEGAL-08</t>
  </si>
  <si>
    <t xml:space="preserve">evaluateFlag: override scope=global enabled=false esplicito -&gt; false</t>
  </si>
  <si>
    <t xml:space="preserve">evaluateFlag con override global enabled=false</t>
  </si>
  <si>
    <t xml:space="preserve">false (nessuna sorpresa)</t>
  </si>
  <si>
    <t xml:space="preserve">LEGAL-09</t>
  </si>
  <si>
    <t xml:space="preserve">Legal Gate - Route pubbliche</t>
  </si>
  <si>
    <t xml:space="preserve">/terms raggiungibile senza login</t>
  </si>
  <si>
    <t xml:space="preserve">Nessuna (route pubblica)</t>
  </si>
  <si>
    <t xml:space="preserve">goto /terms senza sessione</t>
  </si>
  <si>
    <t xml:space="preserve">Heading 'Termini di Servizio' visibile, testo 'Documento in preparazione' o versione (0 documenti PUBLISHED oggi)</t>
  </si>
  <si>
    <t xml:space="preserve">#569</t>
  </si>
  <si>
    <t xml:space="preserve">Richiede deploy live (test.skip(!isRealDeployment)). Non eseguibile in questo sandbox.</t>
  </si>
  <si>
    <t xml:space="preserve">LEGAL-10</t>
  </si>
  <si>
    <t xml:space="preserve">/privacy raggiungibile senza login</t>
  </si>
  <si>
    <t xml:space="preserve">goto /privacy senza sessione</t>
  </si>
  <si>
    <t xml:space="preserve">Heading 'Informativa Privacy' visibile, testo 'Documento in preparazione' o versione</t>
  </si>
  <si>
    <t xml:space="preserve">LEGAL-11</t>
  </si>
  <si>
    <t xml:space="preserve">Legal Gate - Signup</t>
  </si>
  <si>
    <t xml:space="preserve">Signup Parent: nessun checkbox Termini/Privacy/Marketing con gate OFF</t>
  </si>
  <si>
    <t xml:space="preserve">goto /auth/login -&gt; Registrati</t>
  </si>
  <si>
    <t xml:space="preserve">Nessun testo 'Termini di servizio'/'comunicazioni commerciali' visibile (LEGAL_TERMS_GATE risolve false)</t>
  </si>
  <si>
    <t xml:space="preserve">#568</t>
  </si>
  <si>
    <t xml:space="preserve">Richiede deploy live. Regressione: verifica che il gate OFF non alteri il signup esistente.</t>
  </si>
  <si>
    <t xml:space="preserve">LEGAL-12</t>
  </si>
  <si>
    <t xml:space="preserve">Signup Parent: messaggio post-submit invariato con gate OFF</t>
  </si>
  <si>
    <t xml:space="preserve">goto /auth/login -&gt; Registrati -&gt; verifica UI form</t>
  </si>
  <si>
    <t xml:space="preserve">Bottone 'Registrati' visibile, nessuna regressione testuale</t>
  </si>
  <si>
    <t xml:space="preserve">Richiede deploy live. Copertura equivalente via LEGAL-06 (evaluateFlag false).</t>
  </si>
  <si>
    <t xml:space="preserve">LEGAL-13</t>
  </si>
  <si>
    <t xml:space="preserve">Legal Gate - Creazione bambino</t>
  </si>
  <si>
    <t xml:space="preserve">AddKidForm: nessun checkbox dichiarazione genitoriale con gate OFF</t>
  </si>
  <si>
    <t xml:space="preserve">Login Parent reale</t>
  </si>
  <si>
    <t xml:space="preserve">Login Parent -&gt; Profilo -&gt; Bambini -&gt; Aggiungi bambino</t>
  </si>
  <si>
    <t xml:space="preserve">Nessun checkbox dichiarazione genitoriale visibile (LEGAL_TERMS_GATE risolve false)</t>
  </si>
  <si>
    <t xml:space="preserve">#570</t>
  </si>
  <si>
    <t xml:space="preserve">Richiede login Parent reale + navigazione. Copertura equivalente gia' garantita da LEGAL-06 + revisione statica del gating.</t>
  </si>
  <si>
    <t xml:space="preserve">LEGAL-14</t>
  </si>
  <si>
    <t xml:space="preserve">Legal Gate - Marketing consent</t>
  </si>
  <si>
    <t xml:space="preserve">Impostazioni: updateMarketingConsentAction aggiorna ancora il consenso (regressione)</t>
  </si>
  <si>
    <t xml:space="preserve">Login Parent -&gt; Impostazioni Privacy -&gt; toggle consenso marketing</t>
  </si>
  <si>
    <t xml:space="preserve">profiles.marketing_consent aggiornato, nessuna regressione visibile (estensione consent_events invisibile lato UI)</t>
  </si>
  <si>
    <t xml:space="preserve">#567</t>
  </si>
  <si>
    <t xml:space="preserve">Copertura di regressione equivalente gia' garantita dalla suite Impostazioni Privacy esistente.</t>
  </si>
  <si>
    <t xml:space="preserve">LEGAL-15</t>
  </si>
  <si>
    <t xml:space="preserve">Legal Gate - RLS</t>
  </si>
  <si>
    <t xml:space="preserve">legal_documents: SELECT anonimo bloccato</t>
  </si>
  <si>
    <t xml:space="preserve">Verifica read-only via Supabase MCP (POST-CHECK migration_27)</t>
  </si>
  <si>
    <t xml:space="preserve">Lettura policy live: 'Legal documents: lettura autenticata', to authenticated, qual: true — nessuna policy 'to anon'</t>
  </si>
  <si>
    <t xml:space="preserve">Nessuna policy anonima trovata (verificato)</t>
  </si>
  <si>
    <t xml:space="preserve">#572</t>
  </si>
  <si>
    <t xml:space="preserve">Verifica STATICA (lettura policy), non un test Playwright eseguito. Prova comportamentale reale richiede una anon key + documento PUBLISHED reale (0 righe oggi) — deferita a Fabrizio al momento della pubblicazione.</t>
  </si>
  <si>
    <t xml:space="preserve">LEGAL-16</t>
  </si>
  <si>
    <t xml:space="preserve">parental_declarations: INSERT rifiuta un kid_id non del genitore</t>
  </si>
  <si>
    <t xml:space="preserve">Lettura policy live: WITH CHECK auth.uid()=parent_user_id AND EXISTS kids.parent_id=parent_user_id</t>
  </si>
  <si>
    <t xml:space="preserve">Struttura della policy verificata coerente con il requisito (verificato)</t>
  </si>
  <si>
    <t xml:space="preserve">Verifica STATICA (lettura policy), non un test Playwright eseguito. Prova comportamentale reale richiederebbe 2 account Parent di test con bambini reciprocamente noti (fixture TEST-marked non create) — deferita a Fabrizio o a una futura estensione E2E.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</si>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</sst>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1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tru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row r="501" customFormat="false" ht="15" hidden="false" customHeight="false" outlineLevel="0" collapsed="false">
      <c r="A501" s="10" t="s">
        <v>2859</v>
      </c>
      <c r="B501" s="10" t="s">
        <v>2860</v>
      </c>
      <c r="C501" s="10" t="s">
        <v>2861</v>
      </c>
      <c r="D501" s="10" t="s">
        <v>2688</v>
      </c>
      <c r="E501" s="10" t="s">
        <v>2862</v>
      </c>
      <c r="F501" s="10" t="s">
        <v>2863</v>
      </c>
      <c r="G501" s="10" t="s">
        <v>538</v>
      </c>
      <c r="H501" s="10" t="str">
        <f aca="false">IF(G501="BUG","BUG-"&amp;A501,IF(G501="FUNCTIONAL","FUNCTIONAL-"&amp;A501,""))</f>
        <v/>
      </c>
      <c r="I501" s="10" t="s">
        <v>65</v>
      </c>
      <c r="J501" s="10" t="s">
        <v>2864</v>
      </c>
      <c r="L501" s="11" t="s">
        <v>2865</v>
      </c>
    </row>
    <row r="502" customFormat="false" ht="15" hidden="false" customHeight="false" outlineLevel="0" collapsed="false">
      <c r="A502" s="10" t="s">
        <v>2866</v>
      </c>
      <c r="B502" s="10" t="s">
        <v>2860</v>
      </c>
      <c r="C502" s="10" t="s">
        <v>2867</v>
      </c>
      <c r="D502" s="10" t="s">
        <v>2688</v>
      </c>
      <c r="E502" s="10" t="s">
        <v>2868</v>
      </c>
      <c r="F502" s="10" t="s">
        <v>2869</v>
      </c>
      <c r="G502" s="10" t="s">
        <v>538</v>
      </c>
      <c r="H502" s="10" t="str">
        <f aca="false">IF(G502="BUG","BUG-"&amp;A502,IF(G502="FUNCTIONAL","FUNCTIONAL-"&amp;A502,""))</f>
        <v/>
      </c>
      <c r="I502" s="10" t="s">
        <v>65</v>
      </c>
      <c r="J502" s="10" t="s">
        <v>2864</v>
      </c>
      <c r="L502" s="11" t="s">
        <v>2870</v>
      </c>
    </row>
    <row r="503" customFormat="false" ht="15" hidden="false" customHeight="false" outlineLevel="0" collapsed="false">
      <c r="A503" s="10" t="s">
        <v>2871</v>
      </c>
      <c r="B503" s="10" t="s">
        <v>2860</v>
      </c>
      <c r="C503" s="10" t="s">
        <v>2872</v>
      </c>
      <c r="D503" s="10" t="s">
        <v>2688</v>
      </c>
      <c r="E503" s="10" t="s">
        <v>2873</v>
      </c>
      <c r="F503" s="10" t="s">
        <v>2874</v>
      </c>
      <c r="G503" s="10" t="s">
        <v>538</v>
      </c>
      <c r="H503" s="10" t="str">
        <f aca="false">IF(G503="BUG","BUG-"&amp;A503,IF(G503="FUNCTIONAL","FUNCTIONAL-"&amp;A503,""))</f>
        <v/>
      </c>
      <c r="I503" s="10" t="s">
        <v>65</v>
      </c>
      <c r="J503" s="10" t="s">
        <v>2864</v>
      </c>
      <c r="L503" s="11" t="s">
        <v>2870</v>
      </c>
    </row>
    <row r="504" customFormat="false" ht="15" hidden="false" customHeight="false" outlineLevel="0" collapsed="false">
      <c r="A504" s="10" t="s">
        <v>2875</v>
      </c>
      <c r="B504" s="10" t="s">
        <v>2876</v>
      </c>
      <c r="C504" s="10" t="s">
        <v>2877</v>
      </c>
      <c r="D504" s="10" t="s">
        <v>2878</v>
      </c>
      <c r="E504" s="10" t="s">
        <v>2879</v>
      </c>
      <c r="F504" s="10" t="s">
        <v>2880</v>
      </c>
      <c r="G504" s="10" t="s">
        <v>538</v>
      </c>
      <c r="H504" s="10" t="str">
        <f aca="false">IF(G504="BUG","BUG-"&amp;A504,IF(G504="FUNCTIONAL","FUNCTIONAL-"&amp;A504,""))</f>
        <v/>
      </c>
      <c r="I504" s="10" t="s">
        <v>42</v>
      </c>
      <c r="J504" s="10" t="s">
        <v>2881</v>
      </c>
      <c r="L504" s="11" t="s">
        <v>2882</v>
      </c>
    </row>
    <row r="505" customFormat="false" ht="15" hidden="false" customHeight="false" outlineLevel="0" collapsed="false">
      <c r="A505" s="10" t="s">
        <v>2883</v>
      </c>
      <c r="B505" s="10" t="s">
        <v>2876</v>
      </c>
      <c r="C505" s="10" t="s">
        <v>2884</v>
      </c>
      <c r="D505" s="10" t="s">
        <v>61</v>
      </c>
      <c r="E505" s="10" t="s">
        <v>2885</v>
      </c>
      <c r="F505" s="10" t="s">
        <v>2886</v>
      </c>
      <c r="G505" s="10" t="s">
        <v>538</v>
      </c>
      <c r="H505" s="10" t="str">
        <f aca="false">IF(G505="BUG","BUG-"&amp;A505,IF(G505="FUNCTIONAL","FUNCTIONAL-"&amp;A505,""))</f>
        <v/>
      </c>
      <c r="I505" s="10" t="s">
        <v>65</v>
      </c>
      <c r="J505" s="10" t="s">
        <v>2881</v>
      </c>
      <c r="L505" s="11" t="s">
        <v>2870</v>
      </c>
    </row>
    <row r="506" customFormat="false" ht="15" hidden="false" customHeight="false" outlineLevel="0" collapsed="false">
      <c r="A506" s="10" t="s">
        <v>2887</v>
      </c>
      <c r="B506" s="10" t="s">
        <v>2876</v>
      </c>
      <c r="C506" s="10" t="s">
        <v>2888</v>
      </c>
      <c r="D506" s="10" t="s">
        <v>61</v>
      </c>
      <c r="E506" s="10" t="s">
        <v>2889</v>
      </c>
      <c r="F506" s="10" t="s">
        <v>2890</v>
      </c>
      <c r="G506" s="10" t="s">
        <v>538</v>
      </c>
      <c r="H506" s="10" t="str">
        <f aca="false">IF(G506="BUG","BUG-"&amp;A506,IF(G506="FUNCTIONAL","FUNCTIONAL-"&amp;A506,""))</f>
        <v/>
      </c>
      <c r="I506" s="10" t="s">
        <v>42</v>
      </c>
      <c r="J506" s="10" t="s">
        <v>2881</v>
      </c>
      <c r="L506" s="11" t="s">
        <v>2891</v>
      </c>
    </row>
    <row r="507" customFormat="false" ht="15" hidden="false" customHeight="false" outlineLevel="0" collapsed="false">
      <c r="A507" s="10" t="s">
        <v>2892</v>
      </c>
      <c r="B507" s="10" t="s">
        <v>2876</v>
      </c>
      <c r="C507" s="10" t="s">
        <v>2893</v>
      </c>
      <c r="D507" s="10" t="s">
        <v>61</v>
      </c>
      <c r="E507" s="10" t="s">
        <v>2894</v>
      </c>
      <c r="F507" s="10" t="s">
        <v>2895</v>
      </c>
      <c r="G507" s="10" t="s">
        <v>538</v>
      </c>
      <c r="H507" s="10" t="str">
        <f aca="false">IF(G507="BUG","BUG-"&amp;A507,IF(G507="FUNCTIONAL","FUNCTIONAL-"&amp;A507,""))</f>
        <v/>
      </c>
      <c r="I507" s="10" t="s">
        <v>56</v>
      </c>
      <c r="J507" s="10" t="s">
        <v>2881</v>
      </c>
      <c r="L507" s="11" t="s">
        <v>2896</v>
      </c>
    </row>
    <row r="508" customFormat="false" ht="15" hidden="false" customHeight="false" outlineLevel="0" collapsed="false">
      <c r="A508" s="10" t="s">
        <v>2897</v>
      </c>
      <c r="B508" s="10" t="s">
        <v>2876</v>
      </c>
      <c r="C508" s="10" t="s">
        <v>2898</v>
      </c>
      <c r="D508" s="10" t="s">
        <v>61</v>
      </c>
      <c r="E508" s="10" t="s">
        <v>2899</v>
      </c>
      <c r="F508" s="10" t="s">
        <v>2900</v>
      </c>
      <c r="G508" s="10" t="s">
        <v>538</v>
      </c>
      <c r="H508" s="10" t="str">
        <f aca="false">IF(G508="BUG","BUG-"&amp;A508,IF(G508="FUNCTIONAL","FUNCTIONAL-"&amp;A508,""))</f>
        <v/>
      </c>
      <c r="I508" s="10" t="s">
        <v>65</v>
      </c>
      <c r="J508" s="10" t="s">
        <v>2881</v>
      </c>
      <c r="L508" s="11" t="s">
        <v>2870</v>
      </c>
    </row>
    <row r="509" customFormat="false" ht="15" hidden="false" customHeight="false" outlineLevel="0" collapsed="false">
      <c r="A509" s="10" t="s">
        <v>2901</v>
      </c>
      <c r="B509" s="10" t="s">
        <v>2902</v>
      </c>
      <c r="C509" s="10" t="s">
        <v>2903</v>
      </c>
      <c r="D509" s="10" t="s">
        <v>2904</v>
      </c>
      <c r="E509" s="10" t="s">
        <v>2905</v>
      </c>
      <c r="F509" s="10" t="s">
        <v>2906</v>
      </c>
      <c r="G509" s="10" t="s">
        <v>74</v>
      </c>
      <c r="H509" s="10" t="str">
        <f aca="false">IF(G509="BUG","BUG-"&amp;A509,IF(G509="FUNCTIONAL","FUNCTIONAL-"&amp;A509,""))</f>
        <v/>
      </c>
      <c r="I509" s="10" t="s">
        <v>42</v>
      </c>
      <c r="J509" s="10" t="s">
        <v>2907</v>
      </c>
      <c r="L509" s="11" t="s">
        <v>2908</v>
      </c>
    </row>
    <row r="510" customFormat="false" ht="15" hidden="false" customHeight="false" outlineLevel="0" collapsed="false">
      <c r="A510" s="10" t="s">
        <v>2909</v>
      </c>
      <c r="B510" s="10" t="s">
        <v>2902</v>
      </c>
      <c r="C510" s="10" t="s">
        <v>2910</v>
      </c>
      <c r="D510" s="10" t="s">
        <v>2904</v>
      </c>
      <c r="E510" s="10" t="s">
        <v>2911</v>
      </c>
      <c r="F510" s="10" t="s">
        <v>2912</v>
      </c>
      <c r="G510" s="10" t="s">
        <v>74</v>
      </c>
      <c r="H510" s="10" t="str">
        <f aca="false">IF(G510="BUG","BUG-"&amp;A510,IF(G510="FUNCTIONAL","FUNCTIONAL-"&amp;A510,""))</f>
        <v/>
      </c>
      <c r="I510" s="10" t="s">
        <v>42</v>
      </c>
      <c r="J510" s="10" t="s">
        <v>2907</v>
      </c>
      <c r="L510" s="11" t="s">
        <v>2908</v>
      </c>
    </row>
    <row r="511" customFormat="false" ht="15" hidden="false" customHeight="false" outlineLevel="0" collapsed="false">
      <c r="A511" s="10" t="s">
        <v>2913</v>
      </c>
      <c r="B511" s="10" t="s">
        <v>2914</v>
      </c>
      <c r="C511" s="10" t="s">
        <v>2915</v>
      </c>
      <c r="D511" s="10" t="s">
        <v>61</v>
      </c>
      <c r="E511" s="10" t="s">
        <v>2916</v>
      </c>
      <c r="F511" s="10" t="s">
        <v>2917</v>
      </c>
      <c r="G511" s="10" t="s">
        <v>74</v>
      </c>
      <c r="H511" s="10" t="str">
        <f aca="false">IF(G511="BUG","BUG-"&amp;A511,IF(G511="FUNCTIONAL","FUNCTIONAL-"&amp;A511,""))</f>
        <v/>
      </c>
      <c r="I511" s="10" t="s">
        <v>42</v>
      </c>
      <c r="J511" s="10" t="s">
        <v>2918</v>
      </c>
      <c r="L511" s="11" t="s">
        <v>2919</v>
      </c>
    </row>
    <row r="512" customFormat="false" ht="15" hidden="false" customHeight="false" outlineLevel="0" collapsed="false">
      <c r="A512" s="10" t="s">
        <v>2920</v>
      </c>
      <c r="B512" s="10" t="s">
        <v>2914</v>
      </c>
      <c r="C512" s="10" t="s">
        <v>2921</v>
      </c>
      <c r="D512" s="10" t="s">
        <v>61</v>
      </c>
      <c r="E512" s="10" t="s">
        <v>2922</v>
      </c>
      <c r="F512" s="10" t="s">
        <v>2923</v>
      </c>
      <c r="G512" s="10" t="s">
        <v>74</v>
      </c>
      <c r="H512" s="10" t="str">
        <f aca="false">IF(G512="BUG","BUG-"&amp;A512,IF(G512="FUNCTIONAL","FUNCTIONAL-"&amp;A512,""))</f>
        <v/>
      </c>
      <c r="I512" s="10" t="s">
        <v>56</v>
      </c>
      <c r="J512" s="10" t="s">
        <v>2918</v>
      </c>
      <c r="L512" s="11" t="s">
        <v>2924</v>
      </c>
    </row>
    <row r="513" customFormat="false" ht="15" hidden="false" customHeight="false" outlineLevel="0" collapsed="false">
      <c r="A513" s="10" t="s">
        <v>2925</v>
      </c>
      <c r="B513" s="10" t="s">
        <v>2926</v>
      </c>
      <c r="C513" s="10" t="s">
        <v>2927</v>
      </c>
      <c r="D513" s="10" t="s">
        <v>2928</v>
      </c>
      <c r="E513" s="10" t="s">
        <v>2929</v>
      </c>
      <c r="F513" s="10" t="s">
        <v>2930</v>
      </c>
      <c r="G513" s="10" t="s">
        <v>74</v>
      </c>
      <c r="H513" s="10" t="str">
        <f aca="false">IF(G513="BUG","BUG-"&amp;A513,IF(G513="FUNCTIONAL","FUNCTIONAL-"&amp;A513,""))</f>
        <v/>
      </c>
      <c r="I513" s="10" t="s">
        <v>56</v>
      </c>
      <c r="J513" s="10" t="s">
        <v>2931</v>
      </c>
      <c r="L513" s="11" t="s">
        <v>2932</v>
      </c>
    </row>
    <row r="514" customFormat="false" ht="15" hidden="false" customHeight="false" outlineLevel="0" collapsed="false">
      <c r="A514" s="10" t="s">
        <v>2933</v>
      </c>
      <c r="B514" s="10" t="s">
        <v>2934</v>
      </c>
      <c r="C514" s="10" t="s">
        <v>2935</v>
      </c>
      <c r="D514" s="10" t="s">
        <v>2928</v>
      </c>
      <c r="E514" s="10" t="s">
        <v>2936</v>
      </c>
      <c r="F514" s="10" t="s">
        <v>2937</v>
      </c>
      <c r="G514" s="10" t="s">
        <v>74</v>
      </c>
      <c r="H514" s="10" t="str">
        <f aca="false">IF(G514="BUG","BUG-"&amp;A514,IF(G514="FUNCTIONAL","FUNCTIONAL-"&amp;A514,""))</f>
        <v/>
      </c>
      <c r="I514" s="10" t="s">
        <v>56</v>
      </c>
      <c r="J514" s="10" t="s">
        <v>2938</v>
      </c>
      <c r="L514" s="11" t="s">
        <v>2939</v>
      </c>
    </row>
    <row r="515" customFormat="false" ht="15" hidden="false" customHeight="false" outlineLevel="0" collapsed="false">
      <c r="A515" s="10" t="s">
        <v>2940</v>
      </c>
      <c r="B515" s="10" t="s">
        <v>2941</v>
      </c>
      <c r="C515" s="10" t="s">
        <v>2942</v>
      </c>
      <c r="D515" s="10" t="s">
        <v>2943</v>
      </c>
      <c r="E515" s="10" t="s">
        <v>2944</v>
      </c>
      <c r="F515" s="10" t="s">
        <v>2945</v>
      </c>
      <c r="G515" s="10" t="s">
        <v>538</v>
      </c>
      <c r="H515" s="10" t="str">
        <f aca="false">IF(G515="BUG","BUG-"&amp;A515,IF(G515="FUNCTIONAL","FUNCTIONAL-"&amp;A515,""))</f>
        <v/>
      </c>
      <c r="I515" s="10" t="s">
        <v>42</v>
      </c>
      <c r="J515" s="10" t="s">
        <v>2946</v>
      </c>
      <c r="L515" s="11" t="s">
        <v>2947</v>
      </c>
    </row>
    <row r="516" customFormat="false" ht="15" hidden="false" customHeight="false" outlineLevel="0" collapsed="false">
      <c r="A516" s="10" t="s">
        <v>2948</v>
      </c>
      <c r="B516" s="10" t="s">
        <v>2941</v>
      </c>
      <c r="C516" s="10" t="s">
        <v>2949</v>
      </c>
      <c r="D516" s="10" t="s">
        <v>2943</v>
      </c>
      <c r="E516" s="10" t="s">
        <v>2950</v>
      </c>
      <c r="F516" s="10" t="s">
        <v>2951</v>
      </c>
      <c r="G516" s="10" t="s">
        <v>538</v>
      </c>
      <c r="H516" s="10" t="str">
        <f aca="false">IF(G516="BUG","BUG-"&amp;A516,IF(G516="FUNCTIONAL","FUNCTIONAL-"&amp;A516,""))</f>
        <v/>
      </c>
      <c r="I516" s="10" t="s">
        <v>42</v>
      </c>
      <c r="J516" s="10" t="s">
        <v>2946</v>
      </c>
      <c r="L516" s="11" t="s">
        <v>2952</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2953</v>
      </c>
    </row>
    <row r="2" customFormat="false" ht="15" hidden="false" customHeight="true" outlineLevel="0" collapsed="false">
      <c r="A2" s="4" t="s">
        <v>32</v>
      </c>
      <c r="B2" s="4" t="s">
        <v>2954</v>
      </c>
      <c r="D2" s="4" t="s">
        <v>27</v>
      </c>
      <c r="E2" s="4" t="s">
        <v>2955</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365</v>
      </c>
      <c r="D6" s="6" t="s">
        <v>201</v>
      </c>
      <c r="E6" s="21" t="n">
        <f aca="false">COUNTIF('Test Case'!B:B,"Genitori - Attivita")</f>
        <v>16</v>
      </c>
    </row>
    <row r="7" customFormat="false" ht="15" hidden="false" customHeight="true" outlineLevel="0" collapsed="false">
      <c r="A7" s="8" t="s">
        <v>2956</v>
      </c>
      <c r="B7" s="22" t="n">
        <f aca="false">COUNTA('Test Case'!A2:A10000)</f>
        <v>515</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7</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2026-08-25T09:16:21Z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