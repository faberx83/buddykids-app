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1" autoFilterDateGrouping="1"/>
  </bookViews>
  <sheets>
    <sheet xmlns:r="http://schemas.openxmlformats.org/officeDocument/2006/relationships" name="Legenda" sheetId="1" state="visible" r:id="rId1"/>
    <sheet xmlns:r="http://schemas.openxmlformats.org/officeDocument/2006/relationships" name="Test Case" sheetId="2" state="visible" r:id="rId2"/>
    <sheet xmlns:r="http://schemas.openxmlformats.org/officeDocument/2006/relationships" name="Riepilogo" sheetId="3" state="visible" r:id="rId3"/>
  </sheets>
  <definedNames>
    <definedName name="_xlnm._FilterDatabase" localSheetId="1" hidden="1">'Test Case'!$A$1:$L$101</definedName>
  </definedNames>
  <calcPr calcId="124519" fullCalcOnLoad="1" refMode="A1" iterate="0" iterateCount="100" iterateDelta="0.0001"/>
</workbook>
</file>

<file path=xl/styles.xml><?xml version="1.0" encoding="utf-8"?>
<styleSheet xmlns="http://schemas.openxmlformats.org/spreadsheetml/2006/main">
  <numFmts count="0"/>
  <fonts count="10">
    <font>
      <name val="Calibri"/>
      <charset val="1"/>
      <family val="2"/>
      <color theme="1"/>
      <sz val="11"/>
    </font>
    <font>
      <name val="Arial"/>
      <family val="0"/>
      <sz val="10"/>
    </font>
    <font>
      <name val="Arial"/>
      <family val="0"/>
      <sz val="10"/>
    </font>
    <font>
      <name val="Arial"/>
      <family val="0"/>
      <sz val="10"/>
    </font>
    <font>
      <name val="Arial"/>
      <charset val="1"/>
      <family val="2"/>
      <b val="1"/>
      <color rgb="FF1A1D2E"/>
      <sz val="16"/>
    </font>
    <font>
      <name val="Arial"/>
      <charset val="1"/>
      <family val="2"/>
      <i val="1"/>
      <color rgb="FF6B7280"/>
      <sz val="10"/>
    </font>
    <font>
      <name val="Arial"/>
      <charset val="1"/>
      <family val="2"/>
      <b val="1"/>
      <color rgb="FFFFFFFF"/>
      <sz val="10"/>
    </font>
    <font>
      <name val="Arial"/>
      <charset val="1"/>
      <family val="2"/>
      <sz val="10"/>
    </font>
    <font>
      <name val="Arial"/>
      <charset val="1"/>
      <family val="2"/>
      <b val="1"/>
      <sz val="10"/>
    </font>
    <font>
      <name val="Arial"/>
      <charset val="1"/>
      <family val="2"/>
      <b val="1"/>
      <sz val="13"/>
    </font>
  </fonts>
  <fills count="4">
    <fill>
      <patternFill/>
    </fill>
    <fill>
      <patternFill patternType="gray125"/>
    </fill>
    <fill>
      <patternFill patternType="solid">
        <fgColor rgb="FF1A1D2E"/>
        <bgColor rgb="FF333300"/>
      </patternFill>
    </fill>
    <fill>
      <patternFill patternType="solid">
        <fgColor theme="0" tint="-0.05"/>
        <bgColor rgb="FFEDEFF3"/>
      </patternFill>
    </fill>
  </fills>
  <borders count="2">
    <border>
      <left/>
      <right/>
      <top/>
      <bottom/>
      <diagonal/>
    </border>
    <border>
      <left style="thin">
        <color rgb="FFD9D9D9"/>
      </left>
      <right style="thin">
        <color rgb="FFD9D9D9"/>
      </right>
      <top style="thin">
        <color rgb="FFD9D9D9"/>
      </top>
      <bottom style="thin">
        <color rgb="FFD9D9D9"/>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1">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0" applyAlignment="1" pivotButton="0" quotePrefix="0" xfId="0">
      <alignment horizontal="general" vertical="bottom"/>
    </xf>
    <xf numFmtId="0" fontId="6" fillId="2" borderId="0" applyAlignment="1" pivotButton="0" quotePrefix="0" xfId="0">
      <alignment horizontal="general" vertical="top" wrapText="1"/>
    </xf>
    <xf numFmtId="0" fontId="7" fillId="0" borderId="0" applyAlignment="1" pivotButton="0" quotePrefix="0" xfId="0">
      <alignment horizontal="general" vertical="bottom"/>
    </xf>
    <xf numFmtId="0" fontId="7" fillId="0" borderId="0" applyAlignment="1" pivotButton="0" quotePrefix="0" xfId="0">
      <alignment horizontal="general" vertical="top" wrapText="1"/>
    </xf>
    <xf numFmtId="0" fontId="8" fillId="0" borderId="0" applyAlignment="1" pivotButton="0" quotePrefix="0" xfId="0">
      <alignment horizontal="general" vertical="bottom"/>
    </xf>
    <xf numFmtId="0" fontId="7" fillId="0" borderId="0" applyAlignment="1" pivotButton="0" quotePrefix="0" xfId="0">
      <alignment horizontal="general" vertical="top" wrapText="1"/>
    </xf>
    <xf numFmtId="0" fontId="0" fillId="0" borderId="0" applyAlignment="1" pivotButton="0" quotePrefix="0" xfId="0">
      <alignment horizontal="center" vertical="center"/>
    </xf>
    <xf numFmtId="0" fontId="0" fillId="0" borderId="0" applyAlignment="1" pivotButton="0" quotePrefix="0" xfId="0">
      <alignment horizontal="left" vertical="center"/>
    </xf>
    <xf numFmtId="0" fontId="6" fillId="2" borderId="1" applyAlignment="1" pivotButton="0" quotePrefix="0" xfId="0">
      <alignment horizontal="center" vertical="center" wrapText="1"/>
    </xf>
    <xf numFmtId="0" fontId="6" fillId="2" borderId="0" applyAlignment="1" pivotButton="0" quotePrefix="0" xfId="0">
      <alignment horizontal="center" vertical="center" wrapText="1"/>
    </xf>
    <xf numFmtId="0" fontId="8" fillId="3" borderId="1" applyAlignment="1" pivotButton="0" quotePrefix="0" xfId="0">
      <alignment horizontal="center" vertical="center" wrapText="1"/>
    </xf>
    <xf numFmtId="0" fontId="7" fillId="0" borderId="1" applyAlignment="1" pivotButton="0" quotePrefix="0" xfId="0">
      <alignment horizontal="center" vertical="center" wrapText="1"/>
    </xf>
    <xf numFmtId="0" fontId="7" fillId="0" borderId="1" applyAlignment="1" pivotButton="0" quotePrefix="0" xfId="0">
      <alignment horizontal="left" vertical="center" wrapText="1"/>
    </xf>
    <xf numFmtId="0" fontId="8" fillId="0" borderId="1" applyAlignment="1" pivotButton="0" quotePrefix="0" xfId="0">
      <alignment horizontal="center" vertical="center" wrapText="1"/>
    </xf>
    <xf numFmtId="0" fontId="9" fillId="0" borderId="0" applyAlignment="1" pivotButton="0" quotePrefix="0" xfId="0">
      <alignment horizontal="general" vertical="bottom"/>
    </xf>
    <xf numFmtId="0" fontId="7" fillId="0" borderId="0" applyAlignment="1" pivotButton="0" quotePrefix="0" xfId="0">
      <alignment horizontal="center" vertical="bottom"/>
    </xf>
    <xf numFmtId="0" fontId="8" fillId="0" borderId="0" applyAlignment="1" pivotButton="0" quotePrefix="0" xfId="0">
      <alignment horizontal="center"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0" applyAlignment="1" pivotButton="0" quotePrefix="0" xfId="0">
      <alignment horizontal="general" vertical="bottom"/>
    </xf>
    <xf numFmtId="0" fontId="6" fillId="2" borderId="0" applyAlignment="1" pivotButton="0" quotePrefix="0" xfId="0">
      <alignment horizontal="general" vertical="top" wrapText="1"/>
    </xf>
    <xf numFmtId="0" fontId="7" fillId="0" borderId="0" applyAlignment="1" pivotButton="0" quotePrefix="0" xfId="0">
      <alignment horizontal="general" vertical="bottom"/>
    </xf>
    <xf numFmtId="0" fontId="7" fillId="0" borderId="0" applyAlignment="1" pivotButton="0" quotePrefix="0" xfId="0">
      <alignment horizontal="general" vertical="top" wrapText="1"/>
    </xf>
    <xf numFmtId="0" fontId="8" fillId="0" borderId="0" applyAlignment="1" pivotButton="0" quotePrefix="0" xfId="0">
      <alignment horizontal="general" vertical="bottom"/>
    </xf>
    <xf numFmtId="0" fontId="0" fillId="0" borderId="0" applyAlignment="1" pivotButton="0" quotePrefix="0" xfId="0">
      <alignment horizontal="center" vertical="center"/>
    </xf>
    <xf numFmtId="0" fontId="0" fillId="0" borderId="0" applyAlignment="1" pivotButton="0" quotePrefix="0" xfId="0">
      <alignment horizontal="left" vertical="center"/>
    </xf>
    <xf numFmtId="0" fontId="6" fillId="2" borderId="1" applyAlignment="1" pivotButton="0" quotePrefix="0" xfId="0">
      <alignment horizontal="center" vertical="center" wrapText="1"/>
    </xf>
    <xf numFmtId="0" fontId="6" fillId="2" borderId="0" applyAlignment="1" pivotButton="0" quotePrefix="0" xfId="0">
      <alignment horizontal="center" vertical="center" wrapText="1"/>
    </xf>
    <xf numFmtId="0" fontId="8" fillId="3" borderId="1" applyAlignment="1" pivotButton="0" quotePrefix="0" xfId="0">
      <alignment horizontal="center" vertical="center" wrapText="1"/>
    </xf>
    <xf numFmtId="0" fontId="7" fillId="0" borderId="1" applyAlignment="1" pivotButton="0" quotePrefix="0" xfId="0">
      <alignment horizontal="center" vertical="center" wrapText="1"/>
    </xf>
    <xf numFmtId="0" fontId="7" fillId="0" borderId="1" applyAlignment="1" pivotButton="0" quotePrefix="0" xfId="0">
      <alignment horizontal="left" vertical="center" wrapText="1"/>
    </xf>
    <xf numFmtId="0" fontId="8" fillId="0" borderId="1" applyAlignment="1" pivotButton="0" quotePrefix="0" xfId="0">
      <alignment horizontal="center" vertical="center" wrapText="1"/>
    </xf>
    <xf numFmtId="0" fontId="9" fillId="0" borderId="0" applyAlignment="1" pivotButton="0" quotePrefix="0" xfId="0">
      <alignment horizontal="general" vertical="bottom"/>
    </xf>
    <xf numFmtId="0" fontId="7" fillId="0" borderId="0" applyAlignment="1" pivotButton="0" quotePrefix="0" xfId="0">
      <alignment horizontal="center" vertical="bottom"/>
    </xf>
    <xf numFmtId="0" fontId="8" fillId="0" borderId="0" applyAlignment="1" pivotButton="0" quotePrefix="0" xfId="0">
      <alignment horizontal="center"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9">
    <dxf>
      <fill>
        <patternFill patternType="solid">
          <fgColor rgb="FF1A1D2E"/>
          <bgColor rgb="FF000000"/>
        </patternFill>
      </fill>
    </dxf>
    <dxf>
      <fill>
        <patternFill patternType="solid">
          <fgColor rgb="FFF2F2F2"/>
          <bgColor rgb="FF000000"/>
        </patternFill>
      </fill>
    </dxf>
    <dxf>
      <fill>
        <patternFill patternType="solid">
          <bgColor rgb="FF000000"/>
        </patternFill>
      </fill>
    </dxf>
    <dxf>
      <fill>
        <patternFill patternType="solid">
          <fgColor rgb="FFFFFFFF"/>
          <bgColor rgb="FF000000"/>
        </patternFill>
      </fill>
    </dxf>
    <dxf>
      <fill>
        <patternFill patternType="solid">
          <fgColor rgb="FFD9F2E6"/>
          <bgColor rgb="FF000000"/>
        </patternFill>
      </fill>
    </dxf>
    <dxf>
      <fill>
        <patternFill patternType="solid">
          <fgColor rgb="FFE6E0EC"/>
          <bgColor rgb="FF000000"/>
        </patternFill>
      </fill>
    </dxf>
    <dxf>
      <fill>
        <patternFill patternType="solid">
          <fgColor rgb="FFEDEFF3"/>
          <bgColor rgb="FF000000"/>
        </patternFill>
      </fill>
    </dxf>
    <dxf>
      <fill>
        <patternFill patternType="solid">
          <fgColor rgb="FFFBE2E2"/>
          <bgColor rgb="FF000000"/>
        </patternFill>
      </fill>
    </dxf>
    <dxf>
      <fill>
        <patternFill patternType="solid">
          <fgColor rgb="FFFCEBD2"/>
          <bgColor rgb="FF000000"/>
        </patternFill>
      </fill>
    </dxf>
    <dxf>
      <fill>
        <patternFill patternType="solid">
          <fgColor rgb="FF1E7A46"/>
          <bgColor rgb="FF000000"/>
        </patternFill>
      </fill>
    </dxf>
    <dxf>
      <fill>
        <patternFill patternType="solid">
          <fgColor rgb="FF604A7B"/>
          <bgColor rgb="FF000000"/>
        </patternFill>
      </fill>
    </dxf>
    <dxf>
      <fill>
        <patternFill patternType="solid">
          <fgColor rgb="FF6B7280"/>
          <bgColor rgb="FF000000"/>
        </patternFill>
      </fill>
    </dxf>
    <dxf>
      <fill>
        <patternFill patternType="solid">
          <fgColor rgb="FFA85A00"/>
          <bgColor rgb="FF000000"/>
        </patternFill>
      </fill>
    </dxf>
    <dxf>
      <fill>
        <patternFill patternType="solid">
          <fgColor rgb="FFB02A2A"/>
          <bgColor rgb="FF000000"/>
        </patternFill>
      </fill>
    </dxf>
    <dxf>
      <font>
        <name val="Arial (Body)"/>
        <charset val="1"/>
        <family val="0"/>
        <b val="1"/>
        <color rgb="FF604A7B"/>
      </font>
      <fill>
        <patternFill>
          <bgColor theme="7" tint="0.7999000000000001"/>
        </patternFill>
      </fill>
    </dxf>
    <dxf>
      <font>
        <name val="Arial"/>
        <charset val="1"/>
        <family val="0"/>
        <b val="1"/>
        <color rgb="FF1E7A46"/>
      </font>
      <fill>
        <patternFill>
          <bgColor rgb="FFD9F2E6"/>
        </patternFill>
      </fill>
    </dxf>
    <dxf>
      <font>
        <name val="Arial"/>
        <charset val="1"/>
        <family val="0"/>
        <b val="1"/>
        <color rgb="FFB02A2A"/>
      </font>
      <fill>
        <patternFill>
          <bgColor rgb="FFFBE2E2"/>
        </patternFill>
      </fill>
    </dxf>
    <dxf>
      <font>
        <name val="Arial"/>
        <charset val="1"/>
        <family val="0"/>
        <b val="1"/>
        <color rgb="FFA85A00"/>
      </font>
      <fill>
        <patternFill>
          <bgColor rgb="FFFCEBD2"/>
        </patternFill>
      </fill>
    </dxf>
    <dxf>
      <font>
        <name val="Arial"/>
        <charset val="1"/>
        <family val="0"/>
        <b val="1"/>
        <color rgb="FF6B7280"/>
      </font>
      <fill>
        <patternFill>
          <bgColor rgb="FFEDEFF3"/>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A85A00"/>
      <rgbColor rgb="FF800080"/>
      <rgbColor rgb="FF1E7A46"/>
      <rgbColor rgb="FFE6E0EC"/>
      <rgbColor rgb="FF808080"/>
      <rgbColor rgb="FF9999FF"/>
      <rgbColor rgb="FF993366"/>
      <rgbColor rgb="FFFCEBD2"/>
      <rgbColor rgb="FFD9F2E6"/>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EDEFF3"/>
      <rgbColor rgb="FFF2F2F2"/>
      <rgbColor rgb="FFFFFF99"/>
      <rgbColor rgb="FF99CCFF"/>
      <rgbColor rgb="FFFF99CC"/>
      <rgbColor rgb="FFCC99FF"/>
      <rgbColor rgb="FFFBE2E2"/>
      <rgbColor rgb="FF3366FF"/>
      <rgbColor rgb="FF33CCCC"/>
      <rgbColor rgb="FF99CC00"/>
      <rgbColor rgb="FFFFCC00"/>
      <rgbColor rgb="FFFF9900"/>
      <rgbColor rgb="FFFF6600"/>
      <rgbColor rgb="FF6B7280"/>
      <rgbColor rgb="FF969696"/>
      <rgbColor rgb="FF003366"/>
      <rgbColor rgb="FF339966"/>
      <rgbColor rgb="FF003300"/>
      <rgbColor rgb="FF333300"/>
      <rgbColor rgb="FFB02A2A"/>
      <rgbColor rgb="FF993366"/>
      <rgbColor rgb="FF604A7B"/>
      <rgbColor rgb="FF1A1D2E"/>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B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6796875" defaultRowHeight="15" customHeight="0" zeroHeight="0" outlineLevelRow="0"/>
  <cols>
    <col width="22" customWidth="1" style="21" min="1" max="1"/>
    <col width="90" customWidth="1" style="21" min="2" max="2"/>
  </cols>
  <sheetData>
    <row r="1" ht="19.5" customHeight="1" s="22">
      <c r="A1" s="23" t="inlineStr">
        <is>
          <t>BuddyKids — Matrice di Test</t>
        </is>
      </c>
    </row>
    <row r="2" ht="15" customHeight="1" s="22">
      <c r="A2" s="24" t="inlineStr">
        <is>
          <t>Guida alla compilazione della colonna Esito</t>
        </is>
      </c>
    </row>
    <row r="4" ht="18" customHeight="1" s="22">
      <c r="A4" s="25" t="inlineStr">
        <is>
          <t>Colonna</t>
        </is>
      </c>
      <c r="B4" s="26" t="inlineStr">
        <is>
          <t>Significato</t>
        </is>
      </c>
    </row>
    <row r="5" ht="30" customHeight="1" s="22">
      <c r="A5" s="27" t="inlineStr">
        <is>
          <t>Esito = OK</t>
        </is>
      </c>
      <c r="B5" s="28" t="inlineStr">
        <is>
          <t>Il test e stato eseguito e il comportamento corrisponde al risultato atteso.</t>
        </is>
      </c>
    </row>
    <row r="6" ht="30" customHeight="1" s="22">
      <c r="A6" s="27" t="inlineStr">
        <is>
          <t>Esito = BUG</t>
        </is>
      </c>
      <c r="B6" s="28" t="inlineStr">
        <is>
          <t>Il comportamento non corrisponde a quanto previsto per un errore tecnico (crash, dato sbagliato, funzione che non risponde). Genera automaticamente un ID 'BUG-TC-xxx' in colonna ID Anomalia.</t>
        </is>
      </c>
    </row>
    <row r="7" ht="30" customHeight="1" s="22">
      <c r="A7" s="27" t="inlineStr">
        <is>
          <t>Esito = FUNCTIONAL</t>
        </is>
      </c>
      <c r="B7" s="28" t="inlineStr">
        <is>
          <t>Il comportamento e quello atteso OGGI, ma manca un requisito/funzionalita non ancora costruita (non e un errore, e un gap di scope). Genera automaticamente un ID 'FUNCTIONAL-TC-xxx'.</t>
        </is>
      </c>
    </row>
    <row r="8" ht="30" customHeight="1" s="22">
      <c r="A8" s="27" t="inlineStr">
        <is>
          <t>Esito = DA TESTARE</t>
        </is>
      </c>
      <c r="B8" s="28" t="inlineStr">
        <is>
          <t>Non ancora verificato sul deploy reale — da compilare durante il test.</t>
        </is>
      </c>
    </row>
    <row r="9" ht="30" customHeight="1" s="22">
      <c r="A9" s="27" t="inlineStr">
        <is>
          <t>Priorita</t>
        </is>
      </c>
      <c r="B9" s="28" t="inlineStr">
        <is>
          <t>Alta = blocca un flusso centrale (registrazione, prenotazione, pagamento simulato, sicurezza ruoli). Media = funzionalita secondaria ma visibile. Bassa = rifinitura/nice-to-have.</t>
        </is>
      </c>
    </row>
    <row r="10" ht="30" customHeight="1" s="22">
      <c r="A10" s="27" t="inlineStr">
        <is>
          <t>Task collegato</t>
        </is>
      </c>
      <c r="B10" s="28" t="inlineStr">
        <is>
          <t>Riferimento al numero di task interno gia tracciato in questa conversazione, quando applicabile.</t>
        </is>
      </c>
    </row>
    <row r="11" ht="30" customHeight="1" s="22">
      <c r="A11" s="27" t="inlineStr">
        <is>
          <t>Note</t>
        </is>
      </c>
      <c r="B11" s="28" t="inlineStr">
        <is>
          <t>Ipotesi/diagnosi gia note dal codice sorgente (utile per non re-investigare da zero) o dettagli aggiuntivi.</t>
        </is>
      </c>
    </row>
    <row r="13" ht="15" customHeight="1" s="22">
      <c r="A13" s="29" t="inlineStr">
        <is>
          <t>Ordine di test consigliato</t>
        </is>
      </c>
    </row>
    <row r="14" ht="15" customHeight="1" s="22">
      <c r="A14" s="28" t="inlineStr">
        <is>
          <t>1. Setup — crea le tre utenze (genitore, gestore, admin) prima di tutto il resto.</t>
        </is>
      </c>
    </row>
    <row r="15" ht="15" customHeight="1" s="22">
      <c r="A15" s="28" t="inlineStr">
        <is>
          <t>2. Genitori — Home, Cerca, Attivita, Prenotazione.</t>
        </is>
      </c>
    </row>
    <row r="16" ht="23.25" customHeight="1" s="22">
      <c r="A16" s="28" t="inlineStr">
        <is>
          <t>3. Genitori — Gruppi (crea gruppo, invita una seconda utenza genitore reale per testare davvero l'adesione multi-famiglia) e Accompagnamento.</t>
        </is>
      </c>
    </row>
    <row r="17" ht="15" customHeight="1" s="22">
      <c r="A17" s="28" t="inlineStr">
        <is>
          <t>4. Gestore — ricevi e rispondi alla Richiesta Gruppo generata al punto 3.</t>
        </is>
      </c>
    </row>
    <row r="18" ht="15" customHeight="1" s="22">
      <c r="A18" s="28" t="inlineStr">
        <is>
          <t>5. Gestore — Attivita/Promozioni/Profilo centro.</t>
        </is>
      </c>
    </row>
    <row r="19" ht="15" customHeight="1" s="22">
      <c r="A19" s="28" t="inlineStr">
        <is>
          <t>6. Admin — Dashboard/Gestione/Analytics/Richieste Gruppo/Tag.</t>
        </is>
      </c>
    </row>
    <row r="20" ht="15" customHeight="1" s="22">
      <c r="A20" s="28" t="inlineStr">
        <is>
          <t>7. Multi-tenant/PWA — per ultimo, richiede i tre alias/domini pubblicati.</t>
        </is>
      </c>
    </row>
  </sheetData>
  <mergeCells count="7">
    <mergeCell ref="A20:B20"/>
    <mergeCell ref="A16:B16"/>
    <mergeCell ref="A15:B15"/>
    <mergeCell ref="A19:B19"/>
    <mergeCell ref="A14:B14"/>
    <mergeCell ref="A17:B17"/>
    <mergeCell ref="A18:B18"/>
  </mergeCells>
  <printOptions horizontalCentered="0" verticalCentered="0" headings="0" gridLines="0" gridLinesSet="1"/>
  <pageMargins left="0.75" right="0.75" top="1" bottom="1" header="0.511811023622047" footer="0.511805555555556"/>
  <pageSetup orientation="portrait" paperSize="9" scale="100" fitToHeight="1" fitToWidth="1" pageOrder="downThenOver" blackAndWhite="0" draft="0" horizontalDpi="300" verticalDpi="300" copies="1"/>
  <headerFooter differentOddEven="0" differentFirst="0">
    <oddHeader/>
    <oddFooter>&amp;C&amp;"Aptos,Regular"&amp;10 _x000d_# This document is classified as EOLO - C2 General</oddFooter>
    <evenHeader/>
    <evenFooter/>
    <firstHeader/>
    <firstFooter/>
  </headerFooter>
</worksheet>
</file>

<file path=xl/worksheets/sheet2.xml><?xml version="1.0" encoding="utf-8"?>
<worksheet xmlns="http://schemas.openxmlformats.org/spreadsheetml/2006/main">
  <sheetPr filterMode="0">
    <outlinePr summaryBelow="1" summaryRight="1"/>
    <pageSetUpPr fitToPage="0"/>
  </sheetPr>
  <dimension ref="A1:L276"/>
  <sheetViews>
    <sheetView showFormulas="0" showGridLines="0" showRowColHeaders="1" showZeros="1" rightToLeft="0" tabSelected="1" showOutlineSymbols="1" defaultGridColor="1" view="normal" topLeftCell="G1" colorId="64" zoomScale="116" zoomScaleNormal="116" zoomScalePageLayoutView="100" workbookViewId="0">
      <pane xSplit="0" ySplit="1" topLeftCell="A93" activePane="bottomLeft" state="frozen"/>
      <selection pane="topLeft" activeCell="G1" activeCellId="0" sqref="G1"/>
      <selection pane="bottomLeft" activeCell="K1" activeCellId="0" sqref="K1"/>
    </sheetView>
  </sheetViews>
  <sheetFormatPr baseColWidth="8" defaultColWidth="39.00390625" defaultRowHeight="15" customHeight="0" zeroHeight="0" outlineLevelRow="0"/>
  <cols>
    <col width="11.83" customWidth="1" style="30" min="1" max="1"/>
    <col width="24" customWidth="1" style="30" min="2" max="2"/>
    <col width="36" customWidth="1" style="30" min="3" max="3"/>
    <col width="40.83" customWidth="1" style="30" min="4" max="4"/>
    <col width="60.16" customWidth="1" style="30" min="5" max="5"/>
    <col width="70.16" customWidth="1" style="30" min="6" max="6"/>
    <col width="18" customWidth="1" style="30" min="7" max="7"/>
    <col width="20.51" customWidth="1" style="30" min="8" max="8"/>
    <col width="12.16" customWidth="1" style="30" min="9" max="9"/>
    <col width="18.16" customWidth="1" style="30" min="10" max="10"/>
    <col width="77.66" customWidth="1" style="31" min="11" max="12"/>
    <col width="39" customWidth="1" style="30" min="13" max="16384"/>
  </cols>
  <sheetData>
    <row r="1" ht="31.5" customHeight="1" s="22">
      <c r="A1" s="32" t="inlineStr">
        <is>
          <t>ID Test</t>
        </is>
      </c>
      <c r="B1" s="32" t="inlineStr">
        <is>
          <t>Area</t>
        </is>
      </c>
      <c r="C1" s="32" t="inlineStr">
        <is>
          <t>Scenario</t>
        </is>
      </c>
      <c r="D1" s="32" t="inlineStr">
        <is>
          <t>Precondizioni</t>
        </is>
      </c>
      <c r="E1" s="32" t="inlineStr">
        <is>
          <t>Passi</t>
        </is>
      </c>
      <c r="F1" s="32" t="inlineStr">
        <is>
          <t>Risultato atteso</t>
        </is>
      </c>
      <c r="G1" s="32" t="inlineStr">
        <is>
          <t>Esito</t>
        </is>
      </c>
      <c r="H1" s="32" t="inlineStr">
        <is>
          <t>ID Anomalia</t>
        </is>
      </c>
      <c r="I1" s="32" t="inlineStr">
        <is>
          <t>Priorita</t>
        </is>
      </c>
      <c r="J1" s="32" t="inlineStr">
        <is>
          <t>Task collegato</t>
        </is>
      </c>
      <c r="K1" s="33" t="inlineStr">
        <is>
          <t>STATO ANOMALIA</t>
        </is>
      </c>
      <c r="L1" s="32" t="inlineStr">
        <is>
          <t>Note</t>
        </is>
      </c>
    </row>
    <row r="2" ht="45" customHeight="1" s="22">
      <c r="A2" s="34" t="inlineStr">
        <is>
          <t>TC-001</t>
        </is>
      </c>
      <c r="B2" s="35" t="inlineStr">
        <is>
          <t>Setup</t>
        </is>
      </c>
      <c r="C2" s="35" t="inlineStr">
        <is>
          <t>Registrazione nuovo account genitore</t>
        </is>
      </c>
      <c r="D2" s="35" t="inlineStr">
        <is>
          <t>Nessun account con quella email</t>
        </is>
      </c>
      <c r="E2" s="35" t="inlineStr">
        <is>
          <t>Vai su /auth/login -&gt; tab 'Registrati' -&gt; inserisci email+password (min 6 caratteri) -&gt; invia</t>
        </is>
      </c>
      <c r="F2" s="35" t="inlineStr">
        <is>
          <t>Messaggio 'Controlla la tua email per confermare la registrazione'; riga creata in public.profiles con role='parent'</t>
        </is>
      </c>
      <c r="G2" s="35" t="inlineStr">
        <is>
          <t>OK</t>
        </is>
      </c>
      <c r="H2" s="35">
        <f>IF(G2="BUG","BUG-"&amp;A2,IF(G2="FUNCTIONAL","FUNCTIONAL-"&amp;A2,""))</f>
        <v/>
      </c>
      <c r="I2" s="35" t="inlineStr">
        <is>
          <t>Alta</t>
        </is>
      </c>
      <c r="J2" s="35" t="n"/>
      <c r="K2" s="36" t="inlineStr">
        <is>
          <t>FIX (messaggio post-registrazione già mostrato in pagina, verificato nel codice) / NON-CODICE (dominio email invio - vedi task #53, azione su dashboard Supabase, non da codice)</t>
        </is>
      </c>
      <c r="L2" s="36" t="inlineStr">
        <is>
          <t>1) Dopo aver inserito email e password, la pagina dovrebbe aggiornarsi mentre rimane sul login
2) la mail, ora, arriva da supabase: segnarsi di sistemare tutte le mail con indirizzi e domini corretti</t>
        </is>
      </c>
    </row>
    <row r="3" ht="45" customHeight="1" s="22">
      <c r="A3" s="34" t="inlineStr">
        <is>
          <t>TC-002</t>
        </is>
      </c>
      <c r="B3" s="35" t="inlineStr">
        <is>
          <t>Setup</t>
        </is>
      </c>
      <c r="C3" s="35" t="inlineStr">
        <is>
          <t>Conferma email e primo accesso</t>
        </is>
      </c>
      <c r="D3" s="35" t="inlineStr">
        <is>
          <t>Registrazione completata (TC precedente)</t>
        </is>
      </c>
      <c r="E3" s="35" t="inlineStr">
        <is>
          <t>Apri il link di conferma ricevuto via email -&gt; verifica redirect su /auth/callback -&gt; poi login con email+password</t>
        </is>
      </c>
      <c r="F3" s="35" t="inlineStr">
        <is>
          <t>Login riuscito, redirect a '/'</t>
        </is>
      </c>
      <c r="G3" s="35" t="inlineStr">
        <is>
          <t>OK</t>
        </is>
      </c>
      <c r="H3" s="35">
        <f>IF(G3="BUG","BUG-"&amp;A3,IF(G3="FUNCTIONAL","FUNCTIONAL-"&amp;A3,""))</f>
        <v/>
      </c>
      <c r="I3" s="35" t="inlineStr">
        <is>
          <t>Alta</t>
        </is>
      </c>
      <c r="J3" s="35" t="n"/>
      <c r="K3" s="36" t="n"/>
      <c r="L3" s="36" t="n"/>
    </row>
    <row r="4" ht="45" customHeight="1" s="22">
      <c r="A4" s="34" t="inlineStr">
        <is>
          <t>TC-003</t>
        </is>
      </c>
      <c r="B4" s="35" t="inlineStr">
        <is>
          <t>Setup</t>
        </is>
      </c>
      <c r="C4" s="35" t="inlineStr">
        <is>
          <t>Login con credenziali errate</t>
        </is>
      </c>
      <c r="D4" s="35" t="inlineStr">
        <is>
          <t>Account esistente</t>
        </is>
      </c>
      <c r="E4" s="35" t="inlineStr">
        <is>
          <t>Vai su /auth/login -&gt; inserisci password sbagliata -&gt; invia</t>
        </is>
      </c>
      <c r="F4" s="35" t="inlineStr">
        <is>
          <t>Messaggio di errore visibile, nessun accesso</t>
        </is>
      </c>
      <c r="G4" s="35" t="inlineStr">
        <is>
          <t>BUG</t>
        </is>
      </c>
      <c r="H4" s="35">
        <f>IF(G4="BUG","BUG-"&amp;A4,IF(G4="FUNCTIONAL","FUNCTIONAL-"&amp;A4,""))</f>
        <v/>
      </c>
      <c r="I4" s="35" t="inlineStr">
        <is>
          <t>Media</t>
        </is>
      </c>
      <c r="J4" s="35" t="n"/>
      <c r="K4" s="36" t="inlineStr">
        <is>
          <t>TO DEPLOY (fixato in questa sessione: messaggi di errore login tradotti in italiano) | RISOLTO: bug label email/password non associate, vedi Note | RISOLTO (hardening test)</t>
        </is>
      </c>
      <c r="L4" s="36" t="inlineStr">
        <is>
          <t>Viene mostrato messaggio "Invalid login credentials" - inserire messaggio parlante user friendly | Bug trovato nella prima esecuzione reale della suite: le label Email/Password in LoginForm.tsx non erano associate (mancava htmlFor/id) agli input, quindi getByLabel() non trovava mai i campi e ogni test con login reale andava in timeout — causa di ~70 fallimenti in un solo run. Corretto aggiungendo htmlFor/id a Email, Password e Codice invito in LoginForm.tsx. | RUN REALE: fallimento sporadico su mobile-chrome (messaggio non trovato entro 10s) — probabile rate limit Supabase Auth (molti login paralleli, fullyParallel:true) invece del messaggio 'non corrette'. Regex del test ampliata per coprire anche 'troppi tentativi', timeout alzato a 15s.</t>
        </is>
      </c>
    </row>
    <row r="5" ht="45" customHeight="1" s="22">
      <c r="A5" s="34" t="inlineStr">
        <is>
          <t>TC-004</t>
        </is>
      </c>
      <c r="B5" s="35" t="inlineStr">
        <is>
          <t>Setup</t>
        </is>
      </c>
      <c r="C5" s="35" t="inlineStr">
        <is>
          <t>Password dimenticata</t>
        </is>
      </c>
      <c r="D5" s="35" t="inlineStr">
        <is>
          <t>Nessuna</t>
        </is>
      </c>
      <c r="E5" s="35" t="inlineStr">
        <is>
          <t>Click su 'Password dimenticata?' in /auth/login</t>
        </is>
      </c>
      <c r="F5" s="35" t="inlineStr">
        <is>
          <t>Dovrebbe avviare un flusso di reset password</t>
        </is>
      </c>
      <c r="G5" s="35" t="inlineStr">
        <is>
          <t>FUNCTIONAL</t>
        </is>
      </c>
      <c r="H5" s="35">
        <f>IF(G5="BUG","BUG-"&amp;A5,IF(G5="FUNCTIONAL","FUNCTIONAL-"&amp;A5,""))</f>
        <v/>
      </c>
      <c r="I5" s="35" t="inlineStr">
        <is>
          <t>Bassa</t>
        </is>
      </c>
      <c r="J5" s="35" t="inlineStr">
        <is>
          <t>#11 area affine</t>
        </is>
      </c>
      <c r="K5" s="36" t="inlineStr">
        <is>
          <t>TO DEPLOY (fixato in questa sessione: reset password reale via Supabase)</t>
        </is>
      </c>
      <c r="L5" s="36" t="inlineStr">
        <is>
          <t>Noto: badge ComingSoon, nessuna azione reale implementata</t>
        </is>
      </c>
    </row>
    <row r="6" ht="45" customHeight="1" s="22">
      <c r="A6" s="34" t="inlineStr">
        <is>
          <t>TC-005</t>
        </is>
      </c>
      <c r="B6" s="35" t="inlineStr">
        <is>
          <t>Setup</t>
        </is>
      </c>
      <c r="C6" s="35" t="inlineStr">
        <is>
          <t>Promozione account a Gestore centro</t>
        </is>
      </c>
      <c r="D6" s="35" t="inlineStr">
        <is>
          <t>Account genitore registrato, accesso allo SQL Editor Supabase</t>
        </is>
      </c>
      <c r="E6" s="35" t="inlineStr">
        <is>
          <t>Esegui: update public.profiles set role='center_admin', center_id=(select id from centers where slug='...') where email='...'</t>
        </is>
      </c>
      <c r="F6" s="35" t="inlineStr">
        <is>
          <t>Il profilo ha role=center_admin e center_id valorizzato</t>
        </is>
      </c>
      <c r="G6" s="35" t="inlineStr">
        <is>
          <t>DA TESTARE</t>
        </is>
      </c>
      <c r="H6" s="35">
        <f>IF(G6="BUG","BUG-"&amp;A6,IF(G6="FUNCTIONAL","FUNCTIONAL-"&amp;A6,""))</f>
        <v/>
      </c>
      <c r="I6" s="35" t="inlineStr">
        <is>
          <t>Alta</t>
        </is>
      </c>
      <c r="J6" s="35" t="n"/>
      <c r="K6" s="36" t="inlineStr">
        <is>
          <t>PARZIALE: TO DEPLOY (branding pagina login + CTA logout fixati) / NOT CLEAR (creazione account self-service senza SQL - task #44, serve tua decisione su workflow di approvazione)</t>
        </is>
      </c>
      <c r="L6" s="36" t="inlineStr">
        <is>
          <t>Test case tecnico - da riformulare con processo "utente" senza accesso ai db o conoscenza dell'infrastruttura tecnica
Bisogna prevedere creazione account separata da quella del genitore, sono processi e flussi distinti. Anche l'homepage di autenticazione deve riportare colori e layout dell'app "Partner" e non come ora, quella dei genitori. Modificare CTA "Torna all'app" con "Esci dall'account" o simile.</t>
        </is>
      </c>
    </row>
    <row r="7" ht="45" customHeight="1" s="22">
      <c r="A7" s="34" t="inlineStr">
        <is>
          <t>TC-006</t>
        </is>
      </c>
      <c r="B7" s="35" t="inlineStr">
        <is>
          <t>Setup</t>
        </is>
      </c>
      <c r="C7" s="35" t="inlineStr">
        <is>
          <t>Login Gestore su dominio partner/alias</t>
        </is>
      </c>
      <c r="D7" s="35" t="inlineStr">
        <is>
          <t>Account promosso (TC precedente)</t>
        </is>
      </c>
      <c r="E7" s="35" t="inlineStr">
        <is>
          <t>Vai sull'alias/dominio partner -&gt; login -&gt; verifica redirect a /center</t>
        </is>
      </c>
      <c r="F7" s="35" t="inlineStr">
        <is>
          <t>Accesso alla dashboard Gestore, sidebar con Dashboard/Il mio centro/Attivita/Promozioni/Richieste Gruppo</t>
        </is>
      </c>
      <c r="G7" s="35" t="inlineStr">
        <is>
          <t>DA TESTARE</t>
        </is>
      </c>
      <c r="H7" s="35">
        <f>IF(G7="BUG","BUG-"&amp;A7,IF(G7="FUNCTIONAL","FUNCTIONAL-"&amp;A7,""))</f>
        <v/>
      </c>
      <c r="I7" s="35" t="inlineStr">
        <is>
          <t>Alta</t>
        </is>
      </c>
      <c r="J7" s="35" t="inlineStr">
        <is>
          <t>#6</t>
        </is>
      </c>
      <c r="K7" s="36" t="inlineStr">
        <is>
          <t>TO DEPLOY (fixato: login tenant-aware, redirect corretto)</t>
        </is>
      </c>
      <c r="L7" s="36" t="n"/>
    </row>
    <row r="8" ht="45" customHeight="1" s="22">
      <c r="A8" s="34" t="inlineStr">
        <is>
          <t>TC-007</t>
        </is>
      </c>
      <c r="B8" s="35" t="inlineStr">
        <is>
          <t>Setup</t>
        </is>
      </c>
      <c r="C8" s="35" t="inlineStr">
        <is>
          <t>Promozione account ad Admin piattaforma</t>
        </is>
      </c>
      <c r="D8" s="35" t="inlineStr">
        <is>
          <t>Account genitore registrato</t>
        </is>
      </c>
      <c r="E8" s="35" t="inlineStr">
        <is>
          <t>Esegui: update public.profiles set role='platform_admin' where email='...'</t>
        </is>
      </c>
      <c r="F8" s="35" t="inlineStr">
        <is>
          <t>Il profilo ha role=platform_admin</t>
        </is>
      </c>
      <c r="G8" s="35" t="inlineStr">
        <is>
          <t>DA TESTARE</t>
        </is>
      </c>
      <c r="H8" s="35">
        <f>IF(G8="BUG","BUG-"&amp;A8,IF(G8="FUNCTIONAL","FUNCTIONAL-"&amp;A8,""))</f>
        <v/>
      </c>
      <c r="I8" s="35" t="inlineStr">
        <is>
          <t>Alta</t>
        </is>
      </c>
      <c r="J8" s="35" t="n"/>
      <c r="K8" s="36" t="inlineStr">
        <is>
          <t>PARZIALE: TO DEPLOY (branding pagina login + CTA logout fixati) / NOT CLEAR (creazione account self-service senza SQL - task #44, serve tua decisione)</t>
        </is>
      </c>
      <c r="L8" s="36" t="inlineStr">
        <is>
          <t>Test case tecnico - da riformulare con processo "utente" senza accesso ai db o conoscenza dell'infrastruttura tecnica
Bisogna prevedere creazione account separata da quella del genitore, sono processi e flussi distinti. Anche l'homepage di autenticazione deve riportare colori e layout dell'app "Admin" e non come ora, quella dei genitori. Modificare CTA "Torna all'app" con "Esci dall'account" o simile</t>
        </is>
      </c>
    </row>
    <row r="9" ht="45" customHeight="1" s="22">
      <c r="A9" s="34" t="inlineStr">
        <is>
          <t>TC-008</t>
        </is>
      </c>
      <c r="B9" s="35" t="inlineStr">
        <is>
          <t>Setup</t>
        </is>
      </c>
      <c r="C9" s="35" t="inlineStr">
        <is>
          <t>Login Admin su dominio admin/alias</t>
        </is>
      </c>
      <c r="D9" s="35" t="inlineStr">
        <is>
          <t>Account promosso (TC precedente)</t>
        </is>
      </c>
      <c r="E9" s="35" t="inlineStr">
        <is>
          <t>Vai sull'alias/dominio admin -&gt; login -&gt; verifica redirect a /admin</t>
        </is>
      </c>
      <c r="F9" s="35" t="inlineStr">
        <is>
          <t>Accesso alla dashboard Admin</t>
        </is>
      </c>
      <c r="G9" s="35" t="inlineStr">
        <is>
          <t>DA TESTARE</t>
        </is>
      </c>
      <c r="H9" s="35">
        <f>IF(G9="BUG","BUG-"&amp;A9,IF(G9="FUNCTIONAL","FUNCTIONAL-"&amp;A9,""))</f>
        <v/>
      </c>
      <c r="I9" s="35" t="inlineStr">
        <is>
          <t>Alta</t>
        </is>
      </c>
      <c r="J9" s="35" t="inlineStr">
        <is>
          <t>#8</t>
        </is>
      </c>
      <c r="K9" s="36" t="inlineStr">
        <is>
          <t>TO DEPLOY (fixato: login tenant-aware, redirect corretto)</t>
        </is>
      </c>
      <c r="L9" s="36" t="n"/>
    </row>
    <row r="10" ht="45" customHeight="1" s="22">
      <c r="A10" s="34" t="inlineStr">
        <is>
          <t>TC-009</t>
        </is>
      </c>
      <c r="B10" s="35" t="inlineStr">
        <is>
          <t>Setup</t>
        </is>
      </c>
      <c r="C10" s="35" t="inlineStr">
        <is>
          <t>Accesso negato a /center con ruolo parent</t>
        </is>
      </c>
      <c r="D10" s="35" t="inlineStr">
        <is>
          <t>Account con role=parent</t>
        </is>
      </c>
      <c r="E10" s="35" t="inlineStr">
        <is>
          <t>Vai sul dominio partner e prova ad accedere</t>
        </is>
      </c>
      <c r="F10" s="35" t="inlineStr">
        <is>
          <t>Se non loggato: redirect a login sullo stesso host; se loggato come parent: redirect al dominio principale</t>
        </is>
      </c>
      <c r="G10" s="35" t="inlineStr">
        <is>
          <t>DA TESTARE</t>
        </is>
      </c>
      <c r="H10" s="35">
        <f>IF(G10="BUG","BUG-"&amp;A10,IF(G10="FUNCTIONAL","FUNCTIONAL-"&amp;A10,""))</f>
        <v/>
      </c>
      <c r="I10" s="35" t="inlineStr">
        <is>
          <t>Alta</t>
        </is>
      </c>
      <c r="J10" s="35" t="n"/>
      <c r="K10" s="36" t="inlineStr">
        <is>
          <t>NOT CLEAR (nota è sulla riformulazione del test, non un bug applicativo - legato a #44)</t>
        </is>
      </c>
      <c r="L10" s="36" t="inlineStr">
        <is>
          <t>Test case tecnico - da riformulare con processo "utente" senza accesso ai db o conoscenza dell'infrastruttura tecnica</t>
        </is>
      </c>
    </row>
    <row r="11" ht="45" customHeight="1" s="22">
      <c r="A11" s="34" t="inlineStr">
        <is>
          <t>TC-010</t>
        </is>
      </c>
      <c r="B11" s="35" t="inlineStr">
        <is>
          <t>Setup</t>
        </is>
      </c>
      <c r="C11" s="35" t="inlineStr">
        <is>
          <t>Accesso negato a /admin con ruolo center_admin</t>
        </is>
      </c>
      <c r="D11" s="35" t="inlineStr">
        <is>
          <t>Account con role=center_admin</t>
        </is>
      </c>
      <c r="E11" s="35" t="inlineStr">
        <is>
          <t>Vai sul dominio admin e prova ad accedere</t>
        </is>
      </c>
      <c r="F11" s="35" t="inlineStr">
        <is>
          <t>Redirect al dominio principale (l'admin e' superset, il gestore no)</t>
        </is>
      </c>
      <c r="G11" s="35" t="inlineStr">
        <is>
          <t>DA TESTARE</t>
        </is>
      </c>
      <c r="H11" s="35">
        <f>IF(G11="BUG","BUG-"&amp;A11,IF(G11="FUNCTIONAL","FUNCTIONAL-"&amp;A11,""))</f>
        <v/>
      </c>
      <c r="I11" s="35" t="inlineStr">
        <is>
          <t>Alta</t>
        </is>
      </c>
      <c r="J11" s="35" t="n"/>
      <c r="K11" s="36" t="inlineStr">
        <is>
          <t>NOT CLEAR (nota è sulla riformulazione del test, non un bug applicativo - legato a #44)</t>
        </is>
      </c>
      <c r="L11" s="36" t="inlineStr">
        <is>
          <t>Test case tecnico - da riformulare con processo "utente" senza accesso ai db o conoscenza dell'infrastruttura tecnica</t>
        </is>
      </c>
    </row>
    <row r="12" ht="45" customHeight="1" s="22">
      <c r="A12" s="34" t="inlineStr">
        <is>
          <t>TC-011</t>
        </is>
      </c>
      <c r="B12" s="35" t="inlineStr">
        <is>
          <t>Setup</t>
        </is>
      </c>
      <c r="C12" s="35" t="inlineStr">
        <is>
          <t>Logout</t>
        </is>
      </c>
      <c r="D12" s="35" t="inlineStr">
        <is>
          <t>Utente loggato (qualsiasi ruolo)</t>
        </is>
      </c>
      <c r="E12" s="35" t="inlineStr">
        <is>
          <t>Vai su Profilo (genitore) o link in sidebar (gestore/admin) -&gt; click 'Esci'</t>
        </is>
      </c>
      <c r="F12" s="35" t="inlineStr">
        <is>
          <t>Sessione terminata, redirect a login o home pubblica</t>
        </is>
      </c>
      <c r="G12" s="35" t="inlineStr">
        <is>
          <t>DA TESTARE</t>
        </is>
      </c>
      <c r="H12" s="35">
        <f>IF(G12="BUG","BUG-"&amp;A12,IF(G12="FUNCTIONAL","FUNCTIONAL-"&amp;A12,""))</f>
        <v/>
      </c>
      <c r="I12" s="35" t="inlineStr">
        <is>
          <t>Media</t>
        </is>
      </c>
      <c r="J12" s="35" t="n"/>
      <c r="K12" s="36" t="n"/>
      <c r="L12" s="36" t="n"/>
    </row>
    <row r="13" ht="45" customHeight="1" s="22">
      <c r="A13" s="34" t="inlineStr">
        <is>
          <t>TC-012</t>
        </is>
      </c>
      <c r="B13" s="35" t="inlineStr">
        <is>
          <t>Genitori - Home</t>
        </is>
      </c>
      <c r="C13" s="35" t="inlineStr">
        <is>
          <t>Home mostra attivita reali</t>
        </is>
      </c>
      <c r="D13" s="35" t="inlineStr">
        <is>
          <t>Almeno un'attivita inserita in Supabase</t>
        </is>
      </c>
      <c r="E13" s="35" t="inlineStr">
        <is>
          <t>Login come genitore -&gt; apri '/'</t>
        </is>
      </c>
      <c r="F13" s="35" t="inlineStr">
        <is>
          <t>Le card 'Popolari' mostrano attivita reali dal DB, non i dati demo</t>
        </is>
      </c>
      <c r="G13" s="35" t="inlineStr">
        <is>
          <t>FUNCTIONAL</t>
        </is>
      </c>
      <c r="H13" s="35">
        <f>IF(G13="BUG","BUG-"&amp;A13,IF(G13="FUNCTIONAL","FUNCTIONAL-"&amp;A13,""))</f>
        <v/>
      </c>
      <c r="I13" s="35" t="inlineStr">
        <is>
          <t>Alta</t>
        </is>
      </c>
      <c r="J13" s="35" t="inlineStr">
        <is>
          <t>#3</t>
        </is>
      </c>
      <c r="K13" s="36" t="inlineStr">
        <is>
          <t>PARZIALE: TO DEPLOY (ordinamento interim su rating/recensioni reali fixato) / NOT CLEAR (definizione di business di cosa rende un'attività "Popolare" - serve tua decisione)</t>
        </is>
      </c>
      <c r="L13" s="36" t="inlineStr">
        <is>
          <t>Inserire TC per creazione - lato Partner - dell'attività. Specificare funzionalmente come deve essere resa "Popolare" una attività</t>
        </is>
      </c>
    </row>
    <row r="14" ht="45" customHeight="1" s="22">
      <c r="A14" s="34" t="inlineStr">
        <is>
          <t>TC-013</t>
        </is>
      </c>
      <c r="B14" s="35" t="inlineStr">
        <is>
          <t>Genitori - Home</t>
        </is>
      </c>
      <c r="C14" s="35" t="inlineStr">
        <is>
          <t>Filtro categoria in Home</t>
        </is>
      </c>
      <c r="D14" s="35" t="inlineStr">
        <is>
          <t>Nessuna</t>
        </is>
      </c>
      <c r="E14" s="35" t="inlineStr">
        <is>
          <t>Su Home, clicca una categoria (es. Sport) -&gt; poi 'Tutte'</t>
        </is>
      </c>
      <c r="F14" s="35" t="inlineStr">
        <is>
          <t>Le card mostrate cambiano in base al tag selezionato; 'Tutte' ripristina la lista intera</t>
        </is>
      </c>
      <c r="G14" s="35" t="inlineStr">
        <is>
          <t>BUG</t>
        </is>
      </c>
      <c r="H14" s="35">
        <f>IF(G14="BUG","BUG-"&amp;A14,IF(G14="FUNCTIONAL","FUNCTIONAL-"&amp;A14,""))</f>
        <v/>
      </c>
      <c r="I14" s="35" t="inlineStr">
        <is>
          <t>Alta</t>
        </is>
      </c>
      <c r="J14" s="35" t="inlineStr">
        <is>
          <t>#30</t>
        </is>
      </c>
      <c r="K14" s="36" t="inlineStr">
        <is>
          <t>AGGIORNATO: la vecchia UI Home "Popolari vicino a te" con filtro categoria e stata sostituita dal toggle Planner/Per bambino; test riscritto per verificare il chip Sport dentro Per bambino &gt; Categorie (vedi HomeFeed.tsx / PerBambinoView.tsx). | RISOLTO</t>
        </is>
      </c>
      <c r="L14" s="36" t="inlineStr">
        <is>
          <t>BUG DI TEST TROVATO+CORRETTO (run reale): la regex /border-sky/ matchava anche la classe statica 'hover:border-sky' presente nel chip NON selezionato (CategoryChip.tsx), quindi l'assert 'non selezionato' falliva sempre. Corretta con lookbehind negativo (?&lt;!hover:)border-sky\b.</t>
        </is>
      </c>
    </row>
    <row r="15" ht="45" customHeight="1" s="22">
      <c r="A15" s="34" t="inlineStr">
        <is>
          <t>TC-014</t>
        </is>
      </c>
      <c r="B15" s="35" t="inlineStr">
        <is>
          <t>Genitori - Home</t>
        </is>
      </c>
      <c r="C15" s="35" t="inlineStr">
        <is>
          <t>Geolocalizzazione Home</t>
        </is>
      </c>
      <c r="D15" s="35" t="inlineStr">
        <is>
          <t>Permessi posizione del browser concessi</t>
        </is>
      </c>
      <c r="E15" s="35" t="inlineStr">
        <is>
          <t>Clicca 'Attivita sulla mappa' / 'Usa posizione' -&gt; concedi permesso</t>
        </is>
      </c>
      <c r="F15" s="35" t="inlineStr">
        <is>
          <t>Il testo mostra un conteggio reale di centri entro 5 km (non piu fisso a 24)</t>
        </is>
      </c>
      <c r="G15" s="35" t="inlineStr">
        <is>
          <t>ENHANCEMENT</t>
        </is>
      </c>
      <c r="H15" s="35">
        <f>IF(G15="BUG","BUG-"&amp;A15,IF(G15="FUNCTIONAL","FUNCTIONAL-"&amp;A15,""))</f>
        <v/>
      </c>
      <c r="I15" s="35" t="inlineStr">
        <is>
          <t>Media</t>
        </is>
      </c>
      <c r="J15" s="35" t="inlineStr">
        <is>
          <t>#30</t>
        </is>
      </c>
      <c r="K15" s="36" t="inlineStr">
        <is>
          <t>TO DEPLOY (fixato: la posizione rilevata resta salvata tra Home e Cerca in questa sessione)</t>
        </is>
      </c>
      <c r="L15" s="36" t="inlineStr">
        <is>
          <t xml:space="preserve">La geolocalizzazione funziona, ma ogni volta riappare la CTA "Usa posizione" dopo qualsiasi passaggio. Bisogna rivedere la UX
</t>
        </is>
      </c>
    </row>
    <row r="16" ht="45" customHeight="1" s="22">
      <c r="A16" s="34" t="inlineStr">
        <is>
          <t>TC-015</t>
        </is>
      </c>
      <c r="B16" s="35" t="inlineStr">
        <is>
          <t>Genitori - Home</t>
        </is>
      </c>
      <c r="C16" s="35" t="inlineStr">
        <is>
          <t>Geolocalizzazione negata</t>
        </is>
      </c>
      <c r="D16" s="35" t="inlineStr">
        <is>
          <t>Nessuna</t>
        </is>
      </c>
      <c r="E16" s="35" t="inlineStr">
        <is>
          <t>Clicca 'Usa posizione' -&gt; nega il permesso</t>
        </is>
      </c>
      <c r="F16" s="35" t="inlineStr">
        <is>
          <t>Messaggio di errore leggibile, l'app non si blocca</t>
        </is>
      </c>
      <c r="G16" s="35" t="inlineStr">
        <is>
          <t>ENHANCEMENT</t>
        </is>
      </c>
      <c r="H16" s="35">
        <f>IF(G16="BUG","BUG-"&amp;A16,IF(G16="FUNCTIONAL","FUNCTIONAL-"&amp;A16,""))</f>
        <v/>
      </c>
      <c r="I16" s="35" t="inlineStr">
        <is>
          <t>Bassa</t>
        </is>
      </c>
      <c r="J16" s="35" t="n"/>
      <c r="K16" s="36" t="inlineStr">
        <is>
          <t>PARZIALE: TO DEPLOY (messaggio di errore migliorato) / NOT CLEAR (il browser blocca la ri-richiesta del popup nativo dopo un rifiuto per policy di sicurezza - limite del browser, non risolvibile lato app)</t>
        </is>
      </c>
      <c r="L16" s="36" t="inlineStr">
        <is>
          <t>Funziona: "Non è stato possibile ottenre la posizione - controlla i permessi" e la CTA rimane "Usa la posizione". Se possibile deve riapparire il pop-up di chrome per richiedere accesso ai dati di geolocalizzazione</t>
        </is>
      </c>
    </row>
    <row r="17" ht="45" customHeight="1" s="22">
      <c r="A17" s="34" t="inlineStr">
        <is>
          <t>TC-016</t>
        </is>
      </c>
      <c r="B17" s="35" t="inlineStr">
        <is>
          <t>Genitori - Cerca</t>
        </is>
      </c>
      <c r="C17" s="35" t="inlineStr">
        <is>
          <t>Ricerca testuale</t>
        </is>
      </c>
      <c r="D17" s="35" t="inlineStr">
        <is>
          <t>Nessuna</t>
        </is>
      </c>
      <c r="E17" s="35" t="inlineStr">
        <is>
          <t>Vai su /search -&gt; digita il nome di un'attivita esistente</t>
        </is>
      </c>
      <c r="F17" s="35" t="inlineStr">
        <is>
          <t>Solo le attivita corrispondenti restano in lista</t>
        </is>
      </c>
      <c r="G17" s="35" t="inlineStr">
        <is>
          <t>BUG</t>
        </is>
      </c>
      <c r="H17" s="35">
        <f>IF(G17="BUG","BUG-"&amp;A17,IF(G17="FUNCTIONAL","FUNCTIONAL-"&amp;A17,""))</f>
        <v/>
      </c>
      <c r="I17" s="35" t="inlineStr">
        <is>
          <t>Alta</t>
        </is>
      </c>
      <c r="J17" s="35" t="n"/>
      <c r="K17" s="36" t="inlineStr">
        <is>
          <t>TO DEPLOY (Azzera ora sempre visibile; azzeramento per singolo filtro non ancora implementato - solo azzeramento globale) | RISOLTO</t>
        </is>
      </c>
      <c r="L17" s="36" t="inlineStr">
        <is>
          <t>Funziona. Manca - su tutti i filtri - la possibilità di cancellare il filtro applicato | BUG DI TEST TROVATO+CORRETTO (run reale): l'assert finale era invertita (.not.toHaveText invece di .toHaveText) — svuotare la ricerca deve ripristinare lo STESSO conteggio iniziale, non uno diverso.</t>
        </is>
      </c>
    </row>
    <row r="18" ht="45" customHeight="1" s="22">
      <c r="A18" s="34" t="inlineStr">
        <is>
          <t>TC-017</t>
        </is>
      </c>
      <c r="B18" s="35" t="inlineStr">
        <is>
          <t>Genitori - Cerca</t>
        </is>
      </c>
      <c r="C18" s="35" t="inlineStr">
        <is>
          <t>Filtro Eta</t>
        </is>
      </c>
      <c r="D18" s="35" t="inlineStr">
        <is>
          <t>Nessuna</t>
        </is>
      </c>
      <c r="E18" s="35" t="inlineStr">
        <is>
          <t>Apri filtro 'Eta' -&gt; sposta gli slider min/max</t>
        </is>
      </c>
      <c r="F18" s="35" t="inlineStr">
        <is>
          <t>La lista si aggiorna mostrando solo attivita compatibili con la fascia</t>
        </is>
      </c>
      <c r="G18" s="35" t="inlineStr">
        <is>
          <t>ENHANCEMENT</t>
        </is>
      </c>
      <c r="H18" s="35">
        <f>IF(G18="BUG","BUG-"&amp;A18,IF(G18="FUNCTIONAL","FUNCTIONAL-"&amp;A18,""))</f>
        <v/>
      </c>
      <c r="I18" s="35" t="inlineStr">
        <is>
          <t>Media</t>
        </is>
      </c>
      <c r="J18" s="35" t="inlineStr">
        <is>
          <t>#31</t>
        </is>
      </c>
      <c r="K18" s="36" t="inlineStr">
        <is>
          <t>TO DEPLOY (fixato: due campi numerici da/a al posto degli slider sovrapposti)</t>
        </is>
      </c>
      <c r="L18" s="36" t="inlineStr">
        <is>
          <t>Funziona: rivedrei solo l'UX della selezione della fascia d'età che non è facilmente comprensibile. Forse unica striscia con pallino di età minima e pallino di età massima? O anche campo testuale?
Manca - su tutti i filtri - la possibilità di cancellare il filtro applicato</t>
        </is>
      </c>
    </row>
    <row r="19" ht="45" customHeight="1" s="22">
      <c r="A19" s="34" t="inlineStr">
        <is>
          <t>TC-018</t>
        </is>
      </c>
      <c r="B19" s="35" t="inlineStr">
        <is>
          <t>Genitori - Cerca</t>
        </is>
      </c>
      <c r="C19" s="35" t="inlineStr">
        <is>
          <t>Filtro Prezzo</t>
        </is>
      </c>
      <c r="D19" s="35" t="inlineStr">
        <is>
          <t>Nessuna</t>
        </is>
      </c>
      <c r="E19" s="35" t="inlineStr">
        <is>
          <t>Apri filtro 'Prezzo' -&gt; abbassa il tetto massimo</t>
        </is>
      </c>
      <c r="F19" s="35" t="inlineStr">
        <is>
          <t>Scompaiono le attivita piu costose del tetto</t>
        </is>
      </c>
      <c r="G19" s="35" t="inlineStr">
        <is>
          <t>OK</t>
        </is>
      </c>
      <c r="H19" s="35">
        <f>IF(G19="BUG","BUG-"&amp;A19,IF(G19="FUNCTIONAL","FUNCTIONAL-"&amp;A19,""))</f>
        <v/>
      </c>
      <c r="I19" s="35" t="inlineStr">
        <is>
          <t>Media</t>
        </is>
      </c>
      <c r="J19" s="35" t="inlineStr">
        <is>
          <t>#31</t>
        </is>
      </c>
      <c r="K19" s="36" t="inlineStr">
        <is>
          <t>TO DEPLOY (Azzera ora sempre visibile; azzeramento per singolo filtro non ancora implementato)</t>
        </is>
      </c>
      <c r="L19" s="36" t="inlineStr">
        <is>
          <t>Funziona. Manca - su tutti i filtri - la possibilità di cancellare il filtro applicato</t>
        </is>
      </c>
    </row>
    <row r="20" ht="45" customHeight="1" s="22">
      <c r="A20" s="34" t="inlineStr">
        <is>
          <t>TC-019</t>
        </is>
      </c>
      <c r="B20" s="35" t="inlineStr">
        <is>
          <t>Genitori - Cerca</t>
        </is>
      </c>
      <c r="C20" s="35" t="inlineStr">
        <is>
          <t>Filtro Zona (testo)</t>
        </is>
      </c>
      <c r="D20" s="35" t="inlineStr">
        <is>
          <t>Nessuna</t>
        </is>
      </c>
      <c r="E20" s="35" t="inlineStr">
        <is>
          <t>Apri filtro 'Zona' -&gt; digita una via/quartiere presente in un indirizzo</t>
        </is>
      </c>
      <c r="F20" s="35" t="inlineStr">
        <is>
          <t>Restano solo le attivita con quell'indirizzo/centro</t>
        </is>
      </c>
      <c r="G20" s="35" t="inlineStr">
        <is>
          <t>ENHANCEMENT</t>
        </is>
      </c>
      <c r="H20" s="35">
        <f>IF(G20="BUG","BUG-"&amp;A20,IF(G20="FUNCTIONAL","FUNCTIONAL-"&amp;A20,""))</f>
        <v/>
      </c>
      <c r="I20" s="35" t="inlineStr">
        <is>
          <t>Media</t>
        </is>
      </c>
      <c r="J20" s="35" t="inlineStr">
        <is>
          <t>#31</t>
        </is>
      </c>
      <c r="K20" s="36" t="inlineStr">
        <is>
          <t>TO DEPLOY (fixato: autocomplete zona con sole vie/zone/comuni, esclusi nomi di centri/attività)</t>
        </is>
      </c>
      <c r="L20" s="36" t="inlineStr">
        <is>
          <t>Funziona. La ricerca per "Zona" deve avere una lista di comuni, quartieri, zone che si autocompilano
Manca - su tutti i filtri - la possibilità di cancellare il filtro applicato</t>
        </is>
      </c>
    </row>
    <row r="21" ht="45" customHeight="1" s="22">
      <c r="A21" s="34" t="inlineStr">
        <is>
          <t>TC-020</t>
        </is>
      </c>
      <c r="B21" s="35" t="inlineStr">
        <is>
          <t>Genitori - Cerca</t>
        </is>
      </c>
      <c r="C21" s="35" t="inlineStr">
        <is>
          <t>Filtro Servizi - Bar</t>
        </is>
      </c>
      <c r="D21" s="35" t="inlineStr">
        <is>
          <t>Almeno un centro con 'Bar' attivato nel profilo</t>
        </is>
      </c>
      <c r="E21" s="35" t="inlineStr">
        <is>
          <t>Apri filtro 'Servizi' -&gt; seleziona 'Bar nel centro'</t>
        </is>
      </c>
      <c r="F21" s="35" t="inlineStr">
        <is>
          <t>Restano solo le attivita di centri con has_bar=true</t>
        </is>
      </c>
      <c r="G21" s="35" t="inlineStr">
        <is>
          <t>OK</t>
        </is>
      </c>
      <c r="H21" s="35">
        <f>IF(G21="BUG","BUG-"&amp;A21,IF(G21="FUNCTIONAL","FUNCTIONAL-"&amp;A21,""))</f>
        <v/>
      </c>
      <c r="I21" s="35" t="inlineStr">
        <is>
          <t>Alta</t>
        </is>
      </c>
      <c r="J21" s="35" t="inlineStr">
        <is>
          <t>#31</t>
        </is>
      </c>
      <c r="K21" s="36" t="inlineStr">
        <is>
          <t>TO DEPLOY (Azzera ora sempre visibile; azzeramento per singolo filtro non ancora implementato)</t>
        </is>
      </c>
      <c r="L21" s="36" t="inlineStr">
        <is>
          <t>Funziona. Manca - su tutti i filtri - la possibilità di cancellare il filtro applicato</t>
        </is>
      </c>
    </row>
    <row r="22" ht="45" customHeight="1" s="22">
      <c r="A22" s="34" t="inlineStr">
        <is>
          <t>TC-021</t>
        </is>
      </c>
      <c r="B22" s="35" t="inlineStr">
        <is>
          <t>Genitori - Cerca</t>
        </is>
      </c>
      <c r="C22" s="35" t="inlineStr">
        <is>
          <t>Filtro Servizi - Pranzo/Pre/Post</t>
        </is>
      </c>
      <c r="D22" s="35" t="inlineStr">
        <is>
          <t>Nessuna</t>
        </is>
      </c>
      <c r="E22" s="35" t="inlineStr">
        <is>
          <t>Seleziona singolarmente Pranzo incluso / Pre-scuola / Post-scuola</t>
        </is>
      </c>
      <c r="F22" s="35" t="inlineStr">
        <is>
          <t>La lista si filtra coerentemente con i campi dell'attivita</t>
        </is>
      </c>
      <c r="G22" s="35" t="inlineStr">
        <is>
          <t>ENHANCEMENT</t>
        </is>
      </c>
      <c r="H22" s="35">
        <f>IF(G22="BUG","BUG-"&amp;A22,IF(G22="FUNCTIONAL","FUNCTIONAL-"&amp;A22,""))</f>
        <v/>
      </c>
      <c r="I22" s="35" t="inlineStr">
        <is>
          <t>Media</t>
        </is>
      </c>
      <c r="J22" s="35" t="inlineStr">
        <is>
          <t>#31</t>
        </is>
      </c>
      <c r="K22" s="36" t="inlineStr">
        <is>
          <t>TO DEPLOY (fixato: sezione Servizi disponibili nel dettaglio attività)</t>
        </is>
      </c>
      <c r="L22" s="36" t="inlineStr">
        <is>
          <t>Funziona. Nella scheda di dettaglio dell'attività devono essere mostrati in maniera chiara sintetica e veloce i servizi disponibili altrimenti non c'è modo di avere conferma della selezione corretta</t>
        </is>
      </c>
    </row>
    <row r="23" ht="45" customHeight="1" s="22">
      <c r="A23" s="34" t="inlineStr">
        <is>
          <t>TC-022</t>
        </is>
      </c>
      <c r="B23" s="35" t="inlineStr">
        <is>
          <t>Genitori - Cerca</t>
        </is>
      </c>
      <c r="C23" s="35" t="inlineStr">
        <is>
          <t>Azzeramento filtri</t>
        </is>
      </c>
      <c r="D23" s="35" t="inlineStr">
        <is>
          <t>Uno o piu filtri attivi</t>
        </is>
      </c>
      <c r="E23" s="35" t="inlineStr">
        <is>
          <t>Clicca 'Azzera (N)'</t>
        </is>
      </c>
      <c r="F23" s="35" t="inlineStr">
        <is>
          <t>Tutti i filtri tornano al default e il pulsante scompare</t>
        </is>
      </c>
      <c r="G23" s="35" t="inlineStr">
        <is>
          <t>ENHANCEMENT</t>
        </is>
      </c>
      <c r="H23" s="35">
        <f>IF(G23="BUG","BUG-"&amp;A23,IF(G23="FUNCTIONAL","FUNCTIONAL-"&amp;A23,""))</f>
        <v/>
      </c>
      <c r="I23" s="35" t="inlineStr">
        <is>
          <t>Bassa</t>
        </is>
      </c>
      <c r="J23" s="35" t="n"/>
      <c r="K23" s="36" t="inlineStr">
        <is>
          <t>TO DEPLOY (fixato: Azzera sempre visibile e chiude anche il pannello aperto)</t>
        </is>
      </c>
      <c r="L23" s="36" t="inlineStr">
        <is>
          <t>Funziona. La CTA "Azzera" deve essere visibile sempre - e una volta cliccata deve riportare allo staot iniziale la pagina "Cerca" (nel test fatto, avevo il tab "Servizi" esploso, ed è rimasto aperto anche dopo "azzera")</t>
        </is>
      </c>
    </row>
    <row r="24" ht="45" customHeight="1" s="22">
      <c r="A24" s="34" t="inlineStr">
        <is>
          <t>TC-023</t>
        </is>
      </c>
      <c r="B24" s="35" t="inlineStr">
        <is>
          <t>Genitori - Cerca</t>
        </is>
      </c>
      <c r="C24" s="35" t="inlineStr">
        <is>
          <t>Ricerca con geolocalizzazione da Home</t>
        </is>
      </c>
      <c r="D24" s="35" t="inlineStr">
        <is>
          <t>Aver cliccato 'Usa posizione' in Home</t>
        </is>
      </c>
      <c r="E24" s="35" t="inlineStr">
        <is>
          <t>Da Home, dopo la geolocalizzazione, clicca 'Vedi in Cerca'</t>
        </is>
      </c>
      <c r="F24" s="35" t="inlineStr">
        <is>
          <t>Si apre /search?lat=..&amp;lng=.. con distanze reali calcolate e badge 'Vicino a te'</t>
        </is>
      </c>
      <c r="G24" s="35" t="inlineStr">
        <is>
          <t>BUG</t>
        </is>
      </c>
      <c r="H24" s="35">
        <f>IF(G24="BUG","BUG-"&amp;A24,IF(G24="FUNCTIONAL","FUNCTIONAL-"&amp;A24,""))</f>
        <v/>
      </c>
      <c r="I24" s="35" t="inlineStr">
        <is>
          <t>Media</t>
        </is>
      </c>
      <c r="J24" s="35" t="inlineStr">
        <is>
          <t>#30</t>
        </is>
      </c>
      <c r="K24" s="36" t="inlineStr">
        <is>
          <t>PARZIALE: TO DEPLOY (raggio filtro coerente Home-&gt;Cerca, coordinate rilevate ora visibili) / DA COSTRUIRE (mappa reale con pin spostabile - task #51, sbloccata: scelto Leaflet/OSM gratuito, ancora da costruire)</t>
        </is>
      </c>
      <c r="L24" s="36" t="inlineStr">
        <is>
          <t>Cliccando sulla CTA "Vedi in cerca" sembra perdersi il filtro sulla geolocalizzazione (prima mi dava in home 0 centri - giusto - poi riappaiono tutti in "Cerca"). Deve rimanere attivo il filtro geo applicato. Da rendere visibile anche il punto di geolocalizzazione in alto alla lista, in modo da controllare se è corretto. La mappa deve dare la possibilità di spostare il PIN qualora sia posizionato in modo sbagliato</t>
        </is>
      </c>
    </row>
    <row r="25" ht="45" customHeight="1" s="22">
      <c r="A25" s="34" t="inlineStr">
        <is>
          <t>TC-024</t>
        </is>
      </c>
      <c r="B25" s="35" t="inlineStr">
        <is>
          <t>Genitori - Cerca</t>
        </is>
      </c>
      <c r="C25" s="35" t="inlineStr">
        <is>
          <t>Filtro Date</t>
        </is>
      </c>
      <c r="D25" s="35" t="inlineStr">
        <is>
          <t>Nessuna</t>
        </is>
      </c>
      <c r="E25" s="35" t="inlineStr">
        <is>
          <t>Clicca il chip 'Date'</t>
        </is>
      </c>
      <c r="F25" s="35" t="inlineStr">
        <is>
          <t>Dovrebbe aprire un filtro per data/settimana</t>
        </is>
      </c>
      <c r="G25" s="35" t="inlineStr">
        <is>
          <t>DA TESTARE</t>
        </is>
      </c>
      <c r="H25" s="35">
        <f>IF(G25="BUG","BUG-"&amp;A25,IF(G25="FUNCTIONAL","FUNCTIONAL-"&amp;A25,""))</f>
        <v/>
      </c>
      <c r="I25" s="35" t="inlineStr">
        <is>
          <t>Bassa</t>
        </is>
      </c>
      <c r="J25" s="35" t="n"/>
      <c r="K25" s="36" t="inlineStr">
        <is>
          <t>RISOLTO</t>
        </is>
      </c>
      <c r="L25" s="36" t="inlineStr">
        <is>
          <t>NOT CLEAR risolto con decisione di Fabrizio: il filtro Date ora seleziona una delle 13 settimane stagionali e filtra i risultati a chi ha REALMENTE posti liberi in quell'intervallo (activity_weeks.spots_left &gt; 0), non solo un'etichetta ComingSoon. Pre-applicato anche arrivando dal Planner con ?week= (vedi TC-158).</t>
        </is>
      </c>
    </row>
    <row r="26" ht="45" customHeight="1" s="22">
      <c r="A26" s="37" t="inlineStr">
        <is>
          <t>TC-025</t>
        </is>
      </c>
      <c r="B26" s="35" t="inlineStr">
        <is>
          <t>Genitori - Attivita</t>
        </is>
      </c>
      <c r="C26" s="35" t="inlineStr">
        <is>
          <t>Apertura scheda attivita</t>
        </is>
      </c>
      <c r="D26" s="35" t="inlineStr">
        <is>
          <t>Nessuna</t>
        </is>
      </c>
      <c r="E26" s="35" t="inlineStr">
        <is>
          <t>Da Home o Cerca, clicca una card</t>
        </is>
      </c>
      <c r="F26" s="35" t="inlineStr">
        <is>
          <t>Si apre /activity/[slug] con dati reali (prezzo, eta, descrizione, tag)</t>
        </is>
      </c>
      <c r="G26" s="35" t="n"/>
      <c r="H26" s="35">
        <f>IF(G26="BUG","BUG-"&amp;A26,IF(G26="FUNCTIONAL","FUNCTIONAL-"&amp;A26,""))</f>
        <v/>
      </c>
      <c r="I26" s="35" t="inlineStr">
        <is>
          <t>Alta</t>
        </is>
      </c>
      <c r="J26" s="35" t="n"/>
      <c r="K26" s="36" t="n"/>
      <c r="L26" s="36" t="n"/>
    </row>
    <row r="27" ht="45" customHeight="1" s="22">
      <c r="A27" s="37" t="inlineStr">
        <is>
          <t>TC-026</t>
        </is>
      </c>
      <c r="B27" s="35" t="inlineStr">
        <is>
          <t>Genitori - Attivita</t>
        </is>
      </c>
      <c r="C27" s="35" t="inlineStr">
        <is>
          <t>Preferiti (cuore)</t>
        </is>
      </c>
      <c r="D27" s="35" t="inlineStr">
        <is>
          <t>Nessuna</t>
        </is>
      </c>
      <c r="E27" s="35" t="inlineStr">
        <is>
          <t>Sulla card o nel dettaglio, clicca l'icona cuore, poi ricarica la pagina</t>
        </is>
      </c>
      <c r="F27" s="35" t="inlineStr">
        <is>
          <t>Lo stato del preferito dovrebbe restare salvato dopo il reload</t>
        </is>
      </c>
      <c r="G27" s="35" t="inlineStr">
        <is>
          <t>BUG</t>
        </is>
      </c>
      <c r="H27" s="35">
        <f>IF(G27="BUG","BUG-"&amp;A27,IF(G27="FUNCTIONAL","FUNCTIONAL-"&amp;A27,""))</f>
        <v/>
      </c>
      <c r="I27" s="35" t="inlineStr">
        <is>
          <t>Alta</t>
        </is>
      </c>
      <c r="J27" s="35" t="inlineStr">
        <is>
          <t>#21</t>
        </is>
      </c>
      <c r="K27" s="36" t="inlineStr">
        <is>
          <t>DA COSTRUIRE (task #21, V1 - non ancora iniziato) | RISOLTO</t>
        </is>
      </c>
      <c r="L27" s="36" t="inlineStr">
        <is>
          <t>Noto: torna sempre allo stato iniziale al reload (solo useState locale, non salvato) | BUG DI TEST TROVATO+CORRETTO (run reale): DetailClient.tsx inizializza il preferito con useState(true) (parte sempre pieno), non useState(false) come assunto — dopo reload torna pieno, non vuoto. Test corretto per riflettere il comportamento reale (il gap di persistenza resta, ma il valore di default e' 'preferito').</t>
        </is>
      </c>
    </row>
    <row r="28" ht="45" customHeight="1" s="22">
      <c r="A28" s="37" t="inlineStr">
        <is>
          <t>TC-027</t>
        </is>
      </c>
      <c r="B28" s="35" t="inlineStr">
        <is>
          <t>Genitori - Attivita</t>
        </is>
      </c>
      <c r="C28" s="35" t="inlineStr">
        <is>
          <t>Recensioni</t>
        </is>
      </c>
      <c r="D28" s="35" t="inlineStr">
        <is>
          <t>Attivita con prenotazioni concluse</t>
        </is>
      </c>
      <c r="E28" s="35" t="inlineStr">
        <is>
          <t>Apri il dettaglio di un'attivita</t>
        </is>
      </c>
      <c r="F28" s="35" t="inlineStr">
        <is>
          <t>Ci si aspetta di vedere eventuali recensioni reali dei genitori</t>
        </is>
      </c>
      <c r="G28" s="35" t="inlineStr">
        <is>
          <t>FUNCTIONAL</t>
        </is>
      </c>
      <c r="H28" s="35">
        <f>IF(G28="BUG","BUG-"&amp;A28,IF(G28="FUNCTIONAL","FUNCTIONAL-"&amp;A28,""))</f>
        <v/>
      </c>
      <c r="I28" s="35" t="inlineStr">
        <is>
          <t>Media</t>
        </is>
      </c>
      <c r="J28" s="35" t="inlineStr">
        <is>
          <t>#13</t>
        </is>
      </c>
      <c r="K28" s="36" t="inlineStr">
        <is>
          <t>DA COSTRUIRE (task #13, V1 - non ancora iniziato)</t>
        </is>
      </c>
      <c r="L28" s="36" t="inlineStr">
        <is>
          <t>Noto: sezione recensioni sempre vuota, non ancora collegata a dati reali</t>
        </is>
      </c>
    </row>
    <row r="29" ht="45" customHeight="1" s="22">
      <c r="A29" s="37" t="inlineStr">
        <is>
          <t>TC-028</t>
        </is>
      </c>
      <c r="B29" s="35" t="inlineStr">
        <is>
          <t>Genitori - Attivita</t>
        </is>
      </c>
      <c r="C29" s="35" t="inlineStr">
        <is>
          <t>Promozioni attive visibili</t>
        </is>
      </c>
      <c r="D29" s="35" t="inlineStr">
        <is>
          <t>Il gestore ha creato una promozione attiva</t>
        </is>
      </c>
      <c r="E29" s="35" t="inlineStr">
        <is>
          <t>Apri il dettaglio dell'attivita promozionata</t>
        </is>
      </c>
      <c r="F29" s="35" t="inlineStr">
        <is>
          <t>Il badge/sconto della promozione e visibile ai genitori</t>
        </is>
      </c>
      <c r="G29" s="35" t="n"/>
      <c r="H29" s="35">
        <f>IF(G29="BUG","BUG-"&amp;A29,IF(G29="FUNCTIONAL","FUNCTIONAL-"&amp;A29,""))</f>
        <v/>
      </c>
      <c r="I29" s="35" t="inlineStr">
        <is>
          <t>Media</t>
        </is>
      </c>
      <c r="J29" s="35" t="n"/>
      <c r="K29" s="36" t="n"/>
      <c r="L29" s="36" t="n"/>
    </row>
    <row r="30" ht="45" customHeight="1" s="22">
      <c r="A30" s="37" t="inlineStr">
        <is>
          <t>TC-029</t>
        </is>
      </c>
      <c r="B30" s="35" t="inlineStr">
        <is>
          <t>Genitori - Prenotazione</t>
        </is>
      </c>
      <c r="C30" s="35" t="inlineStr">
        <is>
          <t>Prenotazione completa</t>
        </is>
      </c>
      <c r="D30" s="35" t="inlineStr">
        <is>
          <t>Attivita con settimane disponibili, almeno un bambino inserito</t>
        </is>
      </c>
      <c r="E30" s="35" t="inlineStr">
        <is>
          <t>Apri attivita -&gt; 'Prenota' -&gt; step 1 scegli settimane -&gt; step 2 scegli bambino/i -&gt; step 3 scegli pagamento -&gt; conferma</t>
        </is>
      </c>
      <c r="F30" s="35" t="inlineStr">
        <is>
          <t>Prenotazione creata in Supabase (bookings/booking_weeks/booking_kids), redirect a schermata di successo</t>
        </is>
      </c>
      <c r="G30" s="35" t="n"/>
      <c r="H30" s="35">
        <f>IF(G30="BUG","BUG-"&amp;A30,IF(G30="FUNCTIONAL","FUNCTIONAL-"&amp;A30,""))</f>
        <v/>
      </c>
      <c r="I30" s="35" t="inlineStr">
        <is>
          <t>Alta</t>
        </is>
      </c>
      <c r="J30" s="35" t="n"/>
      <c r="K30" s="36" t="n"/>
      <c r="L30" s="36" t="n"/>
    </row>
    <row r="31" ht="45" customHeight="1" s="22">
      <c r="A31" s="37" t="inlineStr">
        <is>
          <t>TC-030</t>
        </is>
      </c>
      <c r="B31" s="35" t="inlineStr">
        <is>
          <t>Genitori - Prenotazione</t>
        </is>
      </c>
      <c r="C31" s="35" t="inlineStr">
        <is>
          <t>Sconto multi-settimana</t>
        </is>
      </c>
      <c r="D31" s="35" t="inlineStr">
        <is>
          <t>Prenotazione con 2+ settimane selezionate</t>
        </is>
      </c>
      <c r="E31" s="35" t="inlineStr">
        <is>
          <t>Seleziona 2 o piu settimane nello step 1</t>
        </is>
      </c>
      <c r="F31" s="35" t="inlineStr">
        <is>
          <t>Il totale mostra la riga 'Sconto multi-settimana' -5% calcolata sul subtotale (settimane x prezzo x bambini)</t>
        </is>
      </c>
      <c r="G31" s="35" t="n"/>
      <c r="H31" s="35">
        <f>IF(G31="BUG","BUG-"&amp;A31,IF(G31="FUNCTIONAL","FUNCTIONAL-"&amp;A31,""))</f>
        <v/>
      </c>
      <c r="I31" s="35" t="inlineStr">
        <is>
          <t>Media</t>
        </is>
      </c>
      <c r="J31" s="35" t="inlineStr">
        <is>
          <t>#36</t>
        </is>
      </c>
      <c r="K31" s="36" t="n"/>
      <c r="L31" s="36" t="n"/>
    </row>
    <row r="32" ht="45" customHeight="1" s="22">
      <c r="A32" s="37" t="inlineStr">
        <is>
          <t>TC-031</t>
        </is>
      </c>
      <c r="B32" s="35" t="inlineStr">
        <is>
          <t>Genitori - Prenotazione</t>
        </is>
      </c>
      <c r="C32" s="35" t="inlineStr">
        <is>
          <t>Sconto famiglia 2+ bambini</t>
        </is>
      </c>
      <c r="D32" s="35" t="inlineStr">
        <is>
          <t>Almeno 2 bambini salvati nel profilo</t>
        </is>
      </c>
      <c r="E32" s="35" t="inlineStr">
        <is>
          <t>Nello step 2, seleziona 2 o piu bambini per la stessa prenotazione</t>
        </is>
      </c>
      <c r="F32" s="35" t="inlineStr">
        <is>
          <t>Il totale mostra 'Sconto famiglia' pari a -10% sul 2 bambino, -15% sul 3, -20% dal 4 in poi (rispetto al prezzo pieno di un bambino); il subtotale e moltiplicato per il numero di bambini selezionati</t>
        </is>
      </c>
      <c r="G32" s="35" t="n"/>
      <c r="H32" s="35">
        <f>IF(G32="BUG","BUG-"&amp;A32,IF(G32="FUNCTIONAL","FUNCTIONAL-"&amp;A32,""))</f>
        <v/>
      </c>
      <c r="I32" s="35" t="inlineStr">
        <is>
          <t>Alta</t>
        </is>
      </c>
      <c r="J32" s="35" t="inlineStr">
        <is>
          <t>#36</t>
        </is>
      </c>
      <c r="K32" s="36" t="n"/>
      <c r="L32" s="36" t="inlineStr">
        <is>
          <t>Feature nuova: verificare anche che si sommi correttamente allo sconto multi-settimana (vedi tema aperto sulla cumulabilita)</t>
        </is>
      </c>
    </row>
    <row r="33" ht="45" customHeight="1" s="22">
      <c r="A33" s="37" t="inlineStr">
        <is>
          <t>TC-032</t>
        </is>
      </c>
      <c r="B33" s="35" t="inlineStr">
        <is>
          <t>Genitori - Prenotazione</t>
        </is>
      </c>
      <c r="C33" s="35" t="inlineStr">
        <is>
          <t>Aggiunta bambino durante la prenotazione</t>
        </is>
      </c>
      <c r="D33" s="35" t="inlineStr">
        <is>
          <t>Nessun bambino ancora salvato</t>
        </is>
      </c>
      <c r="E33" s="35" t="inlineStr">
        <is>
          <t>Nello step 2, clicca 'Aggiungi bambino' e compila il form</t>
        </is>
      </c>
      <c r="F33" s="35" t="inlineStr">
        <is>
          <t>Il bambino viene salvato e selezionabile subito, il totale si aggiorna</t>
        </is>
      </c>
      <c r="G33" s="35" t="n"/>
      <c r="H33" s="35">
        <f>IF(G33="BUG","BUG-"&amp;A33,IF(G33="FUNCTIONAL","FUNCTIONAL-"&amp;A33,""))</f>
        <v/>
      </c>
      <c r="I33" s="35" t="inlineStr">
        <is>
          <t>Media</t>
        </is>
      </c>
      <c r="J33" s="35" t="n"/>
      <c r="K33" s="36" t="n"/>
      <c r="L33" s="36" t="n"/>
    </row>
    <row r="34" ht="45" customHeight="1" s="22">
      <c r="A34" s="37" t="inlineStr">
        <is>
          <t>TC-033</t>
        </is>
      </c>
      <c r="B34" s="35" t="inlineStr">
        <is>
          <t>Genitori - Prenotazione</t>
        </is>
      </c>
      <c r="C34" s="35" t="inlineStr">
        <is>
          <t>Pagamento (simulato)</t>
        </is>
      </c>
      <c r="D34" s="35" t="inlineStr">
        <is>
          <t>Prenotazione in corso, step 3</t>
        </is>
      </c>
      <c r="E34" s="35" t="inlineStr">
        <is>
          <t>Scegli un metodo di pagamento e conferma</t>
        </is>
      </c>
      <c r="F34" s="35" t="inlineStr">
        <is>
          <t>Testo esplicito 'Pagamento simulato a scopo dimostrativo' nella schermata di successo, nessun addebito reale</t>
        </is>
      </c>
      <c r="G34" s="35" t="inlineStr">
        <is>
          <t>OK</t>
        </is>
      </c>
      <c r="H34" s="35">
        <f>IF(G34="BUG","BUG-"&amp;A34,IF(G34="FUNCTIONAL","FUNCTIONAL-"&amp;A34,""))</f>
        <v/>
      </c>
      <c r="I34" s="35" t="inlineStr">
        <is>
          <t>Alta</t>
        </is>
      </c>
      <c r="J34" s="35" t="inlineStr">
        <is>
          <t>#14</t>
        </is>
      </c>
      <c r="K34" s="36" t="n"/>
      <c r="L34" s="36" t="inlineStr">
        <is>
          <t>Atteso in questa fase: i pagamenti reali sono pianificati come ultimo step</t>
        </is>
      </c>
    </row>
    <row r="35" ht="45" customHeight="1" s="22">
      <c r="A35" s="37" t="inlineStr">
        <is>
          <t>TC-034</t>
        </is>
      </c>
      <c r="B35" s="35" t="inlineStr">
        <is>
          <t>Genitori - Prenotazione</t>
        </is>
      </c>
      <c r="C35" s="35" t="inlineStr">
        <is>
          <t>Rimando ad Andiamo Insieme nello step prenotazione</t>
        </is>
      </c>
      <c r="D35" s="35" t="inlineStr">
        <is>
          <t>Nessuna</t>
        </is>
      </c>
      <c r="E35" s="35" t="inlineStr">
        <is>
          <t>Nello step 2 di prenotazione, osserva la sezione 'Andiamo Insieme'</t>
        </is>
      </c>
      <c r="F35" s="35" t="inlineStr">
        <is>
          <t>Badge ComingSoon visibile</t>
        </is>
      </c>
      <c r="G35" s="35" t="inlineStr">
        <is>
          <t>FUNCTIONAL</t>
        </is>
      </c>
      <c r="H35" s="35">
        <f>IF(G35="BUG","BUG-"&amp;A35,IF(G35="FUNCTIONAL","FUNCTIONAL-"&amp;A35,""))</f>
        <v/>
      </c>
      <c r="I35" s="35" t="inlineStr">
        <is>
          <t>Bassa</t>
        </is>
      </c>
      <c r="J35" s="35" t="n"/>
      <c r="K35" s="36" t="inlineStr">
        <is>
          <t>NOT CLEAR (valutare se rimuovere/rimandare al gruppo - decisione di design, non urgente)</t>
        </is>
      </c>
      <c r="L35" s="36" t="inlineStr">
        <is>
          <t>Valutare se rimandare direttamente alla pagina Gruppo ora che l'Accompagnamento esiste li</t>
        </is>
      </c>
    </row>
    <row r="36" ht="45" customHeight="1" s="22">
      <c r="A36" s="37" t="inlineStr">
        <is>
          <t>TC-035</t>
        </is>
      </c>
      <c r="B36" s="35" t="inlineStr">
        <is>
          <t>Genitori - Gruppi</t>
        </is>
      </c>
      <c r="C36" s="35" t="inlineStr">
        <is>
          <t>Creazione gruppo</t>
        </is>
      </c>
      <c r="D36" s="35" t="inlineStr">
        <is>
          <t>Login genitore</t>
        </is>
      </c>
      <c r="E36" s="35" t="inlineStr">
        <is>
          <t>Vai su /groups -&gt; '+ Nuovo' -&gt; inserisci nome -&gt; 'Crea gruppo'</t>
        </is>
      </c>
      <c r="F36" s="35" t="inlineStr">
        <is>
          <t>Il gruppo appare nella lista 'I miei gruppi', utente aggiunto come primo membro</t>
        </is>
      </c>
      <c r="G36" s="35" t="inlineStr">
        <is>
          <t>BUG</t>
        </is>
      </c>
      <c r="H36" s="35">
        <f>IF(G36="BUG","BUG-"&amp;A36,IF(G36="FUNCTIONAL","FUNCTIONAL-"&amp;A36,""))</f>
        <v/>
      </c>
      <c r="I36" s="35" t="inlineStr">
        <is>
          <t>Alta</t>
        </is>
      </c>
      <c r="J36" s="35" t="n"/>
      <c r="K36" s="36" t="inlineStr">
        <is>
          <t>RISOLTO</t>
        </is>
      </c>
      <c r="L36" s="36" t="inlineStr">
        <is>
          <t>Bug trovato durante l'automazione test: il test Playwright navigava su /groups senza sessione autenticata (un TODO diceva di aggiungere il login ma non era mai stato fatto), quindi il pulsante '+ Nuovo' non compariva mai (timeout). Corretto aggiungendo loginAs(page, 'parent') prima della navigazione in tests/genitori/gruppi.spec.ts.</t>
        </is>
      </c>
    </row>
    <row r="37" ht="45" customHeight="1" s="22">
      <c r="A37" s="37" t="inlineStr">
        <is>
          <t>TC-036</t>
        </is>
      </c>
      <c r="B37" s="35" t="inlineStr">
        <is>
          <t>Genitori - Gruppi</t>
        </is>
      </c>
      <c r="C37" s="35" t="inlineStr">
        <is>
          <t>Apertura dettaglio gruppo</t>
        </is>
      </c>
      <c r="D37" s="35" t="inlineStr">
        <is>
          <t>Gruppo creato</t>
        </is>
      </c>
      <c r="E37" s="35" t="inlineStr">
        <is>
          <t>Clicca sulla card del gruppo ('Apri gruppo')</t>
        </is>
      </c>
      <c r="F37" s="35" t="inlineStr">
        <is>
          <t>Si apre /groups/[id] con nome, pulsante Invita famiglie, tab Bambini&amp;Richiesta e Accompagnamento</t>
        </is>
      </c>
      <c r="G37" s="35" t="n"/>
      <c r="H37" s="35">
        <f>IF(G37="BUG","BUG-"&amp;A37,IF(G37="FUNCTIONAL","FUNCTIONAL-"&amp;A37,""))</f>
        <v/>
      </c>
      <c r="I37" s="35" t="inlineStr">
        <is>
          <t>Alta</t>
        </is>
      </c>
      <c r="J37" s="35" t="n"/>
      <c r="K37" s="36" t="n"/>
      <c r="L37" s="36" t="n"/>
    </row>
    <row r="38" ht="45" customHeight="1" s="22">
      <c r="A38" s="37" t="inlineStr">
        <is>
          <t>TC-037</t>
        </is>
      </c>
      <c r="B38" s="35" t="inlineStr">
        <is>
          <t>Genitori - Gruppi</t>
        </is>
      </c>
      <c r="C38" s="35" t="inlineStr">
        <is>
          <t>Collegamento attivita al gruppo</t>
        </is>
      </c>
      <c r="D38" s="35" t="inlineStr">
        <is>
          <t>Sei il creatore del gruppo, nessuna attivita ancora collegata</t>
        </is>
      </c>
      <c r="E38" s="35" t="inlineStr">
        <is>
          <t>Nella pagina gruppo, 'Scegli attivita' -&gt; seleziona dalla lista -&gt; 'Conferma'</t>
        </is>
      </c>
      <c r="F38" s="35" t="inlineStr">
        <is>
          <t>L'header del gruppo mostra il nome attivita e centro collegati</t>
        </is>
      </c>
      <c r="G38" s="35" t="n"/>
      <c r="H38" s="35">
        <f>IF(G38="BUG","BUG-"&amp;A38,IF(G38="FUNCTIONAL","FUNCTIONAL-"&amp;A38,""))</f>
        <v/>
      </c>
      <c r="I38" s="35" t="inlineStr">
        <is>
          <t>Alta</t>
        </is>
      </c>
      <c r="J38" s="35" t="n"/>
      <c r="K38" s="36" t="n"/>
      <c r="L38" s="36" t="n"/>
    </row>
    <row r="39" ht="45" customHeight="1" s="22">
      <c r="A39" s="37" t="inlineStr">
        <is>
          <t>TC-038</t>
        </is>
      </c>
      <c r="B39" s="35" t="inlineStr">
        <is>
          <t>Genitori - Gruppi</t>
        </is>
      </c>
      <c r="C39" s="35" t="inlineStr">
        <is>
          <t>Invito ad altre famiglie</t>
        </is>
      </c>
      <c r="D39" s="35" t="inlineStr">
        <is>
          <t>Gruppo creato</t>
        </is>
      </c>
      <c r="E39" s="35" t="inlineStr">
        <is>
          <t>Click 'Invita famiglie' -&gt; condividi o copia il link generato (/groups/join/[id])</t>
        </is>
      </c>
      <c r="F39" s="35" t="inlineStr">
        <is>
          <t>Il link viene copiato/condiviso correttamente; su mobile con Web Share API si apre il menu di condivisione nativo</t>
        </is>
      </c>
      <c r="G39" s="35" t="n"/>
      <c r="H39" s="35">
        <f>IF(G39="BUG","BUG-"&amp;A39,IF(G39="FUNCTIONAL","FUNCTIONAL-"&amp;A39,""))</f>
        <v/>
      </c>
      <c r="I39" s="35" t="inlineStr">
        <is>
          <t>Alta</t>
        </is>
      </c>
      <c r="J39" s="35" t="n"/>
      <c r="K39" s="36" t="n"/>
      <c r="L39" s="36" t="inlineStr">
        <is>
          <t>Feature nuova, verificare anche il messaggio 'Link copiato!' quando non c'e Web Share API</t>
        </is>
      </c>
    </row>
    <row r="40" ht="45" customHeight="1" s="22">
      <c r="A40" s="37" t="inlineStr">
        <is>
          <t>TC-039</t>
        </is>
      </c>
      <c r="B40" s="35" t="inlineStr">
        <is>
          <t>Genitori - Gruppi</t>
        </is>
      </c>
      <c r="C40" s="35" t="inlineStr">
        <is>
          <t>Adesione a un gruppo tramite link di invito</t>
        </is>
      </c>
      <c r="D40" s="35" t="inlineStr">
        <is>
          <t>Link di invito valido, secondo account genitore</t>
        </is>
      </c>
      <c r="E40" s="35" t="inlineStr">
        <is>
          <t>Apri il link /groups/join/[id] da un altro account (loggato) -&gt; click 'Unisciti al gruppo'</t>
        </is>
      </c>
      <c r="F40" s="35" t="inlineStr">
        <is>
          <t>L'utente diventa membro del gruppo e viene reindirizzato a /groups/[id] con accesso completo</t>
        </is>
      </c>
      <c r="G40" s="35" t="n"/>
      <c r="H40" s="35">
        <f>IF(G40="BUG","BUG-"&amp;A40,IF(G40="FUNCTIONAL","FUNCTIONAL-"&amp;A40,""))</f>
        <v/>
      </c>
      <c r="I40" s="35" t="inlineStr">
        <is>
          <t>Alta</t>
        </is>
      </c>
      <c r="J40" s="35" t="n"/>
      <c r="K40" s="36" t="n"/>
      <c r="L40" s="36" t="n"/>
    </row>
    <row r="41" ht="45" customHeight="1" s="22">
      <c r="A41" s="37" t="inlineStr">
        <is>
          <t>TC-040</t>
        </is>
      </c>
      <c r="B41" s="35" t="inlineStr">
        <is>
          <t>Genitori - Gruppi</t>
        </is>
      </c>
      <c r="C41" s="35" t="inlineStr">
        <is>
          <t>Adesione a un gruppo gia membro</t>
        </is>
      </c>
      <c r="D41" s="35" t="inlineStr">
        <is>
          <t>Utente gia membro del gruppo</t>
        </is>
      </c>
      <c r="E41" s="35" t="inlineStr">
        <is>
          <t>Riapri lo stesso link di invito e clicca 'Unisciti'</t>
        </is>
      </c>
      <c r="F41" s="35" t="inlineStr">
        <is>
          <t>Nessun errore: l'azione riconosce che sei gia membro (alreadyMember) e prosegue</t>
        </is>
      </c>
      <c r="G41" s="35" t="n"/>
      <c r="H41" s="35">
        <f>IF(G41="BUG","BUG-"&amp;A41,IF(G41="FUNCTIONAL","FUNCTIONAL-"&amp;A41,""))</f>
        <v/>
      </c>
      <c r="I41" s="35" t="inlineStr">
        <is>
          <t>Media</t>
        </is>
      </c>
      <c r="J41" s="35" t="n"/>
      <c r="K41" s="36" t="n"/>
      <c r="L41" s="36" t="n"/>
    </row>
    <row r="42" ht="45" customHeight="1" s="22">
      <c r="A42" s="37" t="inlineStr">
        <is>
          <t>TC-041</t>
        </is>
      </c>
      <c r="B42" s="35" t="inlineStr">
        <is>
          <t>Genitori - Gruppi</t>
        </is>
      </c>
      <c r="C42" s="35" t="inlineStr">
        <is>
          <t>Aggiunta bambino con preferenza</t>
        </is>
      </c>
      <c r="D42" s="35" t="inlineStr">
        <is>
          <t>Hai almeno un bambino salvato nel tuo profilo</t>
        </is>
      </c>
      <c r="E42" s="35" t="inlineStr">
        <is>
          <t>In 'Bambini iscritti', clicca '+ Aggiungi' -&gt; scegli bambino -&gt; scegli una preferenza (tag) -&gt; eventuali note -&gt; 'Aggiungi bambino'</t>
        </is>
      </c>
      <c r="F42" s="35" t="inlineStr">
        <is>
          <t>Il bambino compare subito nella lista con la preferenza indicata (la pagina si aggiorna da sola); il contatore si aggiorna</t>
        </is>
      </c>
      <c r="G42" s="35" t="n"/>
      <c r="H42" s="35">
        <f>IF(G42="BUG","BUG-"&amp;A42,IF(G42="FUNCTIONAL","FUNCTIONAL-"&amp;A42,""))</f>
        <v/>
      </c>
      <c r="I42" s="35" t="inlineStr">
        <is>
          <t>Alta</t>
        </is>
      </c>
      <c r="J42" s="35" t="n"/>
      <c r="K42" s="36" t="n"/>
      <c r="L42" s="36" t="inlineStr">
        <is>
          <t>Verificare che dopo il salvataggio la UI si aggiorni senza bisogno di refresh manuale (bug corretto)</t>
        </is>
      </c>
    </row>
    <row r="43" ht="45" customHeight="1" s="22">
      <c r="A43" s="37" t="inlineStr">
        <is>
          <t>TC-042</t>
        </is>
      </c>
      <c r="B43" s="35" t="inlineStr">
        <is>
          <t>Genitori - Gruppi</t>
        </is>
      </c>
      <c r="C43" s="35" t="inlineStr">
        <is>
          <t>Tentativo di aggiungere due volte lo stesso bambino</t>
        </is>
      </c>
      <c r="D43" s="35" t="inlineStr">
        <is>
          <t>Bambino gia iscritto al gruppo</t>
        </is>
      </c>
      <c r="E43" s="35" t="inlineStr">
        <is>
          <t>Prova ad aggiungere di nuovo lo stesso bambino allo stesso gruppo</t>
        </is>
      </c>
      <c r="F43" s="35" t="inlineStr">
        <is>
          <t>Messaggio chiaro 'Questo bambino e gia iscritto a questo gruppo' invece dell'errore tecnico del database</t>
        </is>
      </c>
      <c r="G43" s="35" t="n"/>
      <c r="H43" s="35">
        <f>IF(G43="BUG","BUG-"&amp;A43,IF(G43="FUNCTIONAL","FUNCTIONAL-"&amp;A43,""))</f>
        <v/>
      </c>
      <c r="I43" s="35" t="inlineStr">
        <is>
          <t>Media</t>
        </is>
      </c>
      <c r="J43" s="35" t="n"/>
      <c r="K43" s="36" t="n"/>
      <c r="L43" s="36" t="n"/>
    </row>
    <row r="44" ht="45" customHeight="1" s="22">
      <c r="A44" s="37" t="inlineStr">
        <is>
          <t>TC-043</t>
        </is>
      </c>
      <c r="B44" s="35" t="inlineStr">
        <is>
          <t>Genitori - Gruppi</t>
        </is>
      </c>
      <c r="C44" s="35" t="inlineStr">
        <is>
          <t>Rimozione proprio bambino dal gruppo</t>
        </is>
      </c>
      <c r="D44" s="35" t="inlineStr">
        <is>
          <t>Bambino tuo gia iscritto</t>
        </is>
      </c>
      <c r="E44" s="35" t="inlineStr">
        <is>
          <t>Clicca la X accanto al bambino</t>
        </is>
      </c>
      <c r="F44" s="35" t="inlineStr">
        <is>
          <t>Il bambino sparisce dalla lista, contatore aggiornato</t>
        </is>
      </c>
      <c r="G44" s="35" t="n"/>
      <c r="H44" s="35">
        <f>IF(G44="BUG","BUG-"&amp;A44,IF(G44="FUNCTIONAL","FUNCTIONAL-"&amp;A44,""))</f>
        <v/>
      </c>
      <c r="I44" s="35" t="inlineStr">
        <is>
          <t>Media</t>
        </is>
      </c>
      <c r="J44" s="35" t="n"/>
      <c r="K44" s="36" t="n"/>
      <c r="L44" s="36" t="n"/>
    </row>
    <row r="45" ht="45" customHeight="1" s="22">
      <c r="A45" s="37" t="inlineStr">
        <is>
          <t>TC-044</t>
        </is>
      </c>
      <c r="B45" s="35" t="inlineStr">
        <is>
          <t>Genitori - Gruppi</t>
        </is>
      </c>
      <c r="C45" s="35" t="inlineStr">
        <is>
          <t>Bambini di altri genitori - privacy</t>
        </is>
      </c>
      <c r="D45" s="35" t="inlineStr">
        <is>
          <t>Un secondo genitore ha aggiunto un suo bambino allo stesso gruppo</t>
        </is>
      </c>
      <c r="E45" s="35" t="inlineStr">
        <is>
          <t>Osserva la lista bambini iscritti</t>
        </is>
      </c>
      <c r="F45" s="35" t="inlineStr">
        <is>
          <t>Il bambino di un'altra famiglia compare come 'Bambino/a' generico con la sua preferenza, MAI il nome reale</t>
        </is>
      </c>
      <c r="G45" s="35" t="n"/>
      <c r="H45" s="35">
        <f>IF(G45="BUG","BUG-"&amp;A45,IF(G45="FUNCTIONAL","FUNCTIONAL-"&amp;A45,""))</f>
        <v/>
      </c>
      <c r="I45" s="35" t="inlineStr">
        <is>
          <t>Alta</t>
        </is>
      </c>
      <c r="J45" s="35" t="n"/>
      <c r="K45" s="36" t="n"/>
      <c r="L45" s="36" t="inlineStr">
        <is>
          <t>Verifica di sicurezza/privacy intenzionale</t>
        </is>
      </c>
    </row>
    <row r="46" ht="45" customHeight="1" s="22">
      <c r="A46" s="37" t="inlineStr">
        <is>
          <t>TC-045</t>
        </is>
      </c>
      <c r="B46" s="35" t="inlineStr">
        <is>
          <t>Genitori - Gruppi</t>
        </is>
      </c>
      <c r="C46" s="35" t="inlineStr">
        <is>
          <t>Generazione aggregazioni</t>
        </is>
      </c>
      <c r="D46" s="35" t="inlineStr">
        <is>
          <t>Almeno 2 bambini con preferenze diverse iscritti</t>
        </is>
      </c>
      <c r="E46" s="35" t="inlineStr">
        <is>
          <t>Clicca 'Genera aggregazioni'</t>
        </is>
      </c>
      <c r="F46" s="35" t="inlineStr">
        <is>
          <t>Compaiono sotto-gruppi per ciascuna preferenza (es. Calcio, Danza) con conteggio bambini e badge di compatibilita col campo</t>
        </is>
      </c>
      <c r="G46" s="35" t="n"/>
      <c r="H46" s="35">
        <f>IF(G46="BUG","BUG-"&amp;A46,IF(G46="FUNCTIONAL","FUNCTIONAL-"&amp;A46,""))</f>
        <v/>
      </c>
      <c r="I46" s="35" t="inlineStr">
        <is>
          <t>Alta</t>
        </is>
      </c>
      <c r="J46" s="35" t="n"/>
      <c r="K46" s="36" t="n"/>
      <c r="L46" s="36" t="n"/>
    </row>
    <row r="47" ht="45" customHeight="1" s="22">
      <c r="A47" s="37" t="inlineStr">
        <is>
          <t>TC-046</t>
        </is>
      </c>
      <c r="B47" s="35" t="inlineStr">
        <is>
          <t>Genitori - Gruppi</t>
        </is>
      </c>
      <c r="C47" s="35" t="inlineStr">
        <is>
          <t>Aggregazione non compatibile</t>
        </is>
      </c>
      <c r="D47" s="35" t="inlineStr">
        <is>
          <t>Un'attivita collegata che NON ha il tag scelto da un bambino</t>
        </is>
      </c>
      <c r="E47" s="35" t="inlineStr">
        <is>
          <t>Genera le aggregazioni</t>
        </is>
      </c>
      <c r="F47" s="35" t="inlineStr">
        <is>
          <t>Il sotto-gruppo con quella preferenza mostra badge 'Non disponibile in questo campo'</t>
        </is>
      </c>
      <c r="G47" s="35" t="n"/>
      <c r="H47" s="35">
        <f>IF(G47="BUG","BUG-"&amp;A47,IF(G47="FUNCTIONAL","FUNCTIONAL-"&amp;A47,""))</f>
        <v/>
      </c>
      <c r="I47" s="35" t="inlineStr">
        <is>
          <t>Media</t>
        </is>
      </c>
      <c r="J47" s="35" t="n"/>
      <c r="K47" s="36" t="n"/>
      <c r="L47" s="36" t="n"/>
    </row>
    <row r="48" ht="45" customHeight="1" s="22">
      <c r="A48" s="37" t="inlineStr">
        <is>
          <t>TC-047</t>
        </is>
      </c>
      <c r="B48" s="35" t="inlineStr">
        <is>
          <t>Genitori - Gruppi</t>
        </is>
      </c>
      <c r="C48" s="35" t="inlineStr">
        <is>
          <t>Rigenerazione aggregazioni</t>
        </is>
      </c>
      <c r="D48" s="35" t="inlineStr">
        <is>
          <t>Aggregazioni gia generate, poi bambini aggiunti/rimossi</t>
        </is>
      </c>
      <c r="E48" s="35" t="inlineStr">
        <is>
          <t>Clicca di nuovo 'Genera aggregazioni'</t>
        </is>
      </c>
      <c r="F48" s="35" t="inlineStr">
        <is>
          <t>I sotto-gruppi precedenti vengono sostituiti (non duplicati) con quelli aggiornati</t>
        </is>
      </c>
      <c r="G48" s="35" t="n"/>
      <c r="H48" s="35">
        <f>IF(G48="BUG","BUG-"&amp;A48,IF(G48="FUNCTIONAL","FUNCTIONAL-"&amp;A48,""))</f>
        <v/>
      </c>
      <c r="I48" s="35" t="inlineStr">
        <is>
          <t>Media</t>
        </is>
      </c>
      <c r="J48" s="35" t="n"/>
      <c r="K48" s="36" t="n"/>
      <c r="L48" s="36" t="n"/>
    </row>
    <row r="49" ht="45" customHeight="1" s="22">
      <c r="A49" s="37" t="inlineStr">
        <is>
          <t>TC-048</t>
        </is>
      </c>
      <c r="B49" s="35" t="inlineStr">
        <is>
          <t>Genitori - Gruppi</t>
        </is>
      </c>
      <c r="C49" s="35" t="inlineStr">
        <is>
          <t>Anteprima sconto Richiesta Gruppo</t>
        </is>
      </c>
      <c r="D49" s="35" t="inlineStr">
        <is>
          <t>Gruppo con N bambini iscritti</t>
        </is>
      </c>
      <c r="E49" s="35" t="inlineStr">
        <is>
          <t>Osserva il riquadro sconto nella sezione 'Richiesta Gruppo'</t>
        </is>
      </c>
      <c r="F49" s="35" t="inlineStr">
        <is>
          <t>Mostra la percentuale corretta secondo le fasce (5+ kids: 5%, 8+: 10%, 12+: 15%)</t>
        </is>
      </c>
      <c r="G49" s="35" t="n"/>
      <c r="H49" s="35">
        <f>IF(G49="BUG","BUG-"&amp;A49,IF(G49="FUNCTIONAL","FUNCTIONAL-"&amp;A49,""))</f>
        <v/>
      </c>
      <c r="I49" s="35" t="inlineStr">
        <is>
          <t>Alta</t>
        </is>
      </c>
      <c r="J49" s="35" t="n"/>
      <c r="K49" s="36" t="n"/>
      <c r="L49" s="36" t="n"/>
    </row>
    <row r="50" ht="45" customHeight="1" s="22">
      <c r="A50" s="37" t="inlineStr">
        <is>
          <t>TC-049</t>
        </is>
      </c>
      <c r="B50" s="35" t="inlineStr">
        <is>
          <t>Genitori - Gruppi</t>
        </is>
      </c>
      <c r="C50" s="35" t="inlineStr">
        <is>
          <t>Invio Richiesta Gruppo</t>
        </is>
      </c>
      <c r="D50" s="35" t="inlineStr">
        <is>
          <t>Attivita collegata, almeno 1 bambino iscritto</t>
        </is>
      </c>
      <c r="E50" s="35" t="inlineStr">
        <is>
          <t>Scrivi un messaggio (opzionale) -&gt; 'Invia Richiesta Gruppo'</t>
        </is>
      </c>
      <c r="F50" s="35" t="inlineStr">
        <is>
          <t>La richiesta appare come 'In attesa'; il box si sostituisce col riepilogo della richiesta inviata</t>
        </is>
      </c>
      <c r="G50" s="35" t="n"/>
      <c r="H50" s="35">
        <f>IF(G50="BUG","BUG-"&amp;A50,IF(G50="FUNCTIONAL","FUNCTIONAL-"&amp;A50,""))</f>
        <v/>
      </c>
      <c r="I50" s="35" t="inlineStr">
        <is>
          <t>Alta</t>
        </is>
      </c>
      <c r="J50" s="35" t="n"/>
      <c r="K50" s="36" t="n"/>
      <c r="L50" s="36" t="n"/>
    </row>
    <row r="51" ht="45" customHeight="1" s="22">
      <c r="A51" s="37" t="inlineStr">
        <is>
          <t>TC-050</t>
        </is>
      </c>
      <c r="B51" s="35" t="inlineStr">
        <is>
          <t>Genitori - Gruppi</t>
        </is>
      </c>
      <c r="C51" s="35" t="inlineStr">
        <is>
          <t>Aggregazioni con bambini di famiglie diverse</t>
        </is>
      </c>
      <c r="D51" s="35" t="inlineStr">
        <is>
          <t>Due account genitore diversi, entrambi membri dello stesso gruppo (tramite invito), ciascuno con almeno un bambino iscritto con preferenze diverse</t>
        </is>
      </c>
      <c r="E51" s="35" t="inlineStr">
        <is>
          <t>Da un secondo account genitore reale, unisciti al gruppo tramite link di invito e aggiungi un tuo bambino con una preferenza diversa da quella gia presente -&gt; torna sull'account del creatore -&gt; clicca 'Genera aggregazioni'</t>
        </is>
      </c>
      <c r="F51" s="35" t="inlineStr">
        <is>
          <t>Le aggregazioni includono ANCHE il bambino della seconda famiglia (non solo i propri), raggruppato correttamente per preferenza; il bambino della seconda famiglia compare come 'Bambino/a' generico (privacy) ma viene conteggiato nel sotto-gruppo giusto</t>
        </is>
      </c>
      <c r="G51" s="35" t="n"/>
      <c r="H51" s="35">
        <f>IF(G51="BUG","BUG-"&amp;A51,IF(G51="FUNCTIONAL","FUNCTIONAL-"&amp;A51,""))</f>
        <v/>
      </c>
      <c r="I51" s="35" t="inlineStr">
        <is>
          <t>Alta</t>
        </is>
      </c>
      <c r="J51" s="35" t="n"/>
      <c r="K51" s="36" t="n"/>
      <c r="L51" s="36" t="inlineStr">
        <is>
          <t>Verifica esplicita richiesta da Fabrizio - analisi statica del codice suggerisce che funzioni (generateSubgroupsAction filtra solo per group_id, non per parent_id), ma va confermato con un test reale a due utenze prima di darlo per buono</t>
        </is>
      </c>
    </row>
    <row r="52" ht="45" customHeight="1" s="22">
      <c r="A52" s="37" t="inlineStr">
        <is>
          <t>TC-051</t>
        </is>
      </c>
      <c r="B52" s="35" t="inlineStr">
        <is>
          <t>Genitori - Gruppi</t>
        </is>
      </c>
      <c r="C52" s="35" t="inlineStr">
        <is>
          <t>Richiesta Gruppo senza attivita collegata</t>
        </is>
      </c>
      <c r="D52" s="35" t="inlineStr">
        <is>
          <t>Gruppo senza attivita</t>
        </is>
      </c>
      <c r="E52" s="35" t="inlineStr">
        <is>
          <t>Prova a inviare una Richiesta Gruppo</t>
        </is>
      </c>
      <c r="F52" s="35" t="inlineStr">
        <is>
          <t>Messaggio di errore 'Collega prima un'attivita al gruppo'</t>
        </is>
      </c>
      <c r="G52" s="35" t="n"/>
      <c r="H52" s="35">
        <f>IF(G52="BUG","BUG-"&amp;A52,IF(G52="FUNCTIONAL","FUNCTIONAL-"&amp;A52,""))</f>
        <v/>
      </c>
      <c r="I52" s="35" t="inlineStr">
        <is>
          <t>Media</t>
        </is>
      </c>
      <c r="J52" s="35" t="n"/>
      <c r="K52" s="36" t="n"/>
      <c r="L52" s="36" t="n"/>
    </row>
    <row r="53" ht="45" customHeight="1" s="22">
      <c r="A53" s="37" t="inlineStr">
        <is>
          <t>TC-052</t>
        </is>
      </c>
      <c r="B53" s="35" t="inlineStr">
        <is>
          <t>Gestore - Richieste Gruppo</t>
        </is>
      </c>
      <c r="C53" s="35" t="inlineStr">
        <is>
          <t>Ricezione Richiesta Gruppo lato Gestore</t>
        </is>
      </c>
      <c r="D53" s="35" t="inlineStr">
        <is>
          <t>Richiesta inviata verso un centro gestito da un account center_admin</t>
        </is>
      </c>
      <c r="E53" s="35" t="inlineStr">
        <is>
          <t>Login Gestore -&gt; 'Richieste Gruppo'</t>
        </is>
      </c>
      <c r="F53" s="35" t="inlineStr">
        <is>
          <t>La richiesta compare in 'In attesa' con nome gruppo, attivita, numero bambini, sconto proposto</t>
        </is>
      </c>
      <c r="G53" s="35" t="n"/>
      <c r="H53" s="35">
        <f>IF(G53="BUG","BUG-"&amp;A53,IF(G53="FUNCTIONAL","FUNCTIONAL-"&amp;A53,""))</f>
        <v/>
      </c>
      <c r="I53" s="35" t="inlineStr">
        <is>
          <t>Alta</t>
        </is>
      </c>
      <c r="J53" s="35" t="n"/>
      <c r="K53" s="36" t="n"/>
      <c r="L53" s="36" t="n"/>
    </row>
    <row r="54" ht="45" customHeight="1" s="22">
      <c r="A54" s="37" t="inlineStr">
        <is>
          <t>TC-053</t>
        </is>
      </c>
      <c r="B54" s="35" t="inlineStr">
        <is>
          <t>Gestore - Richieste Gruppo</t>
        </is>
      </c>
      <c r="C54" s="35" t="inlineStr">
        <is>
          <t>Accetta/Rifiuta Richiesta Gruppo</t>
        </is>
      </c>
      <c r="D54" s="35" t="inlineStr">
        <is>
          <t>Richiesta in attesa</t>
        </is>
      </c>
      <c r="E54" s="35" t="inlineStr">
        <is>
          <t>Click 'Accetta' (o 'Rifiuta')</t>
        </is>
      </c>
      <c r="F54" s="35" t="inlineStr">
        <is>
          <t>La richiesta si sposta in 'Storico' con lo stato corretto; il genitore vede lo stesso stato aggiornato nella pagina gruppo</t>
        </is>
      </c>
      <c r="G54" s="35" t="n"/>
      <c r="H54" s="35">
        <f>IF(G54="BUG","BUG-"&amp;A54,IF(G54="FUNCTIONAL","FUNCTIONAL-"&amp;A54,""))</f>
        <v/>
      </c>
      <c r="I54" s="35" t="inlineStr">
        <is>
          <t>Alta</t>
        </is>
      </c>
      <c r="J54" s="35" t="n"/>
      <c r="K54" s="36" t="n"/>
      <c r="L54" s="36" t="n"/>
    </row>
    <row r="55" ht="45" customHeight="1" s="22">
      <c r="A55" s="37" t="inlineStr">
        <is>
          <t>TC-054</t>
        </is>
      </c>
      <c r="B55" s="35" t="inlineStr">
        <is>
          <t>Gestore - Richieste Gruppo</t>
        </is>
      </c>
      <c r="C55" s="35" t="inlineStr">
        <is>
          <t>Vedi solo le richieste del proprio centro</t>
        </is>
      </c>
      <c r="D55" s="35" t="inlineStr">
        <is>
          <t>Piu centri con richieste diverse</t>
        </is>
      </c>
      <c r="E55" s="35" t="inlineStr">
        <is>
          <t>Apri /center/group-requests con un account collegato a un solo centro</t>
        </is>
      </c>
      <c r="F55" s="35" t="inlineStr">
        <is>
          <t>Vedi solo le richieste dirette al proprio centro, non quelle di altri centri</t>
        </is>
      </c>
      <c r="G55" s="35" t="n"/>
      <c r="H55" s="35">
        <f>IF(G55="BUG","BUG-"&amp;A55,IF(G55="FUNCTIONAL","FUNCTIONAL-"&amp;A55,""))</f>
        <v/>
      </c>
      <c r="I55" s="35" t="inlineStr">
        <is>
          <t>Alta</t>
        </is>
      </c>
      <c r="J55" s="35" t="n"/>
      <c r="K55" s="36" t="n"/>
      <c r="L55" s="36" t="inlineStr">
        <is>
          <t>Verifica sicurezza RLS</t>
        </is>
      </c>
    </row>
    <row r="56" ht="45" customHeight="1" s="22">
      <c r="A56" s="37" t="inlineStr">
        <is>
          <t>TC-055</t>
        </is>
      </c>
      <c r="B56" s="35" t="inlineStr">
        <is>
          <t>Gestore - Richieste Gruppo</t>
        </is>
      </c>
      <c r="C56" s="35" t="inlineStr">
        <is>
          <t>Storico richieste</t>
        </is>
      </c>
      <c r="D56" s="35" t="inlineStr">
        <is>
          <t>Richieste gia accettate/rifiutate</t>
        </is>
      </c>
      <c r="E56" s="35" t="inlineStr">
        <is>
          <t>Scorri la sezione 'Storico'</t>
        </is>
      </c>
      <c r="F56" s="35" t="inlineStr">
        <is>
          <t>Mostra tutte le richieste risolte con lo stato corretto</t>
        </is>
      </c>
      <c r="G56" s="35" t="n"/>
      <c r="H56" s="35">
        <f>IF(G56="BUG","BUG-"&amp;A56,IF(G56="FUNCTIONAL","FUNCTIONAL-"&amp;A56,""))</f>
        <v/>
      </c>
      <c r="I56" s="35" t="inlineStr">
        <is>
          <t>Bassa</t>
        </is>
      </c>
      <c r="J56" s="35" t="n"/>
      <c r="K56" s="36" t="n"/>
      <c r="L56" s="36" t="n"/>
    </row>
    <row r="57" ht="45" customHeight="1" s="22">
      <c r="A57" s="37" t="inlineStr">
        <is>
          <t>TC-056</t>
        </is>
      </c>
      <c r="B57" s="35" t="inlineStr">
        <is>
          <t>Genitori - Accompagnamento</t>
        </is>
      </c>
      <c r="C57" s="35" t="inlineStr">
        <is>
          <t>Proporsi come autista</t>
        </is>
      </c>
      <c r="D57" s="35" t="inlineStr">
        <is>
          <t>Nella pagina gruppo, tab Accompagnamento</t>
        </is>
      </c>
      <c r="E57" s="35" t="inlineStr">
        <is>
          <t>Inserisci posti disponibili, seggiolini, tratta -&gt; 'Proponi un passaggio'</t>
        </is>
      </c>
      <c r="F57" s="35" t="inlineStr">
        <is>
          <t>L'offerta compare in 'Tutte le offerte nel gruppo'</t>
        </is>
      </c>
      <c r="G57" s="35" t="n"/>
      <c r="H57" s="35">
        <f>IF(G57="BUG","BUG-"&amp;A57,IF(G57="FUNCTIONAL","FUNCTIONAL-"&amp;A57,""))</f>
        <v/>
      </c>
      <c r="I57" s="35" t="inlineStr">
        <is>
          <t>Alta</t>
        </is>
      </c>
      <c r="J57" s="35" t="n"/>
      <c r="K57" s="36" t="n"/>
      <c r="L57" s="36" t="n"/>
    </row>
    <row r="58" ht="45" customHeight="1" s="22">
      <c r="A58" s="37" t="inlineStr">
        <is>
          <t>TC-057</t>
        </is>
      </c>
      <c r="B58" s="35" t="inlineStr">
        <is>
          <t>Genitori - Accompagnamento</t>
        </is>
      </c>
      <c r="C58" s="35" t="inlineStr">
        <is>
          <t>Aggiornare la propria offerta</t>
        </is>
      </c>
      <c r="D58" s="35" t="inlineStr">
        <is>
          <t>Offerta gia creata</t>
        </is>
      </c>
      <c r="E58" s="35" t="inlineStr">
        <is>
          <t>Cambia i valori -&gt; 'Aggiorna offerta'</t>
        </is>
      </c>
      <c r="F58" s="35" t="inlineStr">
        <is>
          <t>I valori si aggiornano (upsert, non duplica righe)</t>
        </is>
      </c>
      <c r="G58" s="35" t="n"/>
      <c r="H58" s="35">
        <f>IF(G58="BUG","BUG-"&amp;A58,IF(G58="FUNCTIONAL","FUNCTIONAL-"&amp;A58,""))</f>
        <v/>
      </c>
      <c r="I58" s="35" t="inlineStr">
        <is>
          <t>Media</t>
        </is>
      </c>
      <c r="J58" s="35" t="n"/>
      <c r="K58" s="36" t="n"/>
      <c r="L58" s="36" t="n"/>
    </row>
    <row r="59" ht="45" customHeight="1" s="22">
      <c r="A59" s="37" t="inlineStr">
        <is>
          <t>TC-058</t>
        </is>
      </c>
      <c r="B59" s="35" t="inlineStr">
        <is>
          <t>Genitori - Accompagnamento</t>
        </is>
      </c>
      <c r="C59" s="35" t="inlineStr">
        <is>
          <t>Rimuovere la propria offerta</t>
        </is>
      </c>
      <c r="D59" s="35" t="inlineStr">
        <is>
          <t>Offerta esistente</t>
        </is>
      </c>
      <c r="E59" s="35" t="inlineStr">
        <is>
          <t>Click 'Rimuovi'</t>
        </is>
      </c>
      <c r="F59" s="35" t="inlineStr">
        <is>
          <t>L'offerta sparisce dalla lista</t>
        </is>
      </c>
      <c r="G59" s="35" t="n"/>
      <c r="H59" s="35">
        <f>IF(G59="BUG","BUG-"&amp;A59,IF(G59="FUNCTIONAL","FUNCTIONAL-"&amp;A59,""))</f>
        <v/>
      </c>
      <c r="I59" s="35" t="inlineStr">
        <is>
          <t>Media</t>
        </is>
      </c>
      <c r="J59" s="35" t="n"/>
      <c r="K59" s="36" t="n"/>
      <c r="L59" s="36" t="n"/>
    </row>
    <row r="60" ht="45" customHeight="1" s="22">
      <c r="A60" s="37" t="inlineStr">
        <is>
          <t>TC-059</t>
        </is>
      </c>
      <c r="B60" s="35" t="inlineStr">
        <is>
          <t>Genitori - Accompagnamento</t>
        </is>
      </c>
      <c r="C60" s="35" t="inlineStr">
        <is>
          <t>Richiedere un passaggio</t>
        </is>
      </c>
      <c r="D60" s="35" t="inlineStr">
        <is>
          <t>Nella tab Accompagnamento</t>
        </is>
      </c>
      <c r="E60" s="35" t="inlineStr">
        <is>
          <t>Inserisci n. bambini, seggiolino richiesto, tratta -&gt; 'Richiedi un passaggio'</t>
        </is>
      </c>
      <c r="F60" s="35" t="inlineStr">
        <is>
          <t>La sezione 'Abbinamenti proposti per te' appare</t>
        </is>
      </c>
      <c r="G60" s="35" t="n"/>
      <c r="H60" s="35">
        <f>IF(G60="BUG","BUG-"&amp;A60,IF(G60="FUNCTIONAL","FUNCTIONAL-"&amp;A60,""))</f>
        <v/>
      </c>
      <c r="I60" s="35" t="inlineStr">
        <is>
          <t>Alta</t>
        </is>
      </c>
      <c r="J60" s="35" t="n"/>
      <c r="K60" s="36" t="n"/>
      <c r="L60" s="36" t="n"/>
    </row>
    <row r="61" ht="45" customHeight="1" s="22">
      <c r="A61" s="37" t="inlineStr">
        <is>
          <t>TC-060</t>
        </is>
      </c>
      <c r="B61" s="35" t="inlineStr">
        <is>
          <t>Genitori - Accompagnamento</t>
        </is>
      </c>
      <c r="C61" s="35" t="inlineStr">
        <is>
          <t>Abbinamento compatibile</t>
        </is>
      </c>
      <c r="D61" s="35" t="inlineStr">
        <is>
          <t>Un'offerta con stessa tratta (o entrambe), posti sufficienti, seggiolino se richiesto</t>
        </is>
      </c>
      <c r="E61" s="35" t="inlineStr">
        <is>
          <t>Dopo aver creato la richiesta, guarda 'Abbinamenti proposti per te'</t>
        </is>
      </c>
      <c r="F61" s="35" t="inlineStr">
        <is>
          <t>L'offerta compatibile compare nella lista</t>
        </is>
      </c>
      <c r="G61" s="35" t="n"/>
      <c r="H61" s="35">
        <f>IF(G61="BUG","BUG-"&amp;A61,IF(G61="FUNCTIONAL","FUNCTIONAL-"&amp;A61,""))</f>
        <v/>
      </c>
      <c r="I61" s="35" t="inlineStr">
        <is>
          <t>Alta</t>
        </is>
      </c>
      <c r="J61" s="35" t="n"/>
      <c r="K61" s="36" t="n"/>
      <c r="L61" s="36" t="n"/>
    </row>
    <row r="62" ht="45" customHeight="1" s="22">
      <c r="A62" s="37" t="inlineStr">
        <is>
          <t>TC-061</t>
        </is>
      </c>
      <c r="B62" s="35" t="inlineStr">
        <is>
          <t>Genitori - Accompagnamento</t>
        </is>
      </c>
      <c r="C62" s="35" t="inlineStr">
        <is>
          <t>Abbinamento filtrato per seggiolino</t>
        </is>
      </c>
      <c r="D62" s="35" t="inlineStr">
        <is>
          <t>Richiesta con seggiolino richiesto attivo, offerta senza seggiolino</t>
        </is>
      </c>
      <c r="E62" s="35" t="inlineStr">
        <is>
          <t>Controlla abbinamenti</t>
        </is>
      </c>
      <c r="F62" s="35" t="inlineStr">
        <is>
          <t>L'offerta senza seggiolino NON deve comparire</t>
        </is>
      </c>
      <c r="G62" s="35" t="n"/>
      <c r="H62" s="35">
        <f>IF(G62="BUG","BUG-"&amp;A62,IF(G62="FUNCTIONAL","FUNCTIONAL-"&amp;A62,""))</f>
        <v/>
      </c>
      <c r="I62" s="35" t="inlineStr">
        <is>
          <t>Alta</t>
        </is>
      </c>
      <c r="J62" s="35" t="n"/>
      <c r="K62" s="36" t="n"/>
      <c r="L62" s="36" t="inlineStr">
        <is>
          <t>Verifica logica di matching (lib/carpool.ts)</t>
        </is>
      </c>
    </row>
    <row r="63" ht="45" customHeight="1" s="22">
      <c r="A63" s="37" t="inlineStr">
        <is>
          <t>TC-062</t>
        </is>
      </c>
      <c r="B63" s="35" t="inlineStr">
        <is>
          <t>Genitori - Accompagnamento</t>
        </is>
      </c>
      <c r="C63" s="35" t="inlineStr">
        <is>
          <t>Abbinamento filtrato per tratta</t>
        </is>
      </c>
      <c r="D63" s="35" t="inlineStr">
        <is>
          <t>Richiesta con tratta 'Ritorno', offerta con tratta 'Andata'</t>
        </is>
      </c>
      <c r="E63" s="35" t="inlineStr">
        <is>
          <t>Controlla abbinamenti</t>
        </is>
      </c>
      <c r="F63" s="35" t="inlineStr">
        <is>
          <t>L'offerta 'solo andata' non deve comparire tra i risultati per il ritorno</t>
        </is>
      </c>
      <c r="G63" s="35" t="n"/>
      <c r="H63" s="35">
        <f>IF(G63="BUG","BUG-"&amp;A63,IF(G63="FUNCTIONAL","FUNCTIONAL-"&amp;A63,""))</f>
        <v/>
      </c>
      <c r="I63" s="35" t="inlineStr">
        <is>
          <t>Alta</t>
        </is>
      </c>
      <c r="J63" s="35" t="n"/>
      <c r="K63" s="36" t="n"/>
      <c r="L63" s="36" t="n"/>
    </row>
    <row r="64" ht="45" customHeight="1" s="22">
      <c r="A64" s="37" t="inlineStr">
        <is>
          <t>TC-063</t>
        </is>
      </c>
      <c r="B64" s="35" t="inlineStr">
        <is>
          <t>Genitori - Accompagnamento</t>
        </is>
      </c>
      <c r="C64" s="35" t="inlineStr">
        <is>
          <t>Nessun abbinamento disponibile</t>
        </is>
      </c>
      <c r="D64" s="35" t="inlineStr">
        <is>
          <t>Richiesta creata, nessuna offerta compatibile</t>
        </is>
      </c>
      <c r="E64" s="35" t="inlineStr">
        <is>
          <t>Controlla 'Abbinamenti proposti per te'</t>
        </is>
      </c>
      <c r="F64" s="35" t="inlineStr">
        <is>
          <t>Messaggio 'Nessun abbinamento compatibile ancora'</t>
        </is>
      </c>
      <c r="G64" s="35" t="n"/>
      <c r="H64" s="35">
        <f>IF(G64="BUG","BUG-"&amp;A64,IF(G64="FUNCTIONAL","FUNCTIONAL-"&amp;A64,""))</f>
        <v/>
      </c>
      <c r="I64" s="35" t="inlineStr">
        <is>
          <t>Bassa</t>
        </is>
      </c>
      <c r="J64" s="35" t="n"/>
      <c r="K64" s="36" t="n"/>
      <c r="L64" s="36" t="n"/>
    </row>
    <row r="65" ht="45" customHeight="1" s="22">
      <c r="A65" s="37" t="inlineStr">
        <is>
          <t>TC-064</t>
        </is>
      </c>
      <c r="B65" s="35" t="inlineStr">
        <is>
          <t>Genitori - Calendario</t>
        </is>
      </c>
      <c r="C65" s="35" t="inlineStr">
        <is>
          <t>Calendario personale</t>
        </is>
      </c>
      <c r="D65" s="35" t="inlineStr">
        <is>
          <t>Bambino con prenotazione confermata</t>
        </is>
      </c>
      <c r="E65" s="35" t="inlineStr">
        <is>
          <t>Vai su /calendar</t>
        </is>
      </c>
      <c r="F65" s="35" t="inlineStr">
        <is>
          <t>Gli eventi mostrati riflettono le prenotazioni reali</t>
        </is>
      </c>
      <c r="G65" s="35" t="n"/>
      <c r="H65" s="35">
        <f>IF(G65="BUG","BUG-"&amp;A65,IF(G65="FUNCTIONAL","FUNCTIONAL-"&amp;A65,""))</f>
        <v/>
      </c>
      <c r="I65" s="35" t="inlineStr">
        <is>
          <t>Alta</t>
        </is>
      </c>
      <c r="J65" s="35" t="inlineStr">
        <is>
          <t>#4</t>
        </is>
      </c>
      <c r="K65" s="36" t="n"/>
      <c r="L65" s="36" t="n"/>
    </row>
    <row r="66" ht="45" customHeight="1" s="22">
      <c r="A66" s="37" t="inlineStr">
        <is>
          <t>TC-065</t>
        </is>
      </c>
      <c r="B66" s="35" t="inlineStr">
        <is>
          <t>Genitori - Calendario</t>
        </is>
      </c>
      <c r="C66" s="35" t="inlineStr">
        <is>
          <t>Giorni evidenziati calendario centro</t>
        </is>
      </c>
      <c r="D66" s="35" t="inlineStr">
        <is>
          <t>Prenotazione con giorni specifici frequentati</t>
        </is>
      </c>
      <c r="E66" s="35" t="inlineStr">
        <is>
          <t>Apri tab 'Calendari centri'</t>
        </is>
      </c>
      <c r="F66" s="35" t="inlineStr">
        <is>
          <t>I giorni effettivamente prenotati dovrebbero essere evidenziati</t>
        </is>
      </c>
      <c r="G66" s="35" t="inlineStr">
        <is>
          <t>FUNCTIONAL</t>
        </is>
      </c>
      <c r="H66" s="35">
        <f>IF(G66="BUG","BUG-"&amp;A66,IF(G66="FUNCTIONAL","FUNCTIONAL-"&amp;A66,""))</f>
        <v/>
      </c>
      <c r="I66" s="35" t="inlineStr">
        <is>
          <t>Media</t>
        </is>
      </c>
      <c r="J66" s="35" t="inlineStr">
        <is>
          <t>#22</t>
        </is>
      </c>
      <c r="K66" s="36" t="inlineStr">
        <is>
          <t>DA COSTRUIRE (task #22, V1 - confermato da tuo commento sul roadmap Word: "questo lo sistemerei")</t>
        </is>
      </c>
      <c r="L66" s="36" t="inlineStr">
        <is>
          <t>Noto: bookedDays/eventDays arrivano ancora da dati demo, non riflettono la prenotazione reale</t>
        </is>
      </c>
    </row>
    <row r="67" ht="45" customHeight="1" s="22">
      <c r="A67" s="37" t="inlineStr">
        <is>
          <t>TC-066</t>
        </is>
      </c>
      <c r="B67" s="35" t="inlineStr">
        <is>
          <t>Genitori - Profilo</t>
        </is>
      </c>
      <c r="C67" s="35" t="inlineStr">
        <is>
          <t>Visualizza profilo</t>
        </is>
      </c>
      <c r="D67" s="35" t="inlineStr">
        <is>
          <t>Login genitore</t>
        </is>
      </c>
      <c r="E67" s="35" t="inlineStr">
        <is>
          <t>Vai su /profile</t>
        </is>
      </c>
      <c r="F67" s="35" t="inlineStr">
        <is>
          <t>Nome/email reali, lista bambini reale</t>
        </is>
      </c>
      <c r="G67" s="35" t="n"/>
      <c r="H67" s="35">
        <f>IF(G67="BUG","BUG-"&amp;A67,IF(G67="FUNCTIONAL","FUNCTIONAL-"&amp;A67,""))</f>
        <v/>
      </c>
      <c r="I67" s="35" t="inlineStr">
        <is>
          <t>Alta</t>
        </is>
      </c>
      <c r="J67" s="35" t="n"/>
      <c r="K67" s="36" t="n"/>
      <c r="L67" s="36" t="n"/>
    </row>
    <row r="68" ht="45" customHeight="1" s="22">
      <c r="A68" s="37" t="inlineStr">
        <is>
          <t>TC-067</t>
        </is>
      </c>
      <c r="B68" s="35" t="inlineStr">
        <is>
          <t>Genitori - Profilo</t>
        </is>
      </c>
      <c r="C68" s="35" t="inlineStr">
        <is>
          <t>Aggiungere un bambino</t>
        </is>
      </c>
      <c r="D68" s="35" t="inlineStr">
        <is>
          <t>Nessuna</t>
        </is>
      </c>
      <c r="E68" s="35" t="inlineStr">
        <is>
          <t>'+ Aggiungi' nella sezione bambini -&gt; compila nome/eta/altro -&gt; salva</t>
        </is>
      </c>
      <c r="F68" s="35" t="inlineStr">
        <is>
          <t>Il bambino compare nella lista, salvato su Supabase</t>
        </is>
      </c>
      <c r="G68" s="35" t="n"/>
      <c r="H68" s="35">
        <f>IF(G68="BUG","BUG-"&amp;A68,IF(G68="FUNCTIONAL","FUNCTIONAL-"&amp;A68,""))</f>
        <v/>
      </c>
      <c r="I68" s="35" t="inlineStr">
        <is>
          <t>Alta</t>
        </is>
      </c>
      <c r="J68" s="35" t="n"/>
      <c r="K68" s="36" t="n"/>
      <c r="L68" s="36" t="n"/>
    </row>
    <row r="69" ht="45" customHeight="1" s="22">
      <c r="A69" s="37" t="inlineStr">
        <is>
          <t>TC-068</t>
        </is>
      </c>
      <c r="B69" s="35" t="inlineStr">
        <is>
          <t>Genitori - Profilo</t>
        </is>
      </c>
      <c r="C69" s="35" t="inlineStr">
        <is>
          <t>Statistiche profilo</t>
        </is>
      </c>
      <c r="D69" s="35" t="inlineStr">
        <is>
          <t>Nessuna</t>
        </is>
      </c>
      <c r="E69" s="35" t="inlineStr">
        <is>
          <t>Osserva i 3 riquadri statistici in alto (Prenotazioni/Gruppi/Risparmiati)</t>
        </is>
      </c>
      <c r="F69" s="35" t="inlineStr">
        <is>
          <t>Dovrebbero riflettere i dati reali dell'utente</t>
        </is>
      </c>
      <c r="G69" s="35" t="inlineStr">
        <is>
          <t>FUNCTIONAL</t>
        </is>
      </c>
      <c r="H69" s="35">
        <f>IF(G69="BUG","BUG-"&amp;A69,IF(G69="FUNCTIONAL","FUNCTIONAL-"&amp;A69,""))</f>
        <v/>
      </c>
      <c r="I69" s="35" t="inlineStr">
        <is>
          <t>Bassa</t>
        </is>
      </c>
      <c r="J69" s="35" t="n"/>
      <c r="K69" s="36" t="inlineStr">
        <is>
          <t>DA COSTRUIRE (task #16, V1 - non ancora iniziato)</t>
        </is>
      </c>
      <c r="L69" s="36" t="inlineStr">
        <is>
          <t>Noto: numeri fissi demo (12/3/85 euro), badge 'Numeri demo' visibile</t>
        </is>
      </c>
    </row>
    <row r="70" ht="45" customHeight="1" s="22">
      <c r="A70" s="37" t="inlineStr">
        <is>
          <t>TC-069</t>
        </is>
      </c>
      <c r="B70" s="35" t="inlineStr">
        <is>
          <t>Genitori - Profilo</t>
        </is>
      </c>
      <c r="C70" s="35" t="inlineStr">
        <is>
          <t>Modifica profilo</t>
        </is>
      </c>
      <c r="D70" s="35" t="inlineStr">
        <is>
          <t>Nessuna</t>
        </is>
      </c>
      <c r="E70" s="35" t="inlineStr">
        <is>
          <t>Click 'Modifica' accanto al nome</t>
        </is>
      </c>
      <c r="F70" s="35" t="inlineStr">
        <is>
          <t>Dovrebbe aprire un form di modifica dati</t>
        </is>
      </c>
      <c r="G70" s="35" t="inlineStr">
        <is>
          <t>FUNCTIONAL</t>
        </is>
      </c>
      <c r="H70" s="35">
        <f>IF(G70="BUG","BUG-"&amp;A70,IF(G70="FUNCTIONAL","FUNCTIONAL-"&amp;A70,""))</f>
        <v/>
      </c>
      <c r="I70" s="35" t="inlineStr">
        <is>
          <t>Bassa</t>
        </is>
      </c>
      <c r="J70" s="35" t="n"/>
      <c r="K70" s="36" t="inlineStr">
        <is>
          <t>DA COSTRUIRE (V2 - release successiva)</t>
        </is>
      </c>
      <c r="L70" s="36" t="inlineStr">
        <is>
          <t>Noto: badge ComingSoon, nessuna azione | AGGIORNATO: il form 'Modifica' ora include anche telefono, data di nascita e genere (vedi TC-132), non solo nome/ruolo.</t>
        </is>
      </c>
    </row>
    <row r="71" ht="45" customHeight="1" s="22">
      <c r="A71" s="37" t="inlineStr">
        <is>
          <t>TC-070</t>
        </is>
      </c>
      <c r="B71" s="35" t="inlineStr">
        <is>
          <t>Genitori - Profilo</t>
        </is>
      </c>
      <c r="C71" s="35" t="inlineStr">
        <is>
          <t>Voci menu in arrivo</t>
        </is>
      </c>
      <c r="D71" s="35" t="inlineStr">
        <is>
          <t>Nessuna</t>
        </is>
      </c>
      <c r="E71" s="35" t="inlineStr">
        <is>
          <t>Osserva 'Le mie prenotazioni', 'Notifiche', 'Preferiti', 'Navetta', 'Chat con organizzatori', 'Ricevute e fatture', 'Lingua'</t>
        </is>
      </c>
      <c r="F71" s="35" t="inlineStr">
        <is>
          <t>Tutte mostrano badge ComingSoon, nessuna e cliccabile in modo funzionale</t>
        </is>
      </c>
      <c r="G71" s="35" t="inlineStr">
        <is>
          <t>FUNCTIONAL</t>
        </is>
      </c>
      <c r="H71" s="35">
        <f>IF(G71="BUG","BUG-"&amp;A71,IF(G71="FUNCTIONAL","FUNCTIONAL-"&amp;A71,""))</f>
        <v/>
      </c>
      <c r="I71" s="35" t="inlineStr">
        <is>
          <t>Bassa</t>
        </is>
      </c>
      <c r="J71" s="35" t="inlineStr">
        <is>
          <t>#20/#21/#15</t>
        </is>
      </c>
      <c r="K71" s="36" t="inlineStr">
        <is>
          <t>DA COSTRUIRE (mix V1/V2 - legato a #20/#21/#15, vedi roadmap)</t>
        </is>
      </c>
      <c r="L71" s="36" t="inlineStr">
        <is>
          <t>Ogni voce corrisponde a un task gia tracciato | AGGIORNATO: 'Notifiche' e 'Lingua' non sono piu' placeholder ComingSoon in questo elenco Attivita' — sono state sostituite dalla sezione 'Preferenze' reale (lingua/tema/notifiche, vedi TC-134) e 'Sicurezza'/'Privacy e account' (vedi TC-133,135,136,137). Le voci ComingSoon rimaste in questa lista sono solo: Le mie prenotazioni, Preferiti, Navetta, Chat con organizzatori, Ricevute e fatture. | AGGIORNATO ULTERIORE: 'Notifiche' e' ora un link reale (non piu' un'assenza da verificare) verso /profile/notifiche, dentro il menu 'Impostazioni' con Metodi di pagamento aggiunto come nuova voce ComingSoon.</t>
        </is>
      </c>
    </row>
    <row r="72" ht="45" customHeight="1" s="22">
      <c r="A72" s="37" t="inlineStr">
        <is>
          <t>TC-071</t>
        </is>
      </c>
      <c r="B72" s="35" t="inlineStr">
        <is>
          <t>Genitori - Profilo</t>
        </is>
      </c>
      <c r="C72" s="35" t="inlineStr">
        <is>
          <t>Logout da Profilo</t>
        </is>
      </c>
      <c r="D72" s="35" t="inlineStr">
        <is>
          <t>Login attivo</t>
        </is>
      </c>
      <c r="E72" s="35" t="inlineStr">
        <is>
          <t>Click 'Esci' in fondo alla pagina</t>
        </is>
      </c>
      <c r="F72" s="35" t="inlineStr">
        <is>
          <t>Sessione terminata</t>
        </is>
      </c>
      <c r="G72" s="35" t="n"/>
      <c r="H72" s="35">
        <f>IF(G72="BUG","BUG-"&amp;A72,IF(G72="FUNCTIONAL","FUNCTIONAL-"&amp;A72,""))</f>
        <v/>
      </c>
      <c r="I72" s="35" t="inlineStr">
        <is>
          <t>Media</t>
        </is>
      </c>
      <c r="J72" s="35" t="n"/>
      <c r="K72" s="36" t="n"/>
      <c r="L72" s="36" t="n"/>
    </row>
    <row r="73" ht="45" customHeight="1" s="22">
      <c r="A73" s="37" t="inlineStr">
        <is>
          <t>TC-072</t>
        </is>
      </c>
      <c r="B73" s="35" t="inlineStr">
        <is>
          <t>Gestore - Dashboard</t>
        </is>
      </c>
      <c r="C73" s="35" t="inlineStr">
        <is>
          <t>Dashboard Gestore</t>
        </is>
      </c>
      <c r="D73" s="35" t="inlineStr">
        <is>
          <t>Login Gestore centro</t>
        </is>
      </c>
      <c r="E73" s="35" t="inlineStr">
        <is>
          <t>Apri /center</t>
        </is>
      </c>
      <c r="F73" s="35" t="inlineStr">
        <is>
          <t>KPI, grafico occupazione, prenotazioni recenti e 'Le tue attivita' dovrebbero riflettere il centro reale</t>
        </is>
      </c>
      <c r="G73" s="35" t="inlineStr">
        <is>
          <t>BUG</t>
        </is>
      </c>
      <c r="H73" s="35">
        <f>IF(G73="BUG","BUG-"&amp;A73,IF(G73="FUNCTIONAL","FUNCTIONAL-"&amp;A73,""))</f>
        <v/>
      </c>
      <c r="I73" s="35" t="inlineStr">
        <is>
          <t>Alta</t>
        </is>
      </c>
      <c r="J73" s="35" t="inlineStr">
        <is>
          <t>#19</t>
        </is>
      </c>
      <c r="K73" s="36" t="inlineStr">
        <is>
          <t>VOLUTAMENTE DEMO (nota tua sul roadmap Word: sezione da tenere demo per presentazione ai partner - task #19) | AGGIORNAMENTO: redesign dashboard implementato in questa sessione (task #92, layout approvato 6a) — vedi TC-119/120/121; KPI/banner/feed ora aggregano più fonti reali (settimane scariche, richieste gruppo, prenotazioni) ma con alcuni timestamp sintetici nel feed; resta comunque "volutamente demo" per presentazione partner come da tua indicazione originale. | RISOLTO</t>
        </is>
      </c>
      <c r="L73" s="36" t="inlineStr">
        <is>
          <t>Noto: mostra sempre dati mock, mai quelli reali del centro collegato | BUG DI TEST TROVATO+CORRETTO (run reale): getByText('Attivita',{exact:true}) andava in strict-mode violation (4 elementi: link sidebar, pillola nav mobile, card KPI, intestazione tabella — sidebar e pillola mobile sono SEMPRE nel DOM, solo nascoste via CSS in base al viewport). Scoping alla griglia KPI (.grid.grid-cols-2.gap-3).</t>
        </is>
      </c>
    </row>
    <row r="74" ht="45" customHeight="1" s="22">
      <c r="A74" s="37" t="inlineStr">
        <is>
          <t>TC-073</t>
        </is>
      </c>
      <c r="B74" s="35" t="inlineStr">
        <is>
          <t>Gestore - Attivita</t>
        </is>
      </c>
      <c r="C74" s="35" t="inlineStr">
        <is>
          <t>Elenco attivita del centro</t>
        </is>
      </c>
      <c r="D74" s="35" t="inlineStr">
        <is>
          <t>Account collegato a un centro (center_id valorizzato)</t>
        </is>
      </c>
      <c r="E74" s="35" t="inlineStr">
        <is>
          <t>Apri /center/activities</t>
        </is>
      </c>
      <c r="F74" s="35" t="inlineStr">
        <is>
          <t>Mostra solo le attivita reali di quel centro</t>
        </is>
      </c>
      <c r="G74" s="35" t="n"/>
      <c r="H74" s="35">
        <f>IF(G74="BUG","BUG-"&amp;A74,IF(G74="FUNCTIONAL","FUNCTIONAL-"&amp;A74,""))</f>
        <v/>
      </c>
      <c r="I74" s="35" t="inlineStr">
        <is>
          <t>Alta</t>
        </is>
      </c>
      <c r="J74" s="35" t="n"/>
      <c r="K74" s="36" t="n"/>
      <c r="L74" s="36" t="n"/>
    </row>
    <row r="75" ht="45" customHeight="1" s="22">
      <c r="A75" s="37" t="inlineStr">
        <is>
          <t>TC-074</t>
        </is>
      </c>
      <c r="B75" s="35" t="inlineStr">
        <is>
          <t>Gestore - Attivita</t>
        </is>
      </c>
      <c r="C75" s="35" t="inlineStr">
        <is>
          <t>Creazione nuova attivita</t>
        </is>
      </c>
      <c r="D75" s="35" t="inlineStr">
        <is>
          <t>Nessuna</t>
        </is>
      </c>
      <c r="E75" s="35" t="inlineStr">
        <is>
          <t>'+ Nuova attivita' -&gt; compila form -&gt; 'Crea attivita'</t>
        </is>
      </c>
      <c r="F75" s="35" t="inlineStr">
        <is>
          <t>Attivita salvata su Supabase, redirect alla pagina di modifica</t>
        </is>
      </c>
      <c r="G75" s="35" t="n"/>
      <c r="H75" s="35">
        <f>IF(G75="BUG","BUG-"&amp;A75,IF(G75="FUNCTIONAL","FUNCTIONAL-"&amp;A75,""))</f>
        <v/>
      </c>
      <c r="I75" s="35" t="inlineStr">
        <is>
          <t>Alta</t>
        </is>
      </c>
      <c r="J75" s="35" t="n"/>
      <c r="K75" s="36" t="n"/>
      <c r="L75" s="36" t="n"/>
    </row>
    <row r="76" ht="45" customHeight="1" s="22">
      <c r="A76" s="37" t="inlineStr">
        <is>
          <t>TC-075</t>
        </is>
      </c>
      <c r="B76" s="35" t="inlineStr">
        <is>
          <t>Gestore - Attivita</t>
        </is>
      </c>
      <c r="C76" s="35" t="inlineStr">
        <is>
          <t>Modifica attivita</t>
        </is>
      </c>
      <c r="D76" s="35" t="inlineStr">
        <is>
          <t>Attivita esistente</t>
        </is>
      </c>
      <c r="E76" s="35" t="inlineStr">
        <is>
          <t>Apri un'attivita -&gt; modifica prezzo/eta/servizi/tag -&gt; salva</t>
        </is>
      </c>
      <c r="F76" s="35" t="inlineStr">
        <is>
          <t>I dati si aggiornano su Supabase, log azione registrato</t>
        </is>
      </c>
      <c r="G76" s="35" t="n"/>
      <c r="H76" s="35">
        <f>IF(G76="BUG","BUG-"&amp;A76,IF(G76="FUNCTIONAL","FUNCTIONAL-"&amp;A76,""))</f>
        <v/>
      </c>
      <c r="I76" s="35" t="inlineStr">
        <is>
          <t>Alta</t>
        </is>
      </c>
      <c r="J76" s="35" t="n"/>
      <c r="K76" s="36" t="n"/>
      <c r="L76" s="36" t="inlineStr">
        <is>
          <t>IMPLEMENTATO: apre la scheda modifica dell'attività di test e verifica due fix di coerenza UI: la nav 'Attività' resta evidenziata sulla sotto-rotta di modifica, e 'Usa posizione attuale' compila lat/lng dal browser.</t>
        </is>
      </c>
    </row>
    <row r="77" ht="45" customHeight="1" s="22">
      <c r="A77" s="37" t="inlineStr">
        <is>
          <t>TC-076</t>
        </is>
      </c>
      <c r="B77" s="35" t="inlineStr">
        <is>
          <t>Gestore - Attivita</t>
        </is>
      </c>
      <c r="C77" s="35" t="inlineStr">
        <is>
          <t>Calendario disponibilita giorno-per-giorno</t>
        </is>
      </c>
      <c r="D77" s="35" t="inlineStr">
        <is>
          <t>Attivita esistente</t>
        </is>
      </c>
      <c r="E77" s="35" t="inlineStr">
        <is>
          <t>Apri 'Calendario' dell'attivita -&gt; apri/chiudi giorni, aggiorna posti, giornata speciale -&gt; salva</t>
        </is>
      </c>
      <c r="F77" s="35" t="inlineStr">
        <is>
          <t>I dati si aggiornano su activity_days</t>
        </is>
      </c>
      <c r="G77" s="35" t="n"/>
      <c r="H77" s="35">
        <f>IF(G77="BUG","BUG-"&amp;A77,IF(G77="FUNCTIONAL","FUNCTIONAL-"&amp;A77,""))</f>
        <v/>
      </c>
      <c r="I77" s="35" t="inlineStr">
        <is>
          <t>Media</t>
        </is>
      </c>
      <c r="J77" s="35" t="n"/>
      <c r="K77" s="36" t="n"/>
      <c r="L77" s="36" t="n"/>
    </row>
    <row r="78" ht="45" customHeight="1" s="22">
      <c r="A78" s="37" t="inlineStr">
        <is>
          <t>TC-077</t>
        </is>
      </c>
      <c r="B78" s="35" t="inlineStr">
        <is>
          <t>Gestore - Attivita</t>
        </is>
      </c>
      <c r="C78" s="35" t="inlineStr">
        <is>
          <t>Nessun centro collegato all'account</t>
        </is>
      </c>
      <c r="D78" s="35" t="inlineStr">
        <is>
          <t>Account center_admin senza center_id valorizzato</t>
        </is>
      </c>
      <c r="E78" s="35" t="inlineStr">
        <is>
          <t>Apri /center/activities o /center/activities/new</t>
        </is>
      </c>
      <c r="F78" s="35" t="inlineStr">
        <is>
          <t>Messaggio chiaro che serve completare l'assegnazione via SQL, nessun crash</t>
        </is>
      </c>
      <c r="G78" s="35" t="n"/>
      <c r="H78" s="35">
        <f>IF(G78="BUG","BUG-"&amp;A78,IF(G78="FUNCTIONAL","FUNCTIONAL-"&amp;A78,""))</f>
        <v/>
      </c>
      <c r="I78" s="35" t="inlineStr">
        <is>
          <t>Media</t>
        </is>
      </c>
      <c r="J78" s="35" t="n"/>
      <c r="K78" s="36" t="n"/>
      <c r="L78" s="36" t="n"/>
    </row>
    <row r="79" ht="45" customHeight="1" s="22">
      <c r="A79" s="37" t="inlineStr">
        <is>
          <t>TC-078</t>
        </is>
      </c>
      <c r="B79" s="35" t="inlineStr">
        <is>
          <t>Gestore - Promozioni</t>
        </is>
      </c>
      <c r="C79" s="35" t="inlineStr">
        <is>
          <t>Creazione promozione</t>
        </is>
      </c>
      <c r="D79" s="35" t="inlineStr">
        <is>
          <t>Attivita esistente</t>
        </is>
      </c>
      <c r="E79" s="35" t="inlineStr">
        <is>
          <t>Vai su /center/promotions -&gt; crea promo (sconto giorno fisso o last-minute)</t>
        </is>
      </c>
      <c r="F79" s="35" t="inlineStr">
        <is>
          <t>Promozione salvata, visibile ai genitori nel dettaglio attivita</t>
        </is>
      </c>
      <c r="G79" s="35" t="n"/>
      <c r="H79" s="35">
        <f>IF(G79="BUG","BUG-"&amp;A79,IF(G79="FUNCTIONAL","FUNCTIONAL-"&amp;A79,""))</f>
        <v/>
      </c>
      <c r="I79" s="35" t="inlineStr">
        <is>
          <t>Media</t>
        </is>
      </c>
      <c r="J79" s="35" t="n"/>
      <c r="K79" s="36" t="n"/>
      <c r="L79" s="36" t="n"/>
    </row>
    <row r="80" ht="45" customHeight="1" s="22">
      <c r="A80" s="37" t="inlineStr">
        <is>
          <t>TC-079</t>
        </is>
      </c>
      <c r="B80" s="35" t="inlineStr">
        <is>
          <t>Gestore - Promozioni</t>
        </is>
      </c>
      <c r="C80" s="35" t="inlineStr">
        <is>
          <t>Attiva/disattiva promozione</t>
        </is>
      </c>
      <c r="D80" s="35" t="inlineStr">
        <is>
          <t>Promozione esistente</t>
        </is>
      </c>
      <c r="E80" s="35" t="inlineStr">
        <is>
          <t>Toggle attivo/non attivo</t>
        </is>
      </c>
      <c r="F80" s="35" t="inlineStr">
        <is>
          <t>Stato aggiornato su Supabase</t>
        </is>
      </c>
      <c r="G80" s="35" t="n"/>
      <c r="H80" s="35">
        <f>IF(G80="BUG","BUG-"&amp;A80,IF(G80="FUNCTIONAL","FUNCTIONAL-"&amp;A80,""))</f>
        <v/>
      </c>
      <c r="I80" s="35" t="inlineStr">
        <is>
          <t>Bassa</t>
        </is>
      </c>
      <c r="J80" s="35" t="n"/>
      <c r="K80" s="36" t="n"/>
      <c r="L80" s="36" t="n"/>
    </row>
    <row r="81" ht="45" customHeight="1" s="22">
      <c r="A81" s="37" t="inlineStr">
        <is>
          <t>TC-080</t>
        </is>
      </c>
      <c r="B81" s="35" t="inlineStr">
        <is>
          <t>Gestore - Profilo Centro</t>
        </is>
      </c>
      <c r="C81" s="35" t="inlineStr">
        <is>
          <t>Modifica profilo centro</t>
        </is>
      </c>
      <c r="D81" s="35" t="inlineStr">
        <is>
          <t>Account collegato a un centro</t>
        </is>
      </c>
      <c r="E81" s="35" t="inlineStr">
        <is>
          <t>Vai su /center/profile -&gt; modifica nome/citta/descrizione/social -&gt; salva</t>
        </is>
      </c>
      <c r="F81" s="35" t="inlineStr">
        <is>
          <t>Dati aggiornati, visibili ai genitori</t>
        </is>
      </c>
      <c r="G81" s="35" t="n"/>
      <c r="H81" s="35">
        <f>IF(G81="BUG","BUG-"&amp;A81,IF(G81="FUNCTIONAL","FUNCTIONAL-"&amp;A81,""))</f>
        <v/>
      </c>
      <c r="I81" s="35" t="inlineStr">
        <is>
          <t>Media</t>
        </is>
      </c>
      <c r="J81" s="35" t="n"/>
      <c r="K81" s="36" t="n"/>
      <c r="L81" s="36" t="n"/>
    </row>
    <row r="82" ht="45" customHeight="1" s="22">
      <c r="A82" s="37" t="inlineStr">
        <is>
          <t>TC-081</t>
        </is>
      </c>
      <c r="B82" s="35" t="inlineStr">
        <is>
          <t>Gestore - Profilo Centro</t>
        </is>
      </c>
      <c r="C82" s="35" t="inlineStr">
        <is>
          <t>Attivazione campo Bar</t>
        </is>
      </c>
      <c r="D82" s="35" t="inlineStr">
        <is>
          <t>Nessuna</t>
        </is>
      </c>
      <c r="E82" s="35" t="inlineStr">
        <is>
          <t>In /center/profile, spunta 'Il centro ha un bar / punto ristoro' -&gt; salva</t>
        </is>
      </c>
      <c r="F82" s="35" t="inlineStr">
        <is>
          <t>Il valore has_bar=true si riflette nel filtro Servizi lato genitori</t>
        </is>
      </c>
      <c r="G82" s="35" t="n"/>
      <c r="H82" s="35">
        <f>IF(G82="BUG","BUG-"&amp;A82,IF(G82="FUNCTIONAL","FUNCTIONAL-"&amp;A82,""))</f>
        <v/>
      </c>
      <c r="I82" s="35" t="inlineStr">
        <is>
          <t>Alta</t>
        </is>
      </c>
      <c r="J82" s="35" t="n"/>
      <c r="K82" s="36" t="n"/>
      <c r="L82" s="36" t="n"/>
    </row>
    <row r="83" ht="45" customHeight="1" s="22">
      <c r="A83" s="37" t="inlineStr">
        <is>
          <t>TC-082</t>
        </is>
      </c>
      <c r="B83" s="35" t="inlineStr">
        <is>
          <t>Admin - Dashboard</t>
        </is>
      </c>
      <c r="C83" s="35" t="inlineStr">
        <is>
          <t>Dashboard Admin</t>
        </is>
      </c>
      <c r="D83" s="35" t="inlineStr">
        <is>
          <t>Login platform_admin</t>
        </is>
      </c>
      <c r="E83" s="35" t="inlineStr">
        <is>
          <t>Apri /admin</t>
        </is>
      </c>
      <c r="F83" s="35" t="inlineStr">
        <is>
          <t>KPI, occupazione, prenotazioni recenti e lista centri dovrebbero riflettere i dati reali</t>
        </is>
      </c>
      <c r="G83" s="35" t="inlineStr">
        <is>
          <t>FUNCTIONAL</t>
        </is>
      </c>
      <c r="H83" s="35">
        <f>IF(G83="BUG","BUG-"&amp;A83,IF(G83="FUNCTIONAL","FUNCTIONAL-"&amp;A83,""))</f>
        <v/>
      </c>
      <c r="I83" s="35" t="inlineStr">
        <is>
          <t>Alta</t>
        </is>
      </c>
      <c r="J83" s="35" t="inlineStr">
        <is>
          <t>#19</t>
        </is>
      </c>
      <c r="K83" s="36" t="inlineStr">
        <is>
          <t>VOLUTAMENTE DEMO (task #19)</t>
        </is>
      </c>
      <c r="L83" s="36" t="inlineStr">
        <is>
          <t>Noto: mostra sempre dati mock</t>
        </is>
      </c>
    </row>
    <row r="84" ht="45" customHeight="1" s="22">
      <c r="A84" s="37" t="inlineStr">
        <is>
          <t>TC-083</t>
        </is>
      </c>
      <c r="B84" s="35" t="inlineStr">
        <is>
          <t>Admin - Gestione</t>
        </is>
      </c>
      <c r="C84" s="35" t="inlineStr">
        <is>
          <t>Elenco attivita (tutte)</t>
        </is>
      </c>
      <c r="D84" s="35" t="inlineStr">
        <is>
          <t>Nessuna</t>
        </is>
      </c>
      <c r="E84" s="35" t="inlineStr">
        <is>
          <t>Apri /admin/activities</t>
        </is>
      </c>
      <c r="F84" s="35" t="inlineStr">
        <is>
          <t>Dovrebbe riflettere le attivita reali create dai gestori</t>
        </is>
      </c>
      <c r="G84" s="35" t="inlineStr">
        <is>
          <t>FUNCTIONAL</t>
        </is>
      </c>
      <c r="H84" s="35">
        <f>IF(G84="BUG","BUG-"&amp;A84,IF(G84="FUNCTIONAL","FUNCTIONAL-"&amp;A84,""))</f>
        <v/>
      </c>
      <c r="I84" s="35" t="inlineStr">
        <is>
          <t>Media</t>
        </is>
      </c>
      <c r="J84" s="35" t="inlineStr">
        <is>
          <t>#19</t>
        </is>
      </c>
      <c r="K84" s="36" t="inlineStr">
        <is>
          <t>VOLUTAMENTE DEMO (task #19)</t>
        </is>
      </c>
      <c r="L84" s="36" t="inlineStr">
        <is>
          <t>Noto: dati mock</t>
        </is>
      </c>
    </row>
    <row r="85" ht="45" customHeight="1" s="22">
      <c r="A85" s="37" t="inlineStr">
        <is>
          <t>TC-084</t>
        </is>
      </c>
      <c r="B85" s="35" t="inlineStr">
        <is>
          <t>Admin - Gestione</t>
        </is>
      </c>
      <c r="C85" s="35" t="inlineStr">
        <is>
          <t>Elenco prenotazioni (tutte)</t>
        </is>
      </c>
      <c r="D85" s="35" t="inlineStr">
        <is>
          <t>Nessuna</t>
        </is>
      </c>
      <c r="E85" s="35" t="inlineStr">
        <is>
          <t>Apri /admin/bookings</t>
        </is>
      </c>
      <c r="F85" s="35" t="inlineStr">
        <is>
          <t>Dovrebbe riflettere le prenotazioni reali</t>
        </is>
      </c>
      <c r="G85" s="35" t="inlineStr">
        <is>
          <t>FUNCTIONAL</t>
        </is>
      </c>
      <c r="H85" s="35">
        <f>IF(G85="BUG","BUG-"&amp;A85,IF(G85="FUNCTIONAL","FUNCTIONAL-"&amp;A85,""))</f>
        <v/>
      </c>
      <c r="I85" s="35" t="inlineStr">
        <is>
          <t>Media</t>
        </is>
      </c>
      <c r="J85" s="35" t="inlineStr">
        <is>
          <t>#19</t>
        </is>
      </c>
      <c r="K85" s="36" t="inlineStr">
        <is>
          <t>VOLUTAMENTE DEMO (task #19)</t>
        </is>
      </c>
      <c r="L85" s="36" t="inlineStr">
        <is>
          <t>Noto: dati mock</t>
        </is>
      </c>
    </row>
    <row r="86" ht="45" customHeight="1" s="22">
      <c r="A86" s="37" t="inlineStr">
        <is>
          <t>TC-085</t>
        </is>
      </c>
      <c r="B86" s="35" t="inlineStr">
        <is>
          <t>Admin - Gestione</t>
        </is>
      </c>
      <c r="C86" s="35" t="inlineStr">
        <is>
          <t>Elenco centri</t>
        </is>
      </c>
      <c r="D86" s="35" t="inlineStr">
        <is>
          <t>Nessuna</t>
        </is>
      </c>
      <c r="E86" s="35" t="inlineStr">
        <is>
          <t>Apri /admin/centers</t>
        </is>
      </c>
      <c r="F86" s="35" t="inlineStr">
        <is>
          <t>Dovrebbe riflettere i centri reali (salvo il form 'Nuovo centro' che e reale)</t>
        </is>
      </c>
      <c r="G86" s="35" t="inlineStr">
        <is>
          <t>FUNCTIONAL</t>
        </is>
      </c>
      <c r="H86" s="35">
        <f>IF(G86="BUG","BUG-"&amp;A86,IF(G86="FUNCTIONAL","FUNCTIONAL-"&amp;A86,""))</f>
        <v/>
      </c>
      <c r="I86" s="35" t="inlineStr">
        <is>
          <t>Media</t>
        </is>
      </c>
      <c r="J86" s="35" t="inlineStr">
        <is>
          <t>#19</t>
        </is>
      </c>
      <c r="K86" s="36" t="inlineStr">
        <is>
          <t>VOLUTAMENTE DEMO (task #19)</t>
        </is>
      </c>
      <c r="L86" s="36" t="inlineStr">
        <is>
          <t>Noto: lista mock</t>
        </is>
      </c>
    </row>
    <row r="87" ht="45" customHeight="1" s="22">
      <c r="A87" s="37" t="inlineStr">
        <is>
          <t>TC-086</t>
        </is>
      </c>
      <c r="B87" s="35" t="inlineStr">
        <is>
          <t>Admin - Gestione</t>
        </is>
      </c>
      <c r="C87" s="35" t="inlineStr">
        <is>
          <t>Creazione nuovo centro</t>
        </is>
      </c>
      <c r="D87" s="35" t="inlineStr">
        <is>
          <t>Nessuna</t>
        </is>
      </c>
      <c r="E87" s="35" t="inlineStr">
        <is>
          <t>Su /admin/centers, usa il form 'Nuovo centro' -&gt; compila -&gt; salva</t>
        </is>
      </c>
      <c r="F87" s="35" t="inlineStr">
        <is>
          <t>Il centro viene creato su Supabase</t>
        </is>
      </c>
      <c r="G87" s="35" t="n"/>
      <c r="H87" s="35">
        <f>IF(G87="BUG","BUG-"&amp;A87,IF(G87="FUNCTIONAL","FUNCTIONAL-"&amp;A87,""))</f>
        <v/>
      </c>
      <c r="I87" s="35" t="inlineStr">
        <is>
          <t>Alta</t>
        </is>
      </c>
      <c r="J87" s="35" t="n"/>
      <c r="K87" s="36" t="n"/>
      <c r="L87" s="36" t="n"/>
    </row>
    <row r="88" ht="45" customHeight="1" s="22">
      <c r="A88" s="37" t="inlineStr">
        <is>
          <t>TC-087</t>
        </is>
      </c>
      <c r="B88" s="35" t="inlineStr">
        <is>
          <t>Admin - Gestione</t>
        </is>
      </c>
      <c r="C88" s="35" t="inlineStr">
        <is>
          <t>Dettaglio centro</t>
        </is>
      </c>
      <c r="D88" s="35" t="inlineStr">
        <is>
          <t>Centro esistente</t>
        </is>
      </c>
      <c r="E88" s="35" t="inlineStr">
        <is>
          <t>Apri /admin/centers/[id]</t>
        </is>
      </c>
      <c r="F88" s="35" t="inlineStr">
        <is>
          <t>Dovrebbe mostrare i dati reali del centro</t>
        </is>
      </c>
      <c r="G88" s="35" t="inlineStr">
        <is>
          <t>FUNCTIONAL</t>
        </is>
      </c>
      <c r="H88" s="35">
        <f>IF(G88="BUG","BUG-"&amp;A88,IF(G88="FUNCTIONAL","FUNCTIONAL-"&amp;A88,""))</f>
        <v/>
      </c>
      <c r="I88" s="35" t="inlineStr">
        <is>
          <t>Bassa</t>
        </is>
      </c>
      <c r="J88" s="35" t="inlineStr">
        <is>
          <t>#19</t>
        </is>
      </c>
      <c r="K88" s="36" t="inlineStr">
        <is>
          <t>VOLUTAMENTE DEMO (task #19)</t>
        </is>
      </c>
      <c r="L88" s="36" t="inlineStr">
        <is>
          <t>Noto: dati mock</t>
        </is>
      </c>
    </row>
    <row r="89" ht="45" customHeight="1" s="22">
      <c r="A89" s="37" t="inlineStr">
        <is>
          <t>TC-088</t>
        </is>
      </c>
      <c r="B89" s="35" t="inlineStr">
        <is>
          <t>Admin - Gestione</t>
        </is>
      </c>
      <c r="C89" s="35" t="inlineStr">
        <is>
          <t>Gestione tag piattaforma</t>
        </is>
      </c>
      <c r="D89" s="35" t="inlineStr">
        <is>
          <t>Nessuna</t>
        </is>
      </c>
      <c r="E89" s="35" t="inlineStr">
        <is>
          <t>Apri /admin/tags -&gt; crea/modifica un tag (es. 'Nuoto sincronizzato')</t>
        </is>
      </c>
      <c r="F89" s="35" t="inlineStr">
        <is>
          <t>Il tag e subito selezionabile dai gestori nelle attivita E dai genitori come preferenza gruppo</t>
        </is>
      </c>
      <c r="G89" s="35" t="n"/>
      <c r="H89" s="35">
        <f>IF(G89="BUG","BUG-"&amp;A89,IF(G89="FUNCTIONAL","FUNCTIONAL-"&amp;A89,""))</f>
        <v/>
      </c>
      <c r="I89" s="35" t="inlineStr">
        <is>
          <t>Alta</t>
        </is>
      </c>
      <c r="J89" s="35" t="n"/>
      <c r="K89" s="36" t="n"/>
      <c r="L89" s="36" t="n"/>
    </row>
    <row r="90" ht="45" customHeight="1" s="22">
      <c r="A90" s="37" t="inlineStr">
        <is>
          <t>TC-089</t>
        </is>
      </c>
      <c r="B90" s="35" t="inlineStr">
        <is>
          <t>Admin - Richieste Gruppo</t>
        </is>
      </c>
      <c r="C90" s="35" t="inlineStr">
        <is>
          <t>Report Richieste Gruppo multi-centro</t>
        </is>
      </c>
      <c r="D90" s="35" t="inlineStr">
        <is>
          <t>Richieste create su piu centri diversi</t>
        </is>
      </c>
      <c r="E90" s="35" t="inlineStr">
        <is>
          <t>Apri /admin/group-requests</t>
        </is>
      </c>
      <c r="F90" s="35" t="inlineStr">
        <is>
          <t>Tabella con TUTTE le richieste di tutti i centri (gruppo, attivita, centro, bambini, sconto, stato, data), sola lettura, con contatori in alto</t>
        </is>
      </c>
      <c r="G90" s="35" t="n"/>
      <c r="H90" s="35">
        <f>IF(G90="BUG","BUG-"&amp;A90,IF(G90="FUNCTIONAL","FUNCTIONAL-"&amp;A90,""))</f>
        <v/>
      </c>
      <c r="I90" s="35" t="inlineStr">
        <is>
          <t>Alta</t>
        </is>
      </c>
      <c r="J90" s="35" t="n"/>
      <c r="K90" s="36" t="n"/>
      <c r="L90" s="36" t="inlineStr">
        <is>
          <t>Feature nuova</t>
        </is>
      </c>
    </row>
    <row r="91" ht="45" customHeight="1" s="22">
      <c r="A91" s="37" t="inlineStr">
        <is>
          <t>TC-090</t>
        </is>
      </c>
      <c r="B91" s="35" t="inlineStr">
        <is>
          <t>Admin - Analytics</t>
        </is>
      </c>
      <c r="C91" s="35" t="inlineStr">
        <is>
          <t>Tabella attivita Gestori</t>
        </is>
      </c>
      <c r="D91" s="35" t="inlineStr">
        <is>
          <t>Almeno un gestore ha modificato qualcosa</t>
        </is>
      </c>
      <c r="E91" s="35" t="inlineStr">
        <is>
          <t>Apri /admin/analytics</t>
        </is>
      </c>
      <c r="F91" s="35" t="inlineStr">
        <is>
          <t>La tabella 'Attivita dei Gestori centro' mostra dati reali (activity_log)</t>
        </is>
      </c>
      <c r="G91" s="35" t="n"/>
      <c r="H91" s="35">
        <f>IF(G91="BUG","BUG-"&amp;A91,IF(G91="FUNCTIONAL","FUNCTIONAL-"&amp;A91,""))</f>
        <v/>
      </c>
      <c r="I91" s="35" t="inlineStr">
        <is>
          <t>Alta</t>
        </is>
      </c>
      <c r="J91" s="35" t="n"/>
      <c r="K91" s="36" t="n"/>
      <c r="L91" s="36" t="n"/>
    </row>
    <row r="92" ht="45" customHeight="1" s="22">
      <c r="A92" s="37" t="inlineStr">
        <is>
          <t>TC-091</t>
        </is>
      </c>
      <c r="B92" s="35" t="inlineStr">
        <is>
          <t>Admin - Analytics</t>
        </is>
      </c>
      <c r="C92" s="35" t="inlineStr">
        <is>
          <t>Grafici occupazione/categorie/eta</t>
        </is>
      </c>
      <c r="D92" s="35" t="inlineStr">
        <is>
          <t>Nessuna</t>
        </is>
      </c>
      <c r="E92" s="35" t="inlineStr">
        <is>
          <t>Osserva i grafici sotto la tabella</t>
        </is>
      </c>
      <c r="F92" s="35" t="inlineStr">
        <is>
          <t>Dovrebbero riflettere le attivita reali</t>
        </is>
      </c>
      <c r="G92" s="35" t="inlineStr">
        <is>
          <t>FUNCTIONAL</t>
        </is>
      </c>
      <c r="H92" s="35">
        <f>IF(G92="BUG","BUG-"&amp;A92,IF(G92="FUNCTIONAL","FUNCTIONAL-"&amp;A92,""))</f>
        <v/>
      </c>
      <c r="I92" s="35" t="inlineStr">
        <is>
          <t>Media</t>
        </is>
      </c>
      <c r="J92" s="35" t="inlineStr">
        <is>
          <t>#23</t>
        </is>
      </c>
      <c r="K92" s="36" t="inlineStr">
        <is>
          <t>VOLUTAMENTE DEMO (task #23)</t>
        </is>
      </c>
      <c r="L92" s="36" t="inlineStr">
        <is>
          <t>Noto: calcolati sempre sui dati mock</t>
        </is>
      </c>
    </row>
    <row r="93" ht="45" customHeight="1" s="22">
      <c r="A93" s="37" t="inlineStr">
        <is>
          <t>TC-092</t>
        </is>
      </c>
      <c r="B93" s="35" t="inlineStr">
        <is>
          <t>Admin - Analytics</t>
        </is>
      </c>
      <c r="C93" s="35" t="inlineStr">
        <is>
          <t>Centri limitrofi complementari</t>
        </is>
      </c>
      <c r="D93" s="35" t="inlineStr">
        <is>
          <t>Nessuna</t>
        </is>
      </c>
      <c r="E93" s="35" t="inlineStr">
        <is>
          <t>Osserva la sezione in fondo alla pagina Analytics</t>
        </is>
      </c>
      <c r="F93" s="35" t="inlineStr">
        <is>
          <t>Dovrebbe riflettere i centri reali</t>
        </is>
      </c>
      <c r="G93" s="35" t="inlineStr">
        <is>
          <t>FUNCTIONAL</t>
        </is>
      </c>
      <c r="H93" s="35">
        <f>IF(G93="BUG","BUG-"&amp;A93,IF(G93="FUNCTIONAL","FUNCTIONAL-"&amp;A93,""))</f>
        <v/>
      </c>
      <c r="I93" s="35" t="inlineStr">
        <is>
          <t>Bassa</t>
        </is>
      </c>
      <c r="J93" s="35" t="inlineStr">
        <is>
          <t>#23</t>
        </is>
      </c>
      <c r="K93" s="36" t="inlineStr">
        <is>
          <t>VOLUTAMENTE DEMO (task #23)</t>
        </is>
      </c>
      <c r="L93" s="36" t="inlineStr">
        <is>
          <t>Noto: sempre calcolata sui centri mock</t>
        </is>
      </c>
    </row>
    <row r="94" ht="45" customHeight="1" s="22">
      <c r="A94" s="37" t="inlineStr">
        <is>
          <t>TC-093</t>
        </is>
      </c>
      <c r="B94" s="35" t="inlineStr">
        <is>
          <t>Multi-tenant / PWA</t>
        </is>
      </c>
      <c r="C94" s="35" t="inlineStr">
        <is>
          <t>Routing per sottodominio/alias</t>
        </is>
      </c>
      <c r="D94" s="35" t="inlineStr">
        <is>
          <t>I tre alias .vercel.app configurati</t>
        </is>
      </c>
      <c r="E94" s="35" t="inlineStr">
        <is>
          <t>Apri i tre alias (family/partner/admin)</t>
        </is>
      </c>
      <c r="F94" s="35" t="inlineStr">
        <is>
          <t>Ognuno mostra l'app corretta senza login incrociato</t>
        </is>
      </c>
      <c r="G94" s="35" t="n"/>
      <c r="H94" s="35">
        <f>IF(G94="BUG","BUG-"&amp;A94,IF(G94="FUNCTIONAL","FUNCTIONAL-"&amp;A94,""))</f>
        <v/>
      </c>
      <c r="I94" s="35" t="inlineStr">
        <is>
          <t>Alta</t>
        </is>
      </c>
      <c r="J94" s="35" t="n"/>
      <c r="K94" s="36" t="n"/>
      <c r="L94" s="36" t="n"/>
    </row>
    <row r="95" ht="45" customHeight="1" s="22">
      <c r="A95" s="37" t="inlineStr">
        <is>
          <t>TC-094</t>
        </is>
      </c>
      <c r="B95" s="35" t="inlineStr">
        <is>
          <t>Multi-tenant / PWA</t>
        </is>
      </c>
      <c r="C95" s="35" t="inlineStr">
        <is>
          <t>Manifest PWA per tenant</t>
        </is>
      </c>
      <c r="D95" s="35" t="inlineStr">
        <is>
          <t>Nessuna</t>
        </is>
      </c>
      <c r="E95" s="35" t="inlineStr">
        <is>
          <t>DevTools -&gt; Application -&gt; Manifest su ciascun alias</t>
        </is>
      </c>
      <c r="F95" s="35" t="inlineStr">
        <is>
          <t>Nome, icone e colori corretti per il tenant, nessun errore 'No manifest detected'</t>
        </is>
      </c>
      <c r="G95" s="35" t="n"/>
      <c r="H95" s="35">
        <f>IF(G95="BUG","BUG-"&amp;A95,IF(G95="FUNCTIONAL","FUNCTIONAL-"&amp;A95,""))</f>
        <v/>
      </c>
      <c r="I95" s="35" t="inlineStr">
        <is>
          <t>Alta</t>
        </is>
      </c>
      <c r="J95" s="35" t="n"/>
      <c r="K95" s="36" t="n"/>
      <c r="L95" s="36" t="n"/>
    </row>
    <row r="96" ht="45" customHeight="1" s="22">
      <c r="A96" s="37" t="inlineStr">
        <is>
          <t>TC-095</t>
        </is>
      </c>
      <c r="B96" s="35" t="inlineStr">
        <is>
          <t>Multi-tenant / PWA</t>
        </is>
      </c>
      <c r="C96" s="35" t="inlineStr">
        <is>
          <t>Installazione PWA Android</t>
        </is>
      </c>
      <c r="D96" s="35" t="inlineStr">
        <is>
          <t>Chrome Android</t>
        </is>
      </c>
      <c r="E96" s="35" t="inlineStr">
        <is>
          <t>Verifica banner 'Installa' su ciascuna delle tre app</t>
        </is>
      </c>
      <c r="F96" s="35" t="inlineStr">
        <is>
          <t>Installazione riuscita, icona corretta in home screen</t>
        </is>
      </c>
      <c r="G96" s="35" t="n"/>
      <c r="H96" s="35">
        <f>IF(G96="BUG","BUG-"&amp;A96,IF(G96="FUNCTIONAL","FUNCTIONAL-"&amp;A96,""))</f>
        <v/>
      </c>
      <c r="I96" s="35" t="inlineStr">
        <is>
          <t>Alta</t>
        </is>
      </c>
      <c r="J96" s="35" t="n"/>
      <c r="K96" s="36" t="n"/>
      <c r="L96" s="36" t="n"/>
    </row>
    <row r="97" ht="45" customHeight="1" s="22">
      <c r="A97" s="37" t="inlineStr">
        <is>
          <t>TC-096</t>
        </is>
      </c>
      <c r="B97" s="35" t="inlineStr">
        <is>
          <t>Multi-tenant / PWA</t>
        </is>
      </c>
      <c r="C97" s="35" t="inlineStr">
        <is>
          <t>Login separato per alias .vercel.app</t>
        </is>
      </c>
      <c r="D97" s="35" t="inlineStr">
        <is>
          <t>Login gia fatto su un alias</t>
        </is>
      </c>
      <c r="E97" s="35" t="inlineStr">
        <is>
          <t>Apri un secondo alias</t>
        </is>
      </c>
      <c r="F97" s="35" t="inlineStr">
        <is>
          <t>Richiede login separato (cookie non condiviso tra .vercel.app diversi)</t>
        </is>
      </c>
      <c r="G97" s="35" t="inlineStr">
        <is>
          <t>OK</t>
        </is>
      </c>
      <c r="H97" s="35">
        <f>IF(G97="BUG","BUG-"&amp;A97,IF(G97="FUNCTIONAL","FUNCTIONAL-"&amp;A97,""))</f>
        <v/>
      </c>
      <c r="I97" s="35" t="inlineStr">
        <is>
          <t>Media</t>
        </is>
      </c>
      <c r="J97" s="35" t="n"/>
      <c r="K97" s="36" t="n"/>
      <c r="L97" s="36" t="inlineStr">
        <is>
          <t>Comportamento noto e atteso, non un bug</t>
        </is>
      </c>
    </row>
    <row r="98" ht="45" customHeight="1" s="22">
      <c r="A98" s="37" t="inlineStr">
        <is>
          <t>TC-097</t>
        </is>
      </c>
      <c r="B98" s="35" t="inlineStr">
        <is>
          <t>Multi-tenant / PWA</t>
        </is>
      </c>
      <c r="C98" s="35" t="inlineStr">
        <is>
          <t>Barra di navigazione fissa durante lo scroll (mobile)</t>
        </is>
      </c>
      <c r="D98" s="35" t="inlineStr">
        <is>
          <t>Pagina con contenuto lungo, mobile</t>
        </is>
      </c>
      <c r="E98" s="35" t="inlineStr">
        <is>
          <t>Scorri la pagina in una qualsiasi delle 3 app</t>
        </is>
      </c>
      <c r="F98" s="35" t="inlineStr">
        <is>
          <t>La barra di navigazione/menu resta visibile (fissa in cima o in fondo) durante lo scroll</t>
        </is>
      </c>
      <c r="G98" s="35" t="n"/>
      <c r="H98" s="35">
        <f>IF(G98="BUG","BUG-"&amp;A98,IF(G98="FUNCTIONAL","FUNCTIONAL-"&amp;A98,""))</f>
        <v/>
      </c>
      <c r="I98" s="35" t="inlineStr">
        <is>
          <t>Alta</t>
        </is>
      </c>
      <c r="J98" s="35" t="inlineStr">
        <is>
          <t>#24</t>
        </is>
      </c>
      <c r="K98" s="36" t="inlineStr">
        <is>
          <t>TO DEPLOY (fix già fatto in sessione precedente - barra nav sticky - da riverificare sul deploy reale)</t>
        </is>
      </c>
      <c r="L98" s="36" t="inlineStr">
        <is>
          <t>Corretto in questa sessione (altezza fissa app-shell + wrapper sticky su dashboard mobile) - da riverificare sul deploy reale</t>
        </is>
      </c>
    </row>
    <row r="99" ht="45" customHeight="1" s="22">
      <c r="A99" s="37" t="inlineStr">
        <is>
          <t>TC-098</t>
        </is>
      </c>
      <c r="B99" s="35" t="inlineStr">
        <is>
          <t>Fuori scope attuale</t>
        </is>
      </c>
      <c r="C99" s="35" t="inlineStr">
        <is>
          <t>Notifiche email conferma prenotazione</t>
        </is>
      </c>
      <c r="D99" s="35" t="inlineStr">
        <is>
          <t>Prenotazione completata</t>
        </is>
      </c>
      <c r="E99" s="35" t="inlineStr">
        <is>
          <t>Controlla la casella email del genitore</t>
        </is>
      </c>
      <c r="F99" s="35" t="inlineStr">
        <is>
          <t>Dovrebbe arrivare un'email di conferma</t>
        </is>
      </c>
      <c r="G99" s="35" t="inlineStr">
        <is>
          <t>FUNCTIONAL</t>
        </is>
      </c>
      <c r="H99" s="35">
        <f>IF(G99="BUG","BUG-"&amp;A99,IF(G99="FUNCTIONAL","FUNCTIONAL-"&amp;A99,""))</f>
        <v/>
      </c>
      <c r="I99" s="35" t="inlineStr">
        <is>
          <t>Bassa</t>
        </is>
      </c>
      <c r="J99" s="35" t="inlineStr">
        <is>
          <t>#15</t>
        </is>
      </c>
      <c r="K99" s="36" t="inlineStr">
        <is>
          <t>DA COSTRUIRE (task #15, V1 - non ancora iniziato)</t>
        </is>
      </c>
      <c r="L99" s="36" t="inlineStr">
        <is>
          <t>Noto: nessuna email viene inviata (non implementato)</t>
        </is>
      </c>
    </row>
    <row r="100" ht="45" customHeight="1" s="22">
      <c r="A100" s="37" t="inlineStr">
        <is>
          <t>TC-099</t>
        </is>
      </c>
      <c r="B100" s="35" t="inlineStr">
        <is>
          <t>Fuori scope attuale</t>
        </is>
      </c>
      <c r="C100" s="35" t="inlineStr">
        <is>
          <t>Candidatura staff camp</t>
        </is>
      </c>
      <c r="D100" s="35" t="inlineStr">
        <is>
          <t>Nessuna</t>
        </is>
      </c>
      <c r="E100" s="35" t="inlineStr">
        <is>
          <t>Cerca una sezione 'Lavora con noi' o candidatura staff</t>
        </is>
      </c>
      <c r="F100" s="35" t="inlineStr">
        <is>
          <t>Dovrebbe esistere un flusso di candidatura</t>
        </is>
      </c>
      <c r="G100" s="35" t="inlineStr">
        <is>
          <t>FUNCTIONAL</t>
        </is>
      </c>
      <c r="H100" s="35">
        <f>IF(G100="BUG","BUG-"&amp;A100,IF(G100="FUNCTIONAL","FUNCTIONAL-"&amp;A100,""))</f>
        <v/>
      </c>
      <c r="I100" s="35" t="inlineStr">
        <is>
          <t>Bassa</t>
        </is>
      </c>
      <c r="J100" s="35" t="inlineStr">
        <is>
          <t>#9</t>
        </is>
      </c>
      <c r="K100" s="36" t="inlineStr">
        <is>
          <t>DA COSTRUIRE (V2 - release successiva, task #9)</t>
        </is>
      </c>
      <c r="L100" s="36" t="inlineStr">
        <is>
          <t>Noto: non presente, pianificato per fase futura</t>
        </is>
      </c>
    </row>
    <row r="101" ht="45" customHeight="1" s="22">
      <c r="A101" s="37" t="inlineStr">
        <is>
          <t>TC-100</t>
        </is>
      </c>
      <c r="B101" s="35" t="inlineStr">
        <is>
          <t>Fuori scope attuale</t>
        </is>
      </c>
      <c r="C101" s="35" t="inlineStr">
        <is>
          <t>Tutorial onboarding al primo accesso</t>
        </is>
      </c>
      <c r="D101" s="35" t="inlineStr">
        <is>
          <t>Nuovo utente al primo login</t>
        </is>
      </c>
      <c r="E101" s="35" t="inlineStr">
        <is>
          <t>Osserva se compare una guida introduttiva</t>
        </is>
      </c>
      <c r="F101" s="35" t="inlineStr">
        <is>
          <t>Dovrebbe comparire uno spotlight/tutorial</t>
        </is>
      </c>
      <c r="G101" s="35" t="inlineStr">
        <is>
          <t>FUNCTIONAL</t>
        </is>
      </c>
      <c r="H101" s="35">
        <f>IF(G101="BUG","BUG-"&amp;A101,IF(G101="FUNCTIONAL","FUNCTIONAL-"&amp;A101,""))</f>
        <v/>
      </c>
      <c r="I101" s="35" t="inlineStr">
        <is>
          <t>Bassa</t>
        </is>
      </c>
      <c r="J101" s="35" t="inlineStr">
        <is>
          <t>#11</t>
        </is>
      </c>
      <c r="K101" s="36" t="inlineStr">
        <is>
          <t>DA COSTRUIRE (V2 - release successiva, task #11)</t>
        </is>
      </c>
      <c r="L101" s="36" t="inlineStr">
        <is>
          <t>Noto: non presente ancora</t>
        </is>
      </c>
    </row>
    <row r="102" ht="45" customHeight="1" s="22">
      <c r="A102" s="34" t="inlineStr">
        <is>
          <t>TC-101</t>
        </is>
      </c>
      <c r="B102" s="35" t="inlineStr">
        <is>
          <t>Genitori - Home (Planner/Per Bambino)</t>
        </is>
      </c>
      <c r="C102" s="35" t="inlineStr">
        <is>
          <t>Vista Planner riflette le prenotazioni reali con l'anno di stagione corretto</t>
        </is>
      </c>
      <c r="D102" s="35" t="inlineStr">
        <is>
          <t>Almeno un bambino con profilo completo; app collegata a Supabase</t>
        </is>
      </c>
      <c r="E102" s="35" t="inlineStr">
        <is>
          <t>Apri Home, tab "Planner"</t>
        </is>
      </c>
      <c r="F102" s="35" t="inlineStr">
        <is>
          <t>Le 13 settimane della stagione sono mostrate (coperte/scoperte) in base alle prenotazioni reali; "Settimana N" indica sempre lo stesso intervallo di calendario sia qui sia nel selettore di Prenotazione</t>
        </is>
      </c>
      <c r="G102" s="35" t="inlineStr">
        <is>
          <t>DA TESTARE</t>
        </is>
      </c>
      <c r="H102" s="35" t="n"/>
      <c r="I102" s="35" t="inlineStr">
        <is>
          <t>Alta</t>
        </is>
      </c>
      <c r="J102" s="35" t="inlineStr">
        <is>
          <t>#65, #82</t>
        </is>
      </c>
      <c r="K102" s="36" t="inlineStr">
        <is>
          <t>TO DEPLOY (implementato e verificato con build in questa sessione)</t>
        </is>
      </c>
      <c r="L102" s="36" t="inlineStr">
        <is>
          <t>Corretto un bug per cui l'anno "di stagione" veniva dedotto dall'orologio di sistema invece che dai dati reali: se i dati demo erano di un anno diverso, TUTTE le settimane risultavano "scoperte/non disponibili" anche con posti realmente liberi. Ora una funzione condivisa (getSeasonYear) garantisce coerenza tra Planner e Prenotazione.</t>
        </is>
      </c>
    </row>
    <row r="103" ht="45" customHeight="1" s="22">
      <c r="A103" s="34" t="inlineStr">
        <is>
          <t>TC-102</t>
        </is>
      </c>
      <c r="B103" s="35" t="inlineStr">
        <is>
          <t>Genitori - Home (Planner/Per Bambino)</t>
        </is>
      </c>
      <c r="C103" s="35" t="inlineStr">
        <is>
          <t>Filtro per bambino nel Planner (famiglie con più figli)</t>
        </is>
      </c>
      <c r="D103" s="35" t="inlineStr">
        <is>
          <t>Almeno 2 bambini nel profilo, con prenotazioni/esigenze diverse</t>
        </is>
      </c>
      <c r="E103" s="35" t="inlineStr">
        <is>
          <t>Nella vista Planner, usa il filtro "Tutti / [nome bambino]" sopra la lista delle settimane</t>
        </is>
      </c>
      <c r="F103" s="35" t="inlineStr">
        <is>
          <t>Selezionando un bambino specifico, il Planner mostra solo la sua copertura; in modalità "Tutti" le settimane coperte solo per alcuni bambini mostrano un avviso "manca per [nome]"</t>
        </is>
      </c>
      <c r="G103" s="35" t="inlineStr">
        <is>
          <t>DA TESTARE</t>
        </is>
      </c>
      <c r="H103" s="35" t="n"/>
      <c r="I103" s="35" t="inlineStr">
        <is>
          <t>Alta</t>
        </is>
      </c>
      <c r="J103" s="35" t="inlineStr">
        <is>
          <t>#88</t>
        </is>
      </c>
      <c r="K103" s="36" t="inlineStr">
        <is>
          <t>TO DEPLOY (implementato e verificato con build in questa sessione)</t>
        </is>
      </c>
      <c r="L103" s="36" t="inlineStr">
        <is>
          <t>Funzionalità nuova, richiesta esplicitamente per gestire famiglie con bambini iscritti a campus/settimane diversi — prima il Planner assumeva un unico bambino.</t>
        </is>
      </c>
    </row>
    <row r="104" ht="45" customHeight="1" s="22">
      <c r="A104" s="34" t="inlineStr">
        <is>
          <t>TC-103</t>
        </is>
      </c>
      <c r="B104" s="35" t="inlineStr">
        <is>
          <t>Genitori - Home (Planner/Per Bambino)</t>
        </is>
      </c>
      <c r="C104" s="35" t="inlineStr">
        <is>
          <t>Escludere/ripristinare una settimana da "da riempire"</t>
        </is>
      </c>
      <c r="D104" s="35" t="inlineStr">
        <is>
          <t>Almeno una settimana scoperta nel Planner</t>
        </is>
      </c>
      <c r="E104" s="35" t="inlineStr">
        <is>
          <t>Su una settimana scoperta, clicca "Non mi serve"; poi clicca "Ripristina"</t>
        </is>
      </c>
      <c r="F104" s="35" t="inlineStr">
        <is>
          <t>La settimana passa allo stato "non ti serve" (non conta più tra quelle da riempire) e può essere ripristinata in qualsiasi momento</t>
        </is>
      </c>
      <c r="G104" s="35" t="inlineStr">
        <is>
          <t>DA TESTARE</t>
        </is>
      </c>
      <c r="H104" s="35" t="n"/>
      <c r="I104" s="35" t="inlineStr">
        <is>
          <t>Media</t>
        </is>
      </c>
      <c r="J104" s="35" t="inlineStr">
        <is>
          <t>#70</t>
        </is>
      </c>
      <c r="K104" s="36" t="inlineStr">
        <is>
          <t>TO DEPLOY</t>
        </is>
      </c>
      <c r="L104" s="36" t="inlineStr">
        <is>
          <t>Utile per le famiglie che, per alcune settimane, non hanno bisogno del centro estivo (vacanza, nonni, ecc.) e non vogliono vedere quella settimana segnalata come "da riempire".</t>
        </is>
      </c>
    </row>
    <row r="105" ht="45" customHeight="1" s="22">
      <c r="A105" s="34" t="inlineStr">
        <is>
          <t>TC-104</t>
        </is>
      </c>
      <c r="B105" s="35" t="inlineStr">
        <is>
          <t>Genitori - Home (Planner/Per Bambino)</t>
        </is>
      </c>
      <c r="C105" s="35" t="inlineStr">
        <is>
          <t>Vista Per Bambino — anello di selezione non tagliato dal bordo</t>
        </is>
      </c>
      <c r="D105" s="35" t="inlineStr">
        <is>
          <t>Almeno 2 bambini nel profilo</t>
        </is>
      </c>
      <c r="E105" s="35" t="inlineStr">
        <is>
          <t>In Home, passa alla vista "Per bambino"; scorri gli avatar e seleziona un bambino vicino al bordo della sezione scrollabile</t>
        </is>
      </c>
      <c r="F105" s="35" t="inlineStr">
        <is>
          <t>L'anello colorato attorno all'avatar selezionato è visibile per intero, non tagliato dal bordo del contenitore</t>
        </is>
      </c>
      <c r="G105" s="35" t="inlineStr">
        <is>
          <t>DA TESTARE</t>
        </is>
      </c>
      <c r="H105" s="35" t="n"/>
      <c r="I105" s="35" t="inlineStr">
        <is>
          <t>Bassa</t>
        </is>
      </c>
      <c r="J105" s="35" t="inlineStr">
        <is>
          <t>#90</t>
        </is>
      </c>
      <c r="K105" s="36" t="inlineStr">
        <is>
          <t>TO DEPLOY (bug segnalato e corretto in questa sessione)</t>
        </is>
      </c>
      <c r="L105" s="36" t="inlineStr">
        <is>
          <t>Corretto aggiungendo padding/margine negativo al contenitore scroll — l'anello di selezione (ring) veniva tagliato dal bordo della sezione.</t>
        </is>
      </c>
    </row>
    <row r="106" ht="45" customHeight="1" s="22">
      <c r="A106" s="34" t="inlineStr">
        <is>
          <t>TC-105</t>
        </is>
      </c>
      <c r="B106" s="35" t="inlineStr">
        <is>
          <t>Genitori - Home (Planner/Per Bambino)</t>
        </is>
      </c>
      <c r="C106" s="35" t="inlineStr">
        <is>
          <t>"Già prenotato per [bambino]" senza righe duplicate</t>
        </is>
      </c>
      <c r="D106" s="35" t="inlineStr">
        <is>
          <t>Bambino con almeno una prenotazione confermata</t>
        </is>
      </c>
      <c r="E106" s="35" t="inlineStr">
        <is>
          <t>Vista "Per bambino", seleziona il bambino con la prenotazione</t>
        </is>
      </c>
      <c r="F106" s="35" t="inlineStr">
        <is>
          <t>La sezione "Già prenotato per [nome]" mostra ogni attività/settimane una sola volta, senza righe identiche ripetute</t>
        </is>
      </c>
      <c r="G106" s="35" t="inlineStr">
        <is>
          <t>DA TESTARE</t>
        </is>
      </c>
      <c r="H106" s="35" t="n"/>
      <c r="I106" s="35" t="inlineStr">
        <is>
          <t>Media</t>
        </is>
      </c>
      <c r="J106" s="35" t="inlineStr">
        <is>
          <t>#108</t>
        </is>
      </c>
      <c r="K106" s="36" t="inlineStr">
        <is>
          <t>TO DEPLOY (bug segnalato e corretto in questa sessione)</t>
        </is>
      </c>
      <c r="L106" s="36" t="inlineStr">
        <is>
          <t>Segnalato da te su Piero (2 record identici): la funzione che raggruppa le prenotazioni per bambino ora deduplica per attività+settimane prima di mostrarle.</t>
        </is>
      </c>
    </row>
    <row r="107" ht="45" customHeight="1" s="22">
      <c r="A107" s="34" t="inlineStr">
        <is>
          <t>TC-106</t>
        </is>
      </c>
      <c r="B107" s="35" t="inlineStr">
        <is>
          <t>Genitori - Home (Planner/Per Bambino)</t>
        </is>
      </c>
      <c r="C107" s="35" t="inlineStr">
        <is>
          <t>Settimana scelta dal Planner arriva pre-selezionata in Prenotazione</t>
        </is>
      </c>
      <c r="D107" s="35" t="inlineStr">
        <is>
          <t>Settimana scoperta nel Planner</t>
        </is>
      </c>
      <c r="E107" s="35" t="inlineStr">
        <is>
          <t>Dal Planner, clicca "Riempi" su una settimana scoperta, scegli un'attività da Cerca, arriva fino allo step "Scegli le settimane" della Prenotazione</t>
        </is>
      </c>
      <c r="F107" s="35" t="inlineStr">
        <is>
          <t>La settimana richiesta è già selezionata (bordo/spunta) e appare un banner "Hai già scelto la Settimana N dal Planner"</t>
        </is>
      </c>
      <c r="G107" s="35" t="inlineStr">
        <is>
          <t>DA TESTARE</t>
        </is>
      </c>
      <c r="H107" s="35" t="n"/>
      <c r="I107" s="35" t="inlineStr">
        <is>
          <t>Alta</t>
        </is>
      </c>
      <c r="J107" s="35" t="inlineStr">
        <is>
          <t>#76, #89</t>
        </is>
      </c>
      <c r="K107" s="36" t="inlineStr">
        <is>
          <t>TO DEPLOY</t>
        </is>
      </c>
      <c r="L107" s="36" t="inlineStr">
        <is>
          <t>Prima la settimana scelta in Home non risultava preselezionata in Prenotazione, obbligando a ritrovarla manualmente tra tutte le settimane.</t>
        </is>
      </c>
    </row>
    <row r="108" ht="45" customHeight="1" s="22">
      <c r="A108" s="34" t="inlineStr">
        <is>
          <t>TC-107</t>
        </is>
      </c>
      <c r="B108" s="35" t="inlineStr">
        <is>
          <t>Genitori - Home (Planner/Per Bambino)</t>
        </is>
      </c>
      <c r="C108" s="35" t="inlineStr">
        <is>
          <t>Multi-bambino: iscrizioni a campus/settimane diverse gestite end-to-end</t>
        </is>
      </c>
      <c r="D108" s="35" t="inlineStr">
        <is>
          <t>Almeno 2 bambini con esigenze diverse</t>
        </is>
      </c>
      <c r="E108" s="35" t="inlineStr">
        <is>
          <t>Da "Per bambino", seleziona un bambino specifico e segui l'intero flusso Riempi → Cerca → Attività → Prenotazione</t>
        </is>
      </c>
      <c r="F108" s="35" t="inlineStr">
        <is>
          <t>Il bambino selezionato resta quello corretto per tutto il flusso (preselezionato anche nello step "Chi partecipa" della Prenotazione), senza doverlo riselezionare ad ogni passaggio</t>
        </is>
      </c>
      <c r="G108" s="35" t="inlineStr">
        <is>
          <t>DA TESTARE</t>
        </is>
      </c>
      <c r="H108" s="35" t="n"/>
      <c r="I108" s="35" t="inlineStr">
        <is>
          <t>Alta</t>
        </is>
      </c>
      <c r="J108" s="35" t="inlineStr">
        <is>
          <t>#88, #89</t>
        </is>
      </c>
      <c r="K108" s="36" t="inlineStr">
        <is>
          <t>TO DEPLOY</t>
        </is>
      </c>
      <c r="L108" s="36" t="inlineStr">
        <is>
          <t>Il parametro bambino viaggia ora nell'URL lungo tutto il flusso (Planner → Search → Attività → Prenotazione).</t>
        </is>
      </c>
    </row>
    <row r="109" ht="45" customHeight="1" s="22">
      <c r="A109" s="34" t="inlineStr">
        <is>
          <t>TC-108</t>
        </is>
      </c>
      <c r="B109" s="35" t="inlineStr">
        <is>
          <t>Genitori - Prenotazione</t>
        </is>
      </c>
      <c r="C109" s="35" t="inlineStr">
        <is>
          <t>Settimane già confermate per la stessa attività non ri-selezionabili</t>
        </is>
      </c>
      <c r="D109" s="35" t="inlineStr">
        <is>
          <t>Genitore con almeno una prenotazione confermata per una specifica attività</t>
        </is>
      </c>
      <c r="E109" s="35" t="inlineStr">
        <is>
          <t>Torna sulla stessa attività (da qualsiasi punto: Cerca, Planner, scheda attività) e apri "Prenota ora"</t>
        </is>
      </c>
      <c r="F109" s="35" t="inlineStr">
        <is>
          <t>Le settimane già prenotate e confermate appaiono con badge verde "✓ Già prenotata" e non sono cliccabili/selezionabili di nuovo</t>
        </is>
      </c>
      <c r="G109" s="35" t="inlineStr">
        <is>
          <t>DA TESTARE</t>
        </is>
      </c>
      <c r="H109" s="35" t="n"/>
      <c r="I109" s="35" t="inlineStr">
        <is>
          <t>Alta</t>
        </is>
      </c>
      <c r="J109" s="35" t="inlineStr">
        <is>
          <t>#106</t>
        </is>
      </c>
      <c r="K109" s="36" t="inlineStr">
        <is>
          <t>TO DEPLOY (implementato in questa sessione su tua richiesta esplicita)</t>
        </is>
      </c>
      <c r="L109" s="36" t="inlineStr">
        <is>
          <t>Evita la doppia prenotazione involontaria della stessa settimana sullo stesso campus, indipendentemente dal punto di ingresso nel flusso.</t>
        </is>
      </c>
    </row>
    <row r="110" ht="45" customHeight="1" s="22">
      <c r="A110" s="34" t="inlineStr">
        <is>
          <t>TC-109</t>
        </is>
      </c>
      <c r="B110" s="35" t="inlineStr">
        <is>
          <t>Genitori - Prenotazione</t>
        </is>
      </c>
      <c r="C110" s="35" t="inlineStr">
        <is>
          <t>Formato data settimana coerente in tutte le sezioni</t>
        </is>
      </c>
      <c r="D110" s="35" t="inlineStr">
        <is>
          <t>Nessuna</t>
        </is>
      </c>
      <c r="E110" s="35" t="inlineStr">
        <is>
          <t>Confronta il formato delle date settimana in Planner, selettore Prenotazione, banner di Cerca e riepilogo di Prenotazione</t>
        </is>
      </c>
      <c r="F110" s="35" t="inlineStr">
        <is>
          <t>Stesso formato ovunque: intervallo di date in evidenza (es. "GIU 2-6") con "Sett. N" come etichetta secondaria</t>
        </is>
      </c>
      <c r="G110" s="35" t="inlineStr">
        <is>
          <t>DA TESTARE</t>
        </is>
      </c>
      <c r="H110" s="35" t="n"/>
      <c r="I110" s="35" t="inlineStr">
        <is>
          <t>Bassa</t>
        </is>
      </c>
      <c r="J110" s="35" t="inlineStr">
        <is>
          <t>#107</t>
        </is>
      </c>
      <c r="K110" s="36" t="inlineStr">
        <is>
          <t>TO DEPLOY (segnalato e corretto in questa sessione)</t>
        </is>
      </c>
      <c r="L110" s="36" t="inlineStr">
        <is>
          <t>Prima ogni sezione usava un formato diverso ("2-6/6" numerico in un punto, "24 giu – 28 giu" testuale in un altro) — ora derivano tutte da un'unica funzione condivisa.</t>
        </is>
      </c>
    </row>
    <row r="111" ht="45" customHeight="1" s="22">
      <c r="A111" s="34" t="inlineStr">
        <is>
          <t>TC-110</t>
        </is>
      </c>
      <c r="B111" s="35" t="inlineStr">
        <is>
          <t>Genitori - Prenotazione</t>
        </is>
      </c>
      <c r="C111" s="35" t="inlineStr">
        <is>
          <t>Deselezione settimana non resta "incollata" allo stato attivo (mobile)</t>
        </is>
      </c>
      <c r="D111" s="35" t="inlineStr">
        <is>
          <t>Dispositivo mobile/touch</t>
        </is>
      </c>
      <c r="E111" s="35" t="inlineStr">
        <is>
          <t>Seleziona una settimana nello step 1, poi deselezionala con un tap</t>
        </is>
      </c>
      <c r="F111" s="35" t="inlineStr">
        <is>
          <t>La card torna visivamente allo stato non selezionato, senza restare con i colori dello stato attivo</t>
        </is>
      </c>
      <c r="G111" s="35" t="inlineStr">
        <is>
          <t>DA TESTARE</t>
        </is>
      </c>
      <c r="H111" s="35" t="n"/>
      <c r="I111" s="35" t="inlineStr">
        <is>
          <t>Media</t>
        </is>
      </c>
      <c r="J111" s="35" t="inlineStr">
        <is>
          <t>#83</t>
        </is>
      </c>
      <c r="K111" s="36" t="inlineStr">
        <is>
          <t>TO DEPLOY</t>
        </is>
      </c>
      <c r="L111" s="36" t="inlineStr">
        <is>
          <t>Bug dovuto a stili ":hover" che su mobile restano "incollati" dopo un tap — rimossi; lo stato attivo ora è comunicato solo dalla selezione reale.</t>
        </is>
      </c>
    </row>
    <row r="112" ht="45" customHeight="1" s="22">
      <c r="A112" s="34" t="inlineStr">
        <is>
          <t>TC-111</t>
        </is>
      </c>
      <c r="B112" s="35" t="inlineStr">
        <is>
          <t>Genitori - Prenotazione</t>
        </is>
      </c>
      <c r="C112" s="35" t="inlineStr">
        <is>
          <t>Pagina di successo mostra le settimane corrette</t>
        </is>
      </c>
      <c r="D112" s="35" t="inlineStr">
        <is>
          <t>Prenotazione completata con successo</t>
        </is>
      </c>
      <c r="E112" s="35" t="inlineStr">
        <is>
          <t>Completa una prenotazione fino alla schermata finale</t>
        </is>
      </c>
      <c r="F112" s="35" t="inlineStr">
        <is>
          <t>Le settimane prenotate sono elencate correttamente, non "--"</t>
        </is>
      </c>
      <c r="G112" s="35" t="inlineStr">
        <is>
          <t>DA TESTARE</t>
        </is>
      </c>
      <c r="H112" s="35" t="n"/>
      <c r="I112" s="35" t="inlineStr">
        <is>
          <t>Alta</t>
        </is>
      </c>
      <c r="J112" s="35" t="inlineStr">
        <is>
          <t>#84</t>
        </is>
      </c>
      <c r="K112" s="36" t="inlineStr">
        <is>
          <t>TO DEPLOY</t>
        </is>
      </c>
      <c r="L112" s="36" t="inlineStr">
        <is>
          <t>Bug legato al disallineamento dell'anno di stagione (vedi TC-101) che impediva di ritrovare le settimane appena prenotate.</t>
        </is>
      </c>
    </row>
    <row r="113" ht="45" customHeight="1" s="22">
      <c r="A113" s="34" t="inlineStr">
        <is>
          <t>TC-112</t>
        </is>
      </c>
      <c r="B113" s="35" t="inlineStr">
        <is>
          <t>Genitori - Prenotazione</t>
        </is>
      </c>
      <c r="C113" s="35" t="inlineStr">
        <is>
          <t>Condividi prenotazione come immagine + aggiungi al calendario</t>
        </is>
      </c>
      <c r="D113" s="35" t="inlineStr">
        <is>
          <t>Prenotazione completata</t>
        </is>
      </c>
      <c r="E113" s="35" t="inlineStr">
        <is>
          <t>Dalla schermata di successo, usa "Condividi"</t>
        </is>
      </c>
      <c r="F113" s="35" t="inlineStr">
        <is>
          <t>Viene generata un'immagine "cartolina" riepilogativa (canvas) condivisibile tramite le app del telefono, con opzione di download se la condivisione nativa non è disponibile; presente anche "Aggiungi al calendario"</t>
        </is>
      </c>
      <c r="G113" s="35" t="inlineStr">
        <is>
          <t>DA TESTARE</t>
        </is>
      </c>
      <c r="H113" s="35" t="n"/>
      <c r="I113" s="35" t="inlineStr">
        <is>
          <t>Bassa</t>
        </is>
      </c>
      <c r="J113" s="35" t="inlineStr">
        <is>
          <t>#85</t>
        </is>
      </c>
      <c r="K113" s="36" t="inlineStr">
        <is>
          <t>TO DEPLOY</t>
        </is>
      </c>
      <c r="L113" s="36" t="inlineStr">
        <is>
          <t>Prima la condivisione era solo testo semplice — sostituita con un'immagine generata via canvas, più adatta a Instagram Stories/WhatsApp.</t>
        </is>
      </c>
    </row>
    <row r="114" ht="45" customHeight="1" s="22">
      <c r="A114" s="34" t="inlineStr">
        <is>
          <t>TC-113</t>
        </is>
      </c>
      <c r="B114" s="35" t="inlineStr">
        <is>
          <t>Genitori - Profilo</t>
        </is>
      </c>
      <c r="C114" s="35" t="inlineStr">
        <is>
          <t>Upload foto profilo genitore</t>
        </is>
      </c>
      <c r="D114" s="35" t="inlineStr">
        <is>
          <t>Genitore loggato</t>
        </is>
      </c>
      <c r="E114" s="35" t="inlineStr">
        <is>
          <t>In Profilo, clicca l'icona fotocamera sull'avatar e carica un'immagine</t>
        </is>
      </c>
      <c r="F114" s="35" t="inlineStr">
        <is>
          <t>La foto sostituisce le iniziali/gradiente di default ed è visibile subito dopo il caricamento</t>
        </is>
      </c>
      <c r="G114" s="35" t="inlineStr">
        <is>
          <t>DA TESTARE</t>
        </is>
      </c>
      <c r="H114" s="35" t="n"/>
      <c r="I114" s="35" t="inlineStr">
        <is>
          <t>Media</t>
        </is>
      </c>
      <c r="J114" s="35" t="inlineStr">
        <is>
          <t>#93</t>
        </is>
      </c>
      <c r="K114" s="36" t="inlineStr">
        <is>
          <t>TO DEPLOY — richiede lo snippet SQL fornito a parte (colonne avatar_url/cover_image_url/ecc. + bucket Storage) applicato su Supabase prima del test</t>
        </is>
      </c>
      <c r="L114" s="36" t="inlineStr">
        <is>
          <t>Upload tramite Supabase Storage (bucket pubblico "buddykids-images", 5MB max, jpg/png/webp/gif).</t>
        </is>
      </c>
    </row>
    <row r="115" ht="45" customHeight="1" s="22">
      <c r="A115" s="34" t="inlineStr">
        <is>
          <t>TC-114</t>
        </is>
      </c>
      <c r="B115" s="35" t="inlineStr">
        <is>
          <t>Genitori - Profilo</t>
        </is>
      </c>
      <c r="C115" s="35" t="inlineStr">
        <is>
          <t>Upload foto profilo bambino</t>
        </is>
      </c>
      <c r="D115" s="35" t="inlineStr">
        <is>
          <t>Almeno un bambino nel profilo</t>
        </is>
      </c>
      <c r="E115" s="35" t="inlineStr">
        <is>
          <t>In Profilo, sezione Bambini, clicca l'icona fotocamera sull'avatar di un bambino</t>
        </is>
      </c>
      <c r="F115" s="35" t="inlineStr">
        <is>
          <t>La foto sostituisce l'emoji/colore di default per quel bambino, ovunque appaia (Home, Per Bambino, Prenotazione)</t>
        </is>
      </c>
      <c r="G115" s="35" t="inlineStr">
        <is>
          <t>DA TESTARE</t>
        </is>
      </c>
      <c r="H115" s="35" t="n"/>
      <c r="I115" s="35" t="inlineStr">
        <is>
          <t>Bassa</t>
        </is>
      </c>
      <c r="J115" s="35" t="inlineStr">
        <is>
          <t>#93</t>
        </is>
      </c>
      <c r="K115" s="36" t="inlineStr">
        <is>
          <t>TO DEPLOY — stesso prerequisito SQL di TC-113</t>
        </is>
      </c>
      <c r="L115" s="36" t="n"/>
    </row>
    <row r="116" ht="45" customHeight="1" s="22">
      <c r="A116" s="34" t="inlineStr">
        <is>
          <t>TC-115</t>
        </is>
      </c>
      <c r="B116" s="35" t="inlineStr">
        <is>
          <t>Genitori - Attivita</t>
        </is>
      </c>
      <c r="C116" s="35" t="inlineStr">
        <is>
          <t>Galleria foto e copertina personalizzata nel dettaglio attività</t>
        </is>
      </c>
      <c r="D116" s="35" t="inlineStr">
        <is>
          <t>Attività con copertina/galleria caricate dal Gestore (vedi TC-116)</t>
        </is>
      </c>
      <c r="E116" s="35" t="inlineStr">
        <is>
          <t>Apri il dettaglio di un'attività con foto caricate</t>
        </is>
      </c>
      <c r="F116" s="35" t="inlineStr">
        <is>
          <t>L'header mostra la copertina reale (non il gradiente) e sotto ai badge compare una striscia orizzontale scorrevole con le foto della galleria</t>
        </is>
      </c>
      <c r="G116" s="35" t="inlineStr">
        <is>
          <t>DA TESTARE</t>
        </is>
      </c>
      <c r="H116" s="35" t="n"/>
      <c r="I116" s="35" t="inlineStr">
        <is>
          <t>Bassa</t>
        </is>
      </c>
      <c r="J116" s="35" t="inlineStr">
        <is>
          <t>#93</t>
        </is>
      </c>
      <c r="K116" s="36" t="inlineStr">
        <is>
          <t>TO DEPLOY</t>
        </is>
      </c>
      <c r="L116" s="36" t="inlineStr">
        <is>
          <t>Se il Gestore non carica nulla, resta il gradiente colorato di default — nessuna rottura visiva per le attività senza foto. | AGGIORNATO: le foto ora si aprirebbero in un visualizzatore a schermo intero stile carosello (components/ImageLightbox.tsx) invece di restare anteprime statiche — resta escluso dall'automazione in attesa di TC-116 (nessuna foto caricata nell'ambiente di test).</t>
        </is>
      </c>
    </row>
    <row r="117" ht="45" customHeight="1" s="22">
      <c r="A117" s="34" t="inlineStr">
        <is>
          <t>TC-116</t>
        </is>
      </c>
      <c r="B117" s="35" t="inlineStr">
        <is>
          <t>Gestore - Attivita</t>
        </is>
      </c>
      <c r="C117" s="35" t="inlineStr">
        <is>
          <t>Upload copertina + galleria foto di un'attività</t>
        </is>
      </c>
      <c r="D117" s="35" t="inlineStr">
        <is>
          <t>Login Gestore, attività esistente</t>
        </is>
      </c>
      <c r="E117" s="35" t="inlineStr">
        <is>
          <t>Vai su Gestore &gt; Attività &gt; Modifica, sezione "Immagini"</t>
        </is>
      </c>
      <c r="F117" s="35" t="inlineStr">
        <is>
          <t>Si può caricare/cambiare/rimuovere una copertina e aggiungere più foto alla galleria; il salvataggio scrive su Supabase Storage e sulla scheda attività</t>
        </is>
      </c>
      <c r="G117" s="35" t="inlineStr">
        <is>
          <t>DA TESTARE</t>
        </is>
      </c>
      <c r="H117" s="35" t="n"/>
      <c r="I117" s="35" t="inlineStr">
        <is>
          <t>Media</t>
        </is>
      </c>
      <c r="J117" s="35" t="inlineStr">
        <is>
          <t>#93</t>
        </is>
      </c>
      <c r="K117" s="36" t="inlineStr">
        <is>
          <t>TO DEPLOY</t>
        </is>
      </c>
      <c r="L117" s="36" t="inlineStr">
        <is>
          <t>Stesso componente riusato anche per gli altri profili immagine (genitore/bambino/centro/fornitore).</t>
        </is>
      </c>
    </row>
    <row r="118" ht="45" customHeight="1" s="22">
      <c r="A118" s="34" t="inlineStr">
        <is>
          <t>TC-117</t>
        </is>
      </c>
      <c r="B118" s="35" t="inlineStr">
        <is>
          <t>Gestore - Profilo Centro</t>
        </is>
      </c>
      <c r="C118" s="35" t="inlineStr">
        <is>
          <t>Upload logo/foto del centro</t>
        </is>
      </c>
      <c r="D118" s="35" t="inlineStr">
        <is>
          <t>Login Gestore</t>
        </is>
      </c>
      <c r="E118" s="35" t="inlineStr">
        <is>
          <t>Vai su Gestore &gt; Il mio centro, clicca l'icona fotocamera sul cerchio in alto</t>
        </is>
      </c>
      <c r="F118" s="35" t="inlineStr">
        <is>
          <t>Il logo sostituisce l'emoji/gradiente di default; viene salvato al click su "Salva modifiche" insieme al resto del form</t>
        </is>
      </c>
      <c r="G118" s="35" t="inlineStr">
        <is>
          <t>DA TESTARE</t>
        </is>
      </c>
      <c r="H118" s="35" t="n"/>
      <c r="I118" s="35" t="inlineStr">
        <is>
          <t>Bassa</t>
        </is>
      </c>
      <c r="J118" s="35" t="inlineStr">
        <is>
          <t>#93</t>
        </is>
      </c>
      <c r="K118" s="36" t="inlineStr">
        <is>
          <t>TO DEPLOY</t>
        </is>
      </c>
      <c r="L118" s="36" t="n"/>
    </row>
    <row r="119" ht="45" customHeight="1" s="22">
      <c r="A119" s="34" t="inlineStr">
        <is>
          <t>TC-118</t>
        </is>
      </c>
      <c r="B119" s="35" t="inlineStr">
        <is>
          <t>Admin - Gestione</t>
        </is>
      </c>
      <c r="C119" s="35" t="inlineStr">
        <is>
          <t>Upload foto/logo fornitore</t>
        </is>
      </c>
      <c r="D119" s="35" t="inlineStr">
        <is>
          <t>Login Admin piattaforma</t>
        </is>
      </c>
      <c r="E119" s="35" t="inlineStr">
        <is>
          <t>Vai su Admin &gt; Fornitori consigliati, crea/modifica un fornitore e carica una foto</t>
        </is>
      </c>
      <c r="F119" s="35" t="inlineStr">
        <is>
          <t>La foto sostituisce l'emoji sia nella tabella Admin sia nella card mostrata ai Gestori in "Servizi consigliati"</t>
        </is>
      </c>
      <c r="G119" s="35" t="inlineStr">
        <is>
          <t>DA TESTARE</t>
        </is>
      </c>
      <c r="H119" s="35" t="n"/>
      <c r="I119" s="35" t="inlineStr">
        <is>
          <t>Bassa</t>
        </is>
      </c>
      <c r="J119" s="35" t="inlineStr">
        <is>
          <t>#93</t>
        </is>
      </c>
      <c r="K119" s="36" t="inlineStr">
        <is>
          <t>TO DEPLOY</t>
        </is>
      </c>
      <c r="L119" s="36" t="n"/>
    </row>
    <row r="120" ht="45" customHeight="1" s="22">
      <c r="A120" s="34" t="inlineStr">
        <is>
          <t>TC-119</t>
        </is>
      </c>
      <c r="B120" s="35" t="inlineStr">
        <is>
          <t>Gestore - Dashboard</t>
        </is>
      </c>
      <c r="C120" s="35" t="inlineStr">
        <is>
          <t>Nuova navigazione con raggruppamento sezioni e badge richieste in sospeso</t>
        </is>
      </c>
      <c r="D120" s="35" t="inlineStr">
        <is>
          <t>Login Gestore, almeno una Richiesta Gruppo in sospeso</t>
        </is>
      </c>
      <c r="E120" s="35" t="inlineStr">
        <is>
          <t>Apri /center, osserva il menu laterale</t>
        </is>
      </c>
      <c r="F120" s="35" t="inlineStr">
        <is>
          <t>Le voci di menu sono raggruppate sotto intestazioni ("Oggi"/"Gestione"); la voce "Richieste Gruppo" mostra un badge rosso col numero di richieste in sospeso</t>
        </is>
      </c>
      <c r="G120" s="35" t="inlineStr">
        <is>
          <t>BUG</t>
        </is>
      </c>
      <c r="H120" s="35" t="n"/>
      <c r="I120" s="35" t="inlineStr">
        <is>
          <t>Media</t>
        </is>
      </c>
      <c r="J120" s="35" t="inlineStr">
        <is>
          <t>#92</t>
        </is>
      </c>
      <c r="K120" s="36" t="inlineStr">
        <is>
          <t>TO DEPLOY (redesign approvato — versione 6a — implementato in questa sessione) | RISOLTO</t>
        </is>
      </c>
      <c r="L120" s="36" t="inlineStr">
        <is>
          <t>Da verificare sia su desktop (sidebar) sia su mobile (barra pillole). | BUG DI TEST TROVATO+CORRETTO (run reale, solo mobile-chrome): le intestazioni sezione 'Oggi'/'Gestione' esistono solo nella sidebar desktop (DashboardLayout.tsx: hidden md:flex) — su mobile c'e' solo la pillola di nav senza intestazioni, per design. Il test forza ora un viewport desktop (1280x800).</t>
        </is>
      </c>
    </row>
    <row r="121" ht="45" customHeight="1" s="22">
      <c r="A121" s="34" t="inlineStr">
        <is>
          <t>TC-120</t>
        </is>
      </c>
      <c r="B121" s="35" t="inlineStr">
        <is>
          <t>Gestore - Dashboard</t>
        </is>
      </c>
      <c r="C121" s="35" t="inlineStr">
        <is>
          <t>Banner settimane scariche / richieste gruppo in sospeso</t>
        </is>
      </c>
      <c r="D121" s="35" t="inlineStr">
        <is>
          <t>Centro con almeno una settimana con occupazione bassa, o una Richiesta Gruppo in sospeso</t>
        </is>
      </c>
      <c r="E121" s="35" t="inlineStr">
        <is>
          <t>Apri /center</t>
        </is>
      </c>
      <c r="F121" s="35" t="inlineStr">
        <is>
          <t>In cima alla dashboard compaiono banner dedicati per le settimane scariche e per le richieste in sospeso, prima delle metriche KPI</t>
        </is>
      </c>
      <c r="G121" s="35" t="inlineStr">
        <is>
          <t>BUG</t>
        </is>
      </c>
      <c r="H121" s="35" t="n"/>
      <c r="I121" s="35" t="inlineStr">
        <is>
          <t>Media</t>
        </is>
      </c>
      <c r="J121" s="35" t="inlineStr">
        <is>
          <t>#92</t>
        </is>
      </c>
      <c r="K121" s="36" t="inlineStr">
        <is>
          <t>TO DEPLOY | RISOLTO</t>
        </is>
      </c>
      <c r="L121" s="36" t="inlineStr">
        <is>
          <t>BUG DI TEST TROVATO+CORRETTO (run reale): stessa causa di TC-072 (locator 'Attivita' ambiguo, 4 match) — risolto con lo stesso helper kpiAttivita() scoping alla griglia KPI.</t>
        </is>
      </c>
    </row>
    <row r="122" ht="45" customHeight="1" s="22">
      <c r="A122" s="34" t="inlineStr">
        <is>
          <t>TC-121</t>
        </is>
      </c>
      <c r="B122" s="35" t="inlineStr">
        <is>
          <t>Gestore - Dashboard</t>
        </is>
      </c>
      <c r="C122" s="35" t="inlineStr">
        <is>
          <t>Feed attività unificato "Attività recente"</t>
        </is>
      </c>
      <c r="D122" s="35" t="inlineStr">
        <is>
          <t>Login Gestore</t>
        </is>
      </c>
      <c r="E122" s="35" t="inlineStr">
        <is>
          <t>Apri /center, osserva la colonna destra</t>
        </is>
      </c>
      <c r="F122" s="35" t="inlineStr">
        <is>
          <t>Al posto della vecchia lista "Le tue attività" compare un feed cronologico che unisce settimane scariche, richieste gruppo, prenotazioni e promozioni</t>
        </is>
      </c>
      <c r="G122" s="35" t="inlineStr">
        <is>
          <t>DA TESTARE</t>
        </is>
      </c>
      <c r="H122" s="35" t="n"/>
      <c r="I122" s="35" t="inlineStr">
        <is>
          <t>Bassa</t>
        </is>
      </c>
      <c r="J122" s="35" t="inlineStr">
        <is>
          <t>#92</t>
        </is>
      </c>
      <c r="K122" s="36" t="inlineStr">
        <is>
          <t>TO DEPLOY</t>
        </is>
      </c>
      <c r="L122" s="36" t="inlineStr">
        <is>
          <t>Alcuni timestamp nel feed sono sintetici/illustrativi (commentato nel codice) dove il modello dati non ha ancora un timestamp reale per quell'evento — da tenere presente se si nota qualche data "strana".</t>
        </is>
      </c>
    </row>
    <row r="123">
      <c r="A123" s="34" t="inlineStr">
        <is>
          <t>TC-122</t>
        </is>
      </c>
      <c r="B123" s="35" t="inlineStr">
        <is>
          <t>Gestore - Inviti</t>
        </is>
      </c>
      <c r="C123" s="35" t="inlineStr">
        <is>
          <t>Creazione invito singolo con contatto email</t>
        </is>
      </c>
      <c r="D123" s="35" t="inlineStr">
        <is>
          <t>Login Gestore centro</t>
        </is>
      </c>
      <c r="E123" s="35" t="inlineStr">
        <is>
          <t>Apri 'Inviti', compila nome/email contatto, imposta sconto % e scadenza, invia</t>
        </is>
      </c>
      <c r="F123" s="35" t="inlineStr">
        <is>
          <t>L'invito viene creato con un codice univoco; se è configurato l'invio email (Resend), parte automaticamente un'email con link+codice, altrimenti viene mostrato il link da copiare</t>
        </is>
      </c>
      <c r="G123" s="35" t="inlineStr">
        <is>
          <t>DA TESTARE</t>
        </is>
      </c>
      <c r="H123" s="35" t="n"/>
      <c r="I123" s="35" t="inlineStr">
        <is>
          <t>Media</t>
        </is>
      </c>
      <c r="J123" s="35" t="n"/>
      <c r="K123" s="36" t="n"/>
      <c r="L123" s="36" t="n"/>
    </row>
    <row r="124">
      <c r="A124" s="34" t="inlineStr">
        <is>
          <t>TC-123</t>
        </is>
      </c>
      <c r="B124" s="35" t="inlineStr">
        <is>
          <t>Gestore - Inviti</t>
        </is>
      </c>
      <c r="C124" s="35" t="inlineStr">
        <is>
          <t>Caricamento contatti da file per invio multiplo</t>
        </is>
      </c>
      <c r="D124" s="35" t="inlineStr">
        <is>
          <t>Login Gestore centro, file CSV/TXT con nome,email,telefono per riga</t>
        </is>
      </c>
      <c r="E124" s="35" t="inlineStr">
        <is>
          <t>In 'Inviti', usa 'Carica file', seleziona il CSV, conferma</t>
        </is>
      </c>
      <c r="F124" s="35" t="inlineStr">
        <is>
          <t>Un invito viene creato per ciascun contatto valido nel file, con lo stesso sconto/scadenza impostati; i contatti senza email valida restano generabili solo come link (nessuna email inviata)</t>
        </is>
      </c>
      <c r="G124" s="35" t="inlineStr">
        <is>
          <t>DA TESTARE</t>
        </is>
      </c>
      <c r="H124" s="35" t="n"/>
      <c r="I124" s="35" t="inlineStr">
        <is>
          <t>Media</t>
        </is>
      </c>
      <c r="J124" s="35" t="n"/>
      <c r="K124" s="36" t="n"/>
      <c r="L124" s="36" t="n"/>
    </row>
    <row r="125">
      <c r="A125" s="34" t="inlineStr">
        <is>
          <t>TC-124</t>
        </is>
      </c>
      <c r="B125" s="35" t="inlineStr">
        <is>
          <t>Gestore - Inviti</t>
        </is>
      </c>
      <c r="C125" s="35" t="inlineStr">
        <is>
          <t>Invio email automatico vs fallback 'copia link'</t>
        </is>
      </c>
      <c r="D125" s="35" t="inlineStr">
        <is>
          <t>Un invito appena creato con contatto email</t>
        </is>
      </c>
      <c r="E125" s="35" t="inlineStr">
        <is>
          <t>Osserva lo stato dell'invito subito dopo la creazione</t>
        </is>
      </c>
      <c r="F125" s="35" t="inlineStr">
        <is>
          <t>Se RESEND_API_KEY è configurato, lo stato passa a 'Inviato' e email_sent_at è valorizzato; se non configurato, l'invito resta 'In attesa' e l'interfaccia permette comunque di copiare il link per condividerlo manualmente</t>
        </is>
      </c>
      <c r="G125" s="35" t="inlineStr">
        <is>
          <t>DA TESTARE</t>
        </is>
      </c>
      <c r="H125" s="35" t="n"/>
      <c r="I125" s="35" t="inlineStr">
        <is>
          <t>Bassa</t>
        </is>
      </c>
      <c r="J125" s="35" t="n"/>
      <c r="K125" s="36" t="n"/>
      <c r="L125" s="36" t="n"/>
    </row>
    <row r="126">
      <c r="A126" s="34" t="inlineStr">
        <is>
          <t>TC-125</t>
        </is>
      </c>
      <c r="B126" s="35" t="inlineStr">
        <is>
          <t>Gestore - Inviti</t>
        </is>
      </c>
      <c r="C126" s="35" t="inlineStr">
        <is>
          <t>Lista inviti mostra lo stato corretto per ciascuno</t>
        </is>
      </c>
      <c r="D126" s="35" t="inlineStr">
        <is>
          <t>Almeno un invito per stato (in attesa/inviato/registrato/riscattato/scaduto)</t>
        </is>
      </c>
      <c r="E126" s="35" t="inlineStr">
        <is>
          <t>Apri 'Inviti' e osserva la tabella</t>
        </is>
      </c>
      <c r="F126" s="35" t="inlineStr">
        <is>
          <t>Ogni riga mostra il badge di stato coerente col database (In attesa/Inviato/Registrato/Riscattato/Scaduto), quest'ultimo calcolato automaticamente dalla data di scadenza senza bisogno di un job pianificato</t>
        </is>
      </c>
      <c r="G126" s="35" t="inlineStr">
        <is>
          <t>DA TESTARE</t>
        </is>
      </c>
      <c r="H126" s="35" t="n"/>
      <c r="I126" s="35" t="inlineStr">
        <is>
          <t>Media</t>
        </is>
      </c>
      <c r="J126" s="35" t="n"/>
      <c r="K126" s="36" t="n"/>
      <c r="L126" s="36" t="n"/>
    </row>
    <row r="127">
      <c r="A127" s="34" t="inlineStr">
        <is>
          <t>TC-126</t>
        </is>
      </c>
      <c r="B127" s="35" t="inlineStr">
        <is>
          <t>Gestore - Inviti</t>
        </is>
      </c>
      <c r="C127" s="35" t="inlineStr">
        <is>
          <t>Disattivazione/riattivazione manuale di un invito</t>
        </is>
      </c>
      <c r="D127" s="35" t="inlineStr">
        <is>
          <t>Un invito attivo, non ancora scaduto</t>
        </is>
      </c>
      <c r="E127" s="35" t="inlineStr">
        <is>
          <t>Clicca 'Disattiva' sull'invito; poi 'Riattiva'</t>
        </is>
      </c>
      <c r="F127" s="35" t="inlineStr">
        <is>
          <t>L'invito disattivato non è più utilizzabile in fase di registrazione/sconto anche se il codice è corretto; riattivandolo torna utilizzabile (se non scaduto)</t>
        </is>
      </c>
      <c r="G127" s="35" t="inlineStr">
        <is>
          <t>DA TESTARE</t>
        </is>
      </c>
      <c r="H127" s="35" t="n"/>
      <c r="I127" s="35" t="inlineStr">
        <is>
          <t>Bassa</t>
        </is>
      </c>
      <c r="J127" s="35" t="n"/>
      <c r="K127" s="36" t="n"/>
      <c r="L127" s="36" t="n"/>
    </row>
    <row r="128">
      <c r="A128" s="34" t="inlineStr">
        <is>
          <t>TC-127</t>
        </is>
      </c>
      <c r="B128" s="35" t="inlineStr">
        <is>
          <t>Genitori - Registrazione</t>
        </is>
      </c>
      <c r="C128" s="35" t="inlineStr">
        <is>
          <t>Link con codice invito precompila il campo e mostra l'anteprima</t>
        </is>
      </c>
      <c r="D128" s="35" t="inlineStr">
        <is>
          <t>Un invito attivo e non scaduto</t>
        </is>
      </c>
      <c r="E128" s="35" t="inlineStr">
        <is>
          <t>Apri il link di registrazione ricevuto (con ?invite=CODICE)</t>
        </is>
      </c>
      <c r="F128" s="35" t="inlineStr">
        <is>
          <t>Il form di registrazione si apre già in modalità 'Crea account' col codice invito precompilato; viene mostrata un'anteprima con nome del centro e percentuale di sconto prima di completare la registrazione</t>
        </is>
      </c>
      <c r="G128" s="35" t="inlineStr">
        <is>
          <t>DA TESTARE</t>
        </is>
      </c>
      <c r="H128" s="35" t="n"/>
      <c r="I128" s="35" t="inlineStr">
        <is>
          <t>Media</t>
        </is>
      </c>
      <c r="J128" s="35" t="n"/>
      <c r="K128" s="36" t="n"/>
      <c r="L128" s="36" t="n"/>
    </row>
    <row r="129">
      <c r="A129" s="34" t="inlineStr">
        <is>
          <t>TC-128</t>
        </is>
      </c>
      <c r="B129" s="35" t="inlineStr">
        <is>
          <t>Genitori - Registrazione</t>
        </is>
      </c>
      <c r="C129" s="35" t="inlineStr">
        <is>
          <t>Registrazione con codice invito collega automaticamente l'invito al nuovo profilo</t>
        </is>
      </c>
      <c r="D129" s="35" t="inlineStr">
        <is>
          <t>Un invito attivo e non scaduto, codice valido</t>
        </is>
      </c>
      <c r="E129" s="35" t="inlineStr">
        <is>
          <t>Completa la registrazione inserendo il codice invito (manualmente o da link)</t>
        </is>
      </c>
      <c r="F129" s="35" t="inlineStr">
        <is>
          <t>Il nuovo profilo genitore viene creato con invited_by_code valorizzato; l'invito corrispondente passa a stato 'Registrato' con registered_parent_id collegato al nuovo utente, visibile subito nella lista Inviti del Gestore</t>
        </is>
      </c>
      <c r="G129" s="35" t="inlineStr">
        <is>
          <t>DA TESTARE</t>
        </is>
      </c>
      <c r="H129" s="35" t="n"/>
      <c r="I129" s="35" t="inlineStr">
        <is>
          <t>Alta</t>
        </is>
      </c>
      <c r="J129" s="35" t="n"/>
      <c r="K129" s="36" t="n"/>
      <c r="L129" s="36" t="n"/>
    </row>
    <row r="130">
      <c r="A130" s="34" t="inlineStr">
        <is>
          <t>TC-129</t>
        </is>
      </c>
      <c r="B130" s="35" t="inlineStr">
        <is>
          <t>Genitori - Prenotazione</t>
        </is>
      </c>
      <c r="C130" s="35" t="inlineStr">
        <is>
          <t>Sconto invito applicato una tantum alla prima prenotazione idonea</t>
        </is>
      </c>
      <c r="D130" s="35" t="inlineStr">
        <is>
          <t>Genitore registrato tramite invito, con sconto non ancora utilizzato</t>
        </is>
      </c>
      <c r="E130" s="35" t="inlineStr">
        <is>
          <t>Prenota un'attività fino al riepilogo prezzo</t>
        </is>
      </c>
      <c r="F130" s="35" t="inlineStr">
        <is>
          <t>Il riepilogo mostra una riga 'Sconto invito 🎁' calcolata sulla percentuale dell'invito; a prenotazione confermata, discount_applied_at viene valorizzato (sconto consumato)</t>
        </is>
      </c>
      <c r="G130" s="35" t="inlineStr">
        <is>
          <t>DA TESTARE</t>
        </is>
      </c>
      <c r="H130" s="35" t="n"/>
      <c r="I130" s="35" t="inlineStr">
        <is>
          <t>Alta</t>
        </is>
      </c>
      <c r="J130" s="35" t="n"/>
      <c r="K130" s="36" t="n"/>
      <c r="L130" s="36" t="n"/>
    </row>
    <row r="131">
      <c r="A131" s="34" t="inlineStr">
        <is>
          <t>TC-130</t>
        </is>
      </c>
      <c r="B131" s="35" t="inlineStr">
        <is>
          <t>Genitori - Prenotazione</t>
        </is>
      </c>
      <c r="C131" s="35" t="inlineStr">
        <is>
          <t>Sconto invito non riapplicabile a una seconda prenotazione</t>
        </is>
      </c>
      <c r="D131" s="35" t="inlineStr">
        <is>
          <t>Genitore che ha già usato lo sconto invito su una prenotazione precedente</t>
        </is>
      </c>
      <c r="E131" s="35" t="inlineStr">
        <is>
          <t>Effettua una seconda prenotazione</t>
        </is>
      </c>
      <c r="F131" s="35" t="inlineStr">
        <is>
          <t>Il riepilogo NON mostra più la riga 'Sconto invito' (discount_applied_at già valorizzato) — lo sconto è una tantum, non riutilizzabile su prenotazioni successive</t>
        </is>
      </c>
      <c r="G131" s="35" t="inlineStr">
        <is>
          <t>DA TESTARE</t>
        </is>
      </c>
      <c r="H131" s="35" t="n"/>
      <c r="I131" s="35" t="inlineStr">
        <is>
          <t>Media</t>
        </is>
      </c>
      <c r="J131" s="35" t="n"/>
      <c r="K131" s="36" t="n"/>
      <c r="L131" s="36" t="n"/>
    </row>
    <row r="132">
      <c r="A132" s="34" t="inlineStr">
        <is>
          <t>TC-131</t>
        </is>
      </c>
      <c r="B132" s="35" t="inlineStr">
        <is>
          <t>Gestore - Inviti</t>
        </is>
      </c>
      <c r="C132" s="35" t="inlineStr">
        <is>
          <t>Invito scaduto non più utilizzabile</t>
        </is>
      </c>
      <c r="D132" s="35" t="inlineStr">
        <is>
          <t>Un invito con promo_expires_at nel passato</t>
        </is>
      </c>
      <c r="E132" s="35" t="inlineStr">
        <is>
          <t>Apri 'Inviti' e osserva lo stato; prova ad aprire il link di registrazione con quel codice</t>
        </is>
      </c>
      <c r="F132" s="35" t="inlineStr">
        <is>
          <t>L'invito mostra stato 'Scaduto' nella lista Gestore; l'anteprima in registrazione segnala il codice come non più valido e non applica alcuno sconto se comunque si completa la registrazione</t>
        </is>
      </c>
      <c r="G132" s="35" t="inlineStr">
        <is>
          <t>DA TESTARE</t>
        </is>
      </c>
      <c r="H132" s="35" t="n"/>
      <c r="I132" s="35" t="inlineStr">
        <is>
          <t>Bassa</t>
        </is>
      </c>
      <c r="J132" s="35" t="n"/>
      <c r="K132" s="36" t="n"/>
      <c r="L132" s="36" t="n"/>
    </row>
    <row r="133">
      <c r="A133" s="34" t="inlineStr">
        <is>
          <t>TC-132</t>
        </is>
      </c>
      <c r="B133" s="35" t="inlineStr">
        <is>
          <t>Genitori - Profilo</t>
        </is>
      </c>
      <c r="C133" s="35" t="inlineStr">
        <is>
          <t>Dati personali estesi (telefono, data di nascita, genere) salvati e mostrati</t>
        </is>
      </c>
      <c r="D133" s="35" t="inlineStr">
        <is>
          <t>Login genitore</t>
        </is>
      </c>
      <c r="E133" s="35" t="inlineStr">
        <is>
          <t>In Profilo, click 'Modifica', compila telefono/data di nascita/genere, salva</t>
        </is>
      </c>
      <c r="F133" s="35" t="inlineStr">
        <is>
          <t>I valori inseriti vengono salvati su Supabase e ripresentati precompilati alla riapertura del form</t>
        </is>
      </c>
      <c r="G133" s="35" t="inlineStr">
        <is>
          <t>DA TESTARE</t>
        </is>
      </c>
      <c r="H133" s="35" t="n"/>
      <c r="I133" s="35" t="inlineStr">
        <is>
          <t>Alta</t>
        </is>
      </c>
      <c r="J133" s="35" t="n"/>
      <c r="K133" s="36" t="n"/>
      <c r="L133" s="36" t="n"/>
    </row>
    <row r="134">
      <c r="A134" s="34" t="inlineStr">
        <is>
          <t>TC-133</t>
        </is>
      </c>
      <c r="B134" s="35" t="inlineStr">
        <is>
          <t>Genitori - Profilo</t>
        </is>
      </c>
      <c r="C134" s="35" t="inlineStr">
        <is>
          <t>Cambio password dalla sezione Sicurezza</t>
        </is>
      </c>
      <c r="D134" s="35" t="inlineStr">
        <is>
          <t>Login genitore</t>
        </is>
      </c>
      <c r="E134" s="35" t="inlineStr">
        <is>
          <t>In Profilo &gt; Sicurezza, inserisci una nuova password (min 8 caratteri) e conferma, salva</t>
        </is>
      </c>
      <c r="F134" s="35" t="inlineStr">
        <is>
          <t>La password viene aggiornata (supabase.auth.updateUser); il login successivo funziona con la nuova password</t>
        </is>
      </c>
      <c r="G134" s="35" t="inlineStr">
        <is>
          <t>DA TESTARE</t>
        </is>
      </c>
      <c r="H134" s="35" t="n"/>
      <c r="I134" s="35" t="inlineStr">
        <is>
          <t>Alta</t>
        </is>
      </c>
      <c r="J134" s="35" t="n"/>
      <c r="K134" s="36" t="n"/>
      <c r="L134" s="36" t="inlineStr">
        <is>
          <t>AGGIORNATO: 'Sicurezza' e' ora una sotto-pagina dedicata (/profile/sicurezza o /center/account/sicurezza), non piu' una sezione inline sulla stessa pagina profilo — vedi TC-148/TC-138 per la navigazione del menu 'Impostazioni'.</t>
        </is>
      </c>
    </row>
    <row r="135">
      <c r="A135" s="34" t="inlineStr">
        <is>
          <t>TC-134</t>
        </is>
      </c>
      <c r="B135" s="35" t="inlineStr">
        <is>
          <t>Genitori - Profilo</t>
        </is>
      </c>
      <c r="C135" s="35" t="inlineStr">
        <is>
          <t>Preferenze (lingua/tema/notifiche) persistono</t>
        </is>
      </c>
      <c r="D135" s="35" t="inlineStr">
        <is>
          <t>Login genitore</t>
        </is>
      </c>
      <c r="E135" s="35" t="inlineStr">
        <is>
          <t>In Profilo &gt; Preferenze, cambia lingua/tema e disattiva una notifica</t>
        </is>
      </c>
      <c r="F135" s="35" t="inlineStr">
        <is>
          <t>Le scelte vengono salvate subito (senza pulsante Salva) e restano dopo un reload della pagina</t>
        </is>
      </c>
      <c r="G135" s="35" t="inlineStr">
        <is>
          <t>DA TESTARE</t>
        </is>
      </c>
      <c r="H135" s="35" t="n"/>
      <c r="I135" s="35" t="inlineStr">
        <is>
          <t>Media</t>
        </is>
      </c>
      <c r="J135" s="35" t="n"/>
      <c r="K135" s="36" t="n"/>
      <c r="L135" s="36" t="inlineStr">
        <is>
          <t>AGGIORNATO: split in due sotto-pagine distinte — 'Preferenze' (lingua/tema, /profile/preferenze) e 'Notifiche' (email/push/SMS, /profile/notifiche, vedi nuovo TC-147) — prima erano sulla stessa pagina.</t>
        </is>
      </c>
    </row>
    <row r="136">
      <c r="A136" s="34" t="inlineStr">
        <is>
          <t>TC-135</t>
        </is>
      </c>
      <c r="B136" s="35" t="inlineStr">
        <is>
          <t>Genitori - Profilo</t>
        </is>
      </c>
      <c r="C136" s="35" t="inlineStr">
        <is>
          <t>Consenso marketing attivabile/disattivabile</t>
        </is>
      </c>
      <c r="D136" s="35" t="inlineStr">
        <is>
          <t>Login genitore</t>
        </is>
      </c>
      <c r="E136" s="35" t="inlineStr">
        <is>
          <t>In Profilo &gt; Privacy e account, attiva/disattiva il consenso marketing</t>
        </is>
      </c>
      <c r="F136" s="35" t="inlineStr">
        <is>
          <t>Il valore viene salvato su profiles.marketing_consent e resta dopo reload</t>
        </is>
      </c>
      <c r="G136" s="35" t="inlineStr">
        <is>
          <t>DA TESTARE</t>
        </is>
      </c>
      <c r="H136" s="35" t="n"/>
      <c r="I136" s="35" t="inlineStr">
        <is>
          <t>Bassa</t>
        </is>
      </c>
      <c r="J136" s="35" t="n"/>
      <c r="K136" s="36" t="n"/>
      <c r="L136" s="36" t="inlineStr">
        <is>
          <t>AGGIORNATO: 'Privacy e account' e' ora una sotto-pagina dedicata (/profile/privacy o /center/account/privacy).</t>
        </is>
      </c>
    </row>
    <row r="137">
      <c r="A137" s="34" t="inlineStr">
        <is>
          <t>TC-136</t>
        </is>
      </c>
      <c r="B137" s="35" t="inlineStr">
        <is>
          <t>Genitori - Profilo</t>
        </is>
      </c>
      <c r="C137" s="35" t="inlineStr">
        <is>
          <t>Disattivazione temporanea dell'account</t>
        </is>
      </c>
      <c r="D137" s="35" t="inlineStr">
        <is>
          <t>Login genitore</t>
        </is>
      </c>
      <c r="E137" s="35" t="inlineStr">
        <is>
          <t>In Profilo &gt; Privacy e account, click 'Disattiva account temporaneamente' e conferma</t>
        </is>
      </c>
      <c r="F137" s="35" t="inlineStr">
        <is>
          <t>account_status passa a 'deactivated', l'utente viene disconnesso</t>
        </is>
      </c>
      <c r="G137" s="35" t="inlineStr">
        <is>
          <t>DA TESTARE</t>
        </is>
      </c>
      <c r="H137" s="35" t="n"/>
      <c r="I137" s="35" t="inlineStr">
        <is>
          <t>Media</t>
        </is>
      </c>
      <c r="J137" s="35" t="n"/>
      <c r="K137" s="36" t="n"/>
      <c r="L137" s="36" t="inlineStr">
        <is>
          <t>AGGIORNATO: vedi nota TC-135 — stessa sotto-pagina /profile/privacy.</t>
        </is>
      </c>
    </row>
    <row r="138">
      <c r="A138" s="34" t="inlineStr">
        <is>
          <t>TC-137</t>
        </is>
      </c>
      <c r="B138" s="35" t="inlineStr">
        <is>
          <t>Genitori - Profilo</t>
        </is>
      </c>
      <c r="C138" s="35" t="inlineStr">
        <is>
          <t>Richiesta di cancellazione account (diritto all'oblio)</t>
        </is>
      </c>
      <c r="D138" s="35" t="inlineStr">
        <is>
          <t>Login genitore</t>
        </is>
      </c>
      <c r="E138" s="35" t="inlineStr">
        <is>
          <t>In Profilo &gt; Privacy e account, click 'Richiedi cancellazione account' e conferma</t>
        </is>
      </c>
      <c r="F138" s="35" t="inlineStr">
        <is>
          <t>account_status passa a 'deletion_requested' con timestamp; la richiesta va evasa manualmente da un platform_admin (nessuna cancellazione automatica lato client)</t>
        </is>
      </c>
      <c r="G138" s="35" t="inlineStr">
        <is>
          <t>DA TESTARE</t>
        </is>
      </c>
      <c r="H138" s="35" t="n"/>
      <c r="I138" s="35" t="inlineStr">
        <is>
          <t>Media</t>
        </is>
      </c>
      <c r="J138" s="35" t="n"/>
      <c r="K138" s="36" t="n"/>
      <c r="L138" s="36" t="inlineStr">
        <is>
          <t>AGGIORNATO: vedi nota TC-135 — stessa sotto-pagina /profile/privacy.</t>
        </is>
      </c>
    </row>
    <row r="139">
      <c r="A139" s="34" t="inlineStr">
        <is>
          <t>TC-138</t>
        </is>
      </c>
      <c r="B139" s="35" t="inlineStr">
        <is>
          <t>Gestore - Il mio account</t>
        </is>
      </c>
      <c r="C139" s="35" t="inlineStr">
        <is>
          <t>Pagina profilo personale distinta dal profilo del centro</t>
        </is>
      </c>
      <c r="D139" s="35" t="inlineStr">
        <is>
          <t>Login gestore</t>
        </is>
      </c>
      <c r="E139" s="35" t="inlineStr">
        <is>
          <t>Apri '/center/account' dal menu 'Il mio account'</t>
        </is>
      </c>
      <c r="F139" s="35" t="inlineStr">
        <is>
          <t>Mostra dati personali/sicurezza/preferenze/privacy del gestore (non i dati del centro, che restano su 'Il mio centro' /center/profile)</t>
        </is>
      </c>
      <c r="G139" s="35" t="inlineStr">
        <is>
          <t>DA TESTARE</t>
        </is>
      </c>
      <c r="H139" s="35" t="n"/>
      <c r="I139" s="35" t="inlineStr">
        <is>
          <t>Alta</t>
        </is>
      </c>
      <c r="J139" s="35" t="n"/>
      <c r="K139" s="36" t="n"/>
      <c r="L139" s="36" t="inlineStr">
        <is>
          <t>AGGIORNATO: il menu 'Impostazioni' su /center/account ora apre sotto-pagine dedicate (stessa struttura del profilo genitore, vedi TC-148); rimossa dal test l'assenza inline di #security-new-password, sostituita da un click-through verso /center/account/sicurezza.</t>
        </is>
      </c>
    </row>
    <row r="140">
      <c r="A140" s="34" t="inlineStr">
        <is>
          <t>TC-139</t>
        </is>
      </c>
      <c r="B140" s="35" t="inlineStr">
        <is>
          <t>Gestore - Registro presenze</t>
        </is>
      </c>
      <c r="C140" s="35" t="inlineStr">
        <is>
          <t>Elenco partecipanti raggruppato per attività e settimana</t>
        </is>
      </c>
      <c r="D140" s="35" t="inlineStr">
        <is>
          <t>Login gestore, almeno una prenotazione reale sulla propria attività</t>
        </is>
      </c>
      <c r="E140" s="35" t="inlineStr">
        <is>
          <t>Apri '/center/attendance'</t>
        </is>
      </c>
      <c r="F140" s="35" t="inlineStr">
        <is>
          <t>I bambini iscritti compaiono divisi per attività+settimana, con nome bambino, nome/contatto genitore ed eventuale badge Gruppo</t>
        </is>
      </c>
      <c r="G140" s="35" t="inlineStr">
        <is>
          <t>DA TESTARE</t>
        </is>
      </c>
      <c r="H140" s="35" t="n"/>
      <c r="I140" s="35" t="inlineStr">
        <is>
          <t>Alta</t>
        </is>
      </c>
      <c r="J140" s="35" t="n"/>
      <c r="K140" s="36" t="n"/>
      <c r="L140" s="36" t="n"/>
    </row>
    <row r="141">
      <c r="A141" s="34" t="inlineStr">
        <is>
          <t>TC-140</t>
        </is>
      </c>
      <c r="B141" s="35" t="inlineStr">
        <is>
          <t>Gestore - Registro presenze</t>
        </is>
      </c>
      <c r="C141" s="35" t="inlineStr">
        <is>
          <t>Segnare presente/assente per un giorno specifico persiste</t>
        </is>
      </c>
      <c r="D141" s="35" t="inlineStr">
        <is>
          <t>Partecipante presente in una settimana</t>
        </is>
      </c>
      <c r="E141" s="35" t="inlineStr">
        <is>
          <t>In Registro presenze, seleziona un giorno e clicca il bottone stato di un bambino</t>
        </is>
      </c>
      <c r="F141" s="35" t="inlineStr">
        <is>
          <t>Lo stato passa a Presente/Assente ed è salvato su attendance_records (persiste dopo reload)</t>
        </is>
      </c>
      <c r="G141" s="35" t="inlineStr">
        <is>
          <t>DA TESTARE</t>
        </is>
      </c>
      <c r="H141" s="35" t="n"/>
      <c r="I141" s="35" t="inlineStr">
        <is>
          <t>Alta</t>
        </is>
      </c>
      <c r="J141" s="35" t="n"/>
      <c r="K141" s="36" t="n"/>
      <c r="L141" s="36" t="inlineStr">
        <is>
          <t>Riga bambino aggiornata a gruppo di 3 bottoni (Presente/In ritardo/Assente) per il check-in MVP — vedi TC-151/152.</t>
        </is>
      </c>
    </row>
    <row r="142">
      <c r="A142" s="34" t="inlineStr">
        <is>
          <t>TC-141</t>
        </is>
      </c>
      <c r="B142" s="35" t="inlineStr">
        <is>
          <t>Genitori - Home</t>
        </is>
      </c>
      <c r="C142" s="35" t="inlineStr">
        <is>
          <t>Il badge avatar in Home porta al profilo</t>
        </is>
      </c>
      <c r="D142" s="35" t="inlineStr">
        <is>
          <t>Login genitore</t>
        </is>
      </c>
      <c r="E142" s="35" t="inlineStr">
        <is>
          <t>Clicca il badge con le iniziali/foto in alto a destra della Home</t>
        </is>
      </c>
      <c r="F142" s="35" t="inlineStr">
        <is>
          <t>Naviga a /profile — prima era un elemento inerte, senza alcuna azione</t>
        </is>
      </c>
      <c r="G142" s="35" t="inlineStr">
        <is>
          <t>DA TESTARE</t>
        </is>
      </c>
      <c r="H142" s="35" t="n"/>
      <c r="I142" s="35" t="inlineStr">
        <is>
          <t>Alta</t>
        </is>
      </c>
      <c r="J142" s="35" t="n"/>
      <c r="K142" s="36" t="n"/>
      <c r="L142" s="36" t="n"/>
    </row>
    <row r="143">
      <c r="A143" s="34" t="inlineStr">
        <is>
          <t>TC-142</t>
        </is>
      </c>
      <c r="B143" s="35" t="inlineStr">
        <is>
          <t>Genitori - Home</t>
        </is>
      </c>
      <c r="C143" s="35" t="inlineStr">
        <is>
          <t>Il pallino sul badge avatar riflette il profilo incompleto</t>
        </is>
      </c>
      <c r="D143" s="35" t="inlineStr">
        <is>
          <t>Login genitore</t>
        </is>
      </c>
      <c r="E143" s="35" t="inlineStr">
        <is>
          <t>Osserva il badge avatar in Home a seconda che il profilo sia completo o meno</t>
        </is>
      </c>
      <c r="F143" s="35" t="inlineStr">
        <is>
          <t>Il pallino rosso compare SOLO se il profilo è incompleto (stessa logica di isParentProfileIncomplete) — prima era sempre presente, puramente decorativo</t>
        </is>
      </c>
      <c r="G143" s="35" t="inlineStr">
        <is>
          <t>DA TESTARE</t>
        </is>
      </c>
      <c r="H143" s="35" t="n"/>
      <c r="I143" s="35" t="inlineStr">
        <is>
          <t>Media</t>
        </is>
      </c>
      <c r="J143" s="35" t="n"/>
      <c r="K143" s="36" t="n"/>
      <c r="L143" s="36" t="n"/>
    </row>
    <row r="144">
      <c r="A144" s="34" t="inlineStr">
        <is>
          <t>TC-143</t>
        </is>
      </c>
      <c r="B144" s="35" t="inlineStr">
        <is>
          <t>Genitori - Home</t>
        </is>
      </c>
      <c r="C144" s="35" t="inlineStr">
        <is>
          <t>Gli avatar bambino in 'Per bambino' mostrano la foto reale</t>
        </is>
      </c>
      <c r="D144" s="35" t="inlineStr">
        <is>
          <t>Bambino con avatar_url impostato</t>
        </is>
      </c>
      <c r="E144" s="35" t="inlineStr">
        <is>
          <t>Apri Home &gt; Per bambino, osserva l'avatar del bambino</t>
        </is>
      </c>
      <c r="F144" s="35" t="inlineStr">
        <is>
          <t>Mostra la foto caricata, non solo emoji+colore; l'anello di selezione non la taglia</t>
        </is>
      </c>
      <c r="G144" s="35" t="inlineStr">
        <is>
          <t>DA TESTARE</t>
        </is>
      </c>
      <c r="H144" s="35" t="n"/>
      <c r="I144" s="35" t="inlineStr">
        <is>
          <t>Media</t>
        </is>
      </c>
      <c r="J144" s="35" t="n"/>
      <c r="K144" s="36" t="n"/>
      <c r="L144" s="36" t="inlineStr">
        <is>
          <t>BUG DI TEST TROVATO+CORRETTO (screenshot di Fabrizio): il contenitore orizzontale 'Per chi cerchiamo oggi?' (overflow-x-auto) tagliava in alto l'anello di selezione del bambino attivo, perche' CSS forza overflow-y ad 'auto' quando overflow-x non e' 'visible' e non c'era padding verticale a compensare. Aggiunto pt-1.5 in PerBambinoView.tsx (stesso principio gia' applicato in orizzontale con -mx-1/px-1).</t>
        </is>
      </c>
    </row>
    <row r="145">
      <c r="A145" s="34" t="inlineStr">
        <is>
          <t>TC-144</t>
        </is>
      </c>
      <c r="B145" s="35" t="inlineStr">
        <is>
          <t>Gestore - Account</t>
        </is>
      </c>
      <c r="C145" s="35" t="inlineStr">
        <is>
          <t>Badge profilo in alto a destra e logout spostato in 'Il mio account'</t>
        </is>
      </c>
      <c r="D145" s="35" t="inlineStr">
        <is>
          <t>Login gestore</t>
        </is>
      </c>
      <c r="E145" s="35" t="inlineStr">
        <is>
          <t>Apri /center, osserva sidebar/header; clicca il badge profilo</t>
        </is>
      </c>
      <c r="F145" s="35" t="inlineStr">
        <is>
          <t>Nessun logout persistente in sidebar/header; il badge porta a /center/account, dove si trova 'Esci dall'account'</t>
        </is>
      </c>
      <c r="G145" s="35" t="inlineStr">
        <is>
          <t>DA TESTARE</t>
        </is>
      </c>
      <c r="H145" s="35" t="n"/>
      <c r="I145" s="35" t="inlineStr">
        <is>
          <t>Alta</t>
        </is>
      </c>
      <c r="J145" s="35" t="n"/>
      <c r="K145" s="36" t="n"/>
      <c r="L145" s="36" t="n"/>
    </row>
    <row r="146">
      <c r="A146" s="21" t="inlineStr">
        <is>
          <t>TC-147</t>
        </is>
      </c>
      <c r="B146" s="21" t="inlineStr">
        <is>
          <t>Genitori - Profilo</t>
        </is>
      </c>
      <c r="C146" s="21" t="inlineStr">
        <is>
          <t>Notifiche (email/push/SMS) persistono</t>
        </is>
      </c>
      <c r="D146" s="21" t="inlineStr">
        <is>
          <t>Genitore loggato</t>
        </is>
      </c>
      <c r="E146" s="21" t="inlineStr">
        <is>
          <t>Vai su /profile/notifiche -&gt; attiva 'Notifiche SMS' -&gt; ricarica</t>
        </is>
      </c>
      <c r="F146" s="21" t="inlineStr">
        <is>
          <t>Lo stato si salva subito e resta dopo il reload</t>
        </is>
      </c>
      <c r="G146" s="21" t="inlineStr">
        <is>
          <t>DA TESTARE</t>
        </is>
      </c>
      <c r="H146" s="21">
        <f>IF(G146="BUG","BUG-"&amp;A146,IF(G146="FUNCTIONAL","FUNCTIONAL-"&amp;A146,""))</f>
        <v/>
      </c>
      <c r="I146" s="21" t="inlineStr">
        <is>
          <t>Media</t>
        </is>
      </c>
      <c r="L146" s="21" t="inlineStr">
        <is>
          <t>NUOVA sotto-pagina: assorbe la parte 'notifiche' del precedente TC-134 (ora su pagina separata da Preferenze).</t>
        </is>
      </c>
    </row>
    <row r="147">
      <c r="A147" s="21" t="inlineStr">
        <is>
          <t>TC-148</t>
        </is>
      </c>
      <c r="B147" s="21" t="inlineStr">
        <is>
          <t>Genitori - Profilo</t>
        </is>
      </c>
      <c r="C147" s="21" t="inlineStr">
        <is>
          <t>Le voci di Impostazioni aprono le sotto-pagine dedicate</t>
        </is>
      </c>
      <c r="D147" s="21" t="inlineStr">
        <is>
          <t>Genitore loggato</t>
        </is>
      </c>
      <c r="E147" s="21" t="inlineStr">
        <is>
          <t>Su /profile, clicca 'Sicurezza' nel menu Impostazioni -&gt; verifica URL e contenuto -&gt; premi Indietro</t>
        </is>
      </c>
      <c r="F147" s="21" t="inlineStr">
        <is>
          <t>Si apre /profile/sicurezza con il form password; 'Indietro' torna a /profile</t>
        </is>
      </c>
      <c r="G147" s="21" t="inlineStr">
        <is>
          <t>DA TESTARE</t>
        </is>
      </c>
      <c r="H147" s="21">
        <f>IF(G147="BUG","BUG-"&amp;A147,IF(G147="FUNCTIONAL","FUNCTIONAL-"&amp;A147,""))</f>
        <v/>
      </c>
      <c r="I147" s="21" t="inlineStr">
        <is>
          <t>Alta</t>
        </is>
      </c>
      <c r="L147" s="21" t="inlineStr">
        <is>
          <t>NUOVA FUNZIONALITA': richiesta da Fabrizio ('io farei una sezione dedicata, non tutti i sottomenu visibili') — sostituisce il blocco Impostazioni con tutte le sottosezioni sempre in linea con un menu a righe cliccabili (MenuItem), stile Servizi/Gestione dell'esempio allegato.</t>
        </is>
      </c>
    </row>
    <row r="148">
      <c r="A148" s="21" t="inlineStr">
        <is>
          <t>TC-149</t>
        </is>
      </c>
      <c r="B148" s="21" t="inlineStr">
        <is>
          <t>Gestore - Registro presenze</t>
        </is>
      </c>
      <c r="C148" s="21" t="inlineStr">
        <is>
          <t>Riepilogo 'arrivati su prenotati' del giorno</t>
        </is>
      </c>
      <c r="D148" s="21" t="inlineStr">
        <is>
          <t>Gestore loggato, prenotazione fixture presente</t>
        </is>
      </c>
      <c r="E148" s="21" t="inlineStr">
        <is>
          <t>Apri /center/attendance -&gt; seleziona l'attivita' di test -&gt; marca un bambino presente</t>
        </is>
      </c>
      <c r="F148" s="21" t="inlineStr">
        <is>
          <t>Il riepilogo 'N presenti su M prenotati' si aggiorna in tempo reale</t>
        </is>
      </c>
      <c r="G148" s="21" t="inlineStr">
        <is>
          <t>DA TESTARE</t>
        </is>
      </c>
      <c r="H148" s="21">
        <f>IF(G148="BUG","BUG-"&amp;A148,IF(G148="FUNCTIONAL","FUNCTIONAL-"&amp;A148,""))</f>
        <v/>
      </c>
      <c r="I148" s="21" t="inlineStr">
        <is>
          <t>Media</t>
        </is>
      </c>
      <c r="L148" s="21" t="inlineStr">
        <is>
          <t>NUOVA FUNZIONALITA' richiesta da Fabrizio ('bisogna avere un report complessivo... quanti ne sono arrivati sui prenotati'). Riusa attendance_records + bookings gia' esistenti, nessuna nuova infrastruttura. Aggiunta anche notifica email al genitore quando un bambino viene marcato 'assente' (lib/email.ts, Resend) — invio best-effort non verificabile in Playwright. | Riga bambino aggiornata a gruppo di 3 bottoni (Presente/In ritardo/Assente) per il check-in MVP — vedi TC-151/152.</t>
        </is>
      </c>
    </row>
    <row r="149">
      <c r="A149" s="21" t="inlineStr">
        <is>
          <t>TC-150</t>
        </is>
      </c>
      <c r="B149" s="21" t="inlineStr">
        <is>
          <t>Genitori - Profilo</t>
        </is>
      </c>
      <c r="C149" s="21" t="inlineStr">
        <is>
          <t>Il menu 'Scatta foto/Galleria' resta nel viewport</t>
        </is>
      </c>
      <c r="D149" s="21" t="inlineStr">
        <is>
          <t>Genitore loggato, viewport mobile (375px)</t>
        </is>
      </c>
      <c r="E149" s="21" t="inlineStr">
        <is>
          <t>Su /profile, clicca l'icona fotocamera sull'avatar</t>
        </is>
      </c>
      <c r="F149" s="21" t="inlineStr">
        <is>
          <t>Il riquadro del menu non sporge oltre i bordi orizzontali del viewport</t>
        </is>
      </c>
      <c r="G149" s="21" t="inlineStr">
        <is>
          <t>BUG</t>
        </is>
      </c>
      <c r="H149" s="21">
        <f>IF(G149="BUG","BUG-"&amp;A149,IF(G149="FUNCTIONAL","FUNCTIONAL-"&amp;A149,""))</f>
        <v/>
      </c>
      <c r="I149" s="21" t="inlineStr">
        <is>
          <t>Bassa</t>
        </is>
      </c>
      <c r="K149" s="21" t="inlineStr">
        <is>
          <t>RISOLTO</t>
        </is>
      </c>
      <c r="L149" s="21" t="inlineStr">
        <is>
          <t>BUG DI TEST TROVATO+CORRETTO (screenshot di Fabrizio: 'menu tagliato'): il dropdown non aveva left/right espliciti in AvatarUploadButton.tsx, quindi la sua posizione statica orizzontale poteva farlo sporgere/tagliarsi sul bordo della card. Corretto con left-0 esplicito. STESSA SEGNALAZIONE ('iconcina tagliata'): il badge fotocamera era figlio del cerchio overflow-hidden+rounded-full e veniva ritagliato dalla maschera circolare — spostato come sibling fuori da quel div.</t>
        </is>
      </c>
    </row>
    <row r="150">
      <c r="A150" s="21" t="inlineStr">
        <is>
          <t>TC-151</t>
        </is>
      </c>
      <c r="B150" s="21" t="inlineStr">
        <is>
          <t>Genitori - Home</t>
        </is>
      </c>
      <c r="C150" s="21" t="inlineStr">
        <is>
          <t>Check-in MVP: 'e' arrivato/a?' (Si/In ritardo/No)</t>
        </is>
      </c>
      <c r="D150" s="21" t="inlineStr">
        <is>
          <t>Genitore loggato, prenotazione con settimana che copre oggi</t>
        </is>
      </c>
      <c r="E150" s="21" t="inlineStr">
        <is>
          <t>Su Home, rispondi alla card di check-in del bambino -&gt; ricarica</t>
        </is>
      </c>
      <c r="F150" s="21" t="inlineStr">
        <is>
          <t>La risposta si salva subito e resta dopo il reload; 'Siamo in ritardo' avvisa il centro via email</t>
        </is>
      </c>
      <c r="G150" s="21" t="inlineStr">
        <is>
          <t>DA TESTARE</t>
        </is>
      </c>
      <c r="H150" s="21">
        <f>IF(G150="BUG","BUG-"&amp;A150,IF(G150="FUNCTIONAL","FUNCTIONAL-"&amp;A150,""))</f>
        <v/>
      </c>
      <c r="I150" s="21" t="inlineStr">
        <is>
          <t>Alta</t>
        </is>
      </c>
      <c r="L150" s="21" t="inlineStr">
        <is>
          <t>NUOVA FUNZIONALITA' (richiesta da Fabrizio, scope MVP concordato dopo discussione sui limiti reali: nessuna geolocalizzazione/notifica push automatica in background, non affidabili su web/iOS senza un'infrastruttura dedicata non ancora presente in questo stack). Risposta manuale del genitore in app. Migrazione DB: attendance_records guadagna lo stato 'in_ritardo' e le colonne checked_in_by/checkin_at (vedi supabase/schema.sql), piu' una RLS aggiuntiva che permette al genitore di scrivere/leggere le presenze dei propri bambini.</t>
        </is>
      </c>
    </row>
    <row r="151">
      <c r="A151" s="21" t="inlineStr">
        <is>
          <t>TC-152</t>
        </is>
      </c>
      <c r="B151" s="21" t="inlineStr">
        <is>
          <t>Gestore - Registro presenze</t>
        </is>
      </c>
      <c r="C151" s="21" t="inlineStr">
        <is>
          <t>Lo stato 'in ritardo' del check-in genitore e' visibile e correggibile</t>
        </is>
      </c>
      <c r="D151" s="21" t="inlineStr">
        <is>
          <t>Genitore ha risposto 'Siamo in ritardo' per oggi</t>
        </is>
      </c>
      <c r="E151" s="21" t="inlineStr">
        <is>
          <t>Il gestore apre /center/attendance -&gt; trova il bambino con badge 'Segnalato dal genitore' -&gt; corregge lo stato</t>
        </is>
      </c>
      <c r="F151" s="21" t="inlineStr">
        <is>
          <t>Il badge e lo stato 'In ritardo' sono visibili; la correzione del gestore aggiorna lo stato e rimuove il badge</t>
        </is>
      </c>
      <c r="G151" s="21" t="inlineStr">
        <is>
          <t>DA TESTARE</t>
        </is>
      </c>
      <c r="H151" s="21">
        <f>IF(G151="BUG","BUG-"&amp;A151,IF(G151="FUNCTIONAL","FUNCTIONAL-"&amp;A151,""))</f>
        <v/>
      </c>
      <c r="I151" s="21" t="inlineStr">
        <is>
          <t>Alta</t>
        </is>
      </c>
      <c r="L151" s="21" t="inlineStr">
        <is>
          <t>NUOVA FUNZIONALITA': completa il ciclo richiesto da Fabrizio ('il gestore puo' confermare in ritardo verso Presente/Assente'). Il registro presenze ora ha 3 stati (Presente/In ritardo/Assente) invece di un toggle a 2 stati — vedi anche nota su TC-140/TC-149 (selettori di riga aggiornati per il nuovo markup a gruppo di 3 bottoni).</t>
        </is>
      </c>
    </row>
    <row r="152">
      <c r="A152" s="21" t="inlineStr">
        <is>
          <t>TC-153</t>
        </is>
      </c>
      <c r="B152" s="21" t="inlineStr">
        <is>
          <t>Genitori - Home (Planner/Per Bambino)</t>
        </is>
      </c>
      <c r="C152" s="21" t="inlineStr">
        <is>
          <t>Colore del chip bambino selezionato nel Planner coerente col resto dell'app</t>
        </is>
      </c>
      <c r="D152" s="21" t="inlineStr">
        <is>
          <t>Almeno 2 bambini nel profilo</t>
        </is>
      </c>
      <c r="E152" s="21" t="inlineStr">
        <is>
          <t>Nel Planner, seleziona un bambino specifico dal selettore 'Tutti / [nome]'</t>
        </is>
      </c>
      <c r="F152" s="21" t="inlineStr">
        <is>
          <t>Il chip selezionato usa il colore accento di quel bambino (lo stesso dell'anello avatar in 'Per bambino'), non un nero fisso</t>
        </is>
      </c>
      <c r="G152" s="21" t="inlineStr">
        <is>
          <t>DA TESTARE</t>
        </is>
      </c>
      <c r="H152" s="21">
        <f>IF(G152="BUG","BUG-"&amp;A152,IF(G152="FUNCTIONAL","FUNCTIONAL-"&amp;A152,""))</f>
        <v/>
      </c>
      <c r="I152" s="21" t="inlineStr">
        <is>
          <t>Bassa</t>
        </is>
      </c>
      <c r="K152" s="21" t="inlineStr">
        <is>
          <t>RISOLTO</t>
        </is>
      </c>
      <c r="L152" s="21" t="inlineStr">
        <is>
          <t>BUG DI TEST TROVATO+CORRETTO (screenshot di Fabrizio: 'non mi piace la selezione del nome bambino in nero'): PlannerView.tsx usava bg-ink fisso per il chip selezionato, indipendente dal bambino. Corretto usando kid.accentColor (gia' esistente, usato altrove) con solidBgClasses invece del nero fisso.</t>
        </is>
      </c>
    </row>
    <row r="153">
      <c r="A153" s="21" t="inlineStr">
        <is>
          <t>TC-154</t>
        </is>
      </c>
      <c r="B153" s="21" t="inlineStr">
        <is>
          <t>Genitori - Home (Planner/Per Bambino)</t>
        </is>
      </c>
      <c r="C153" s="21" t="inlineStr">
        <is>
          <t>Settimana con copertura parziale (alcuni bambini si, altri no) distinguibile e completabile</t>
        </is>
      </c>
      <c r="D153" s="21" t="inlineStr">
        <is>
          <t>Almeno 2 bambini, una settimana coperta solo per uno di loro</t>
        </is>
      </c>
      <c r="E153" s="21" t="inlineStr">
        <is>
          <t>Apri il Planner in vista 'Tutti': osserva una settimana coperta solo per un bambino</t>
        </is>
      </c>
      <c r="F153" s="21" t="inlineStr">
        <is>
          <t>La riga ha uno sfondo distinto (non uguale alle settimane pienamente coperte) e mostra una CTA 'Aggiungi [nome]' per ciascun bambino ancora scoperto, che porta dritto alla prenotazione della stessa attivita'/settimana</t>
        </is>
      </c>
      <c r="G153" s="21" t="inlineStr">
        <is>
          <t>DA TESTARE</t>
        </is>
      </c>
      <c r="H153" s="21">
        <f>IF(G153="BUG","BUG-"&amp;A153,IF(G153="FUNCTIONAL","FUNCTIONAL-"&amp;A153,""))</f>
        <v/>
      </c>
      <c r="I153" s="21" t="inlineStr">
        <is>
          <t>Alta</t>
        </is>
      </c>
      <c r="K153" s="21" t="inlineStr">
        <is>
          <t>RISOLTO</t>
        </is>
      </c>
      <c r="L153" s="21" t="inlineStr">
        <is>
          <t>BUG DI TEST TROVATO+CORRETTO (segnalazione Fabrizio: 'qui devo avere una colorazione diversa e deve esserci una CTA tipo Aggiungi Piero... sennò non si capisce'): prima la copertura parziale non era distinguibile da quella piena (stessa tinta di categoria) e non c'era alcuna azione diretta. Aggiunto bg-yellow-light + CTA '+ Aggiungi [nome]' per bambino mancante, verso /booking/[slug]?week=...&amp;kid=.... Richiesto anche un fix collaterale al controllo "gia' prenotato" (getBookedWeekIdsForActivity) perche' altrimenti risultava bloccata come gia' prenotata anche per il bambino che invece deve ancora essere aggiunto.</t>
        </is>
      </c>
    </row>
    <row r="154">
      <c r="A154" s="21" t="inlineStr">
        <is>
          <t>TC-155</t>
        </is>
      </c>
      <c r="B154" s="21" t="inlineStr">
        <is>
          <t>Genitori - Home (Planner/Per Bambino)</t>
        </is>
      </c>
      <c r="C154" s="21" t="inlineStr">
        <is>
          <t>'Per riempire la settimana N' sceglie la settimana prioritaria, non la prima scoperta</t>
        </is>
      </c>
      <c r="D154" s="21" t="inlineStr">
        <is>
          <t>Planner con almeno una settimana scoperta tra due coperte (o all'inizio/fine)</t>
        </is>
      </c>
      <c r="E154" s="21" t="inlineStr">
        <is>
          <t>Apri il Planner, osserva quale settimana viene proposta sotto 'Per riempire la settimana N'</t>
        </is>
      </c>
      <c r="F154" s="21" t="inlineStr">
        <is>
          <t>Viene proposta la settimana 'a buco' (scoperta, con coperture sia prima che dopo nella stagione) come priorita'; solo in assenza di un buco si torna alla prima scoperta in ordine cronologico</t>
        </is>
      </c>
      <c r="G154" s="21" t="inlineStr">
        <is>
          <t>DA TESTARE</t>
        </is>
      </c>
      <c r="H154" s="21">
        <f>IF(G154="BUG","BUG-"&amp;A154,IF(G154="FUNCTIONAL","FUNCTIONAL-"&amp;A154,""))</f>
        <v/>
      </c>
      <c r="I154" s="21" t="inlineStr">
        <is>
          <t>Media</t>
        </is>
      </c>
      <c r="K154" s="21" t="inlineStr">
        <is>
          <t>RISOLTO</t>
        </is>
      </c>
      <c r="L154" s="21" t="inlineStr">
        <is>
          <t>NUOVA LOGICA (richiesta da Fabrizio: 'questa sezione deve essere sempre per la settimana mancante prioritaria - es. quella in mezzo ad altre 2 prenotazioni o all'inizio o alla fine'): prima si prendeva sempre la prima settimana scoperta in ordine. Vedi PlannerView.tsx priorityIndex.</t>
        </is>
      </c>
    </row>
    <row r="155">
      <c r="A155" s="21" t="inlineStr">
        <is>
          <t>TC-156</t>
        </is>
      </c>
      <c r="B155" s="21" t="inlineStr">
        <is>
          <t>Genitori - Home (Planner/Per Bambino)</t>
        </is>
      </c>
      <c r="C155" s="21" t="inlineStr">
        <is>
          <t>Suggerimenti 'Per riempire' filtrati per disponibilita' reale e preferenze del bambino</t>
        </is>
      </c>
      <c r="D155" s="21" t="inlineStr">
        <is>
          <t>Settimana da riempire con attivita' disponibili in quella settimana; bambino con preferenze impostate nel profilo</t>
        </is>
      </c>
      <c r="E155" s="21" t="inlineStr">
        <is>
          <t>Apri il Planner, osserva le card suggerite sotto 'Per riempire la settimana N'</t>
        </is>
      </c>
      <c r="F155" s="21" t="inlineStr">
        <is>
          <t>Compaiono SOLO attivita' con posti liberi reali in quella settimana (activity_weeks.spots_left &gt; 0) e, se un bambino e' selezionato, che rientrano nelle sue preferenze (kid.interests)</t>
        </is>
      </c>
      <c r="G155" s="21" t="inlineStr">
        <is>
          <t>DA TESTARE</t>
        </is>
      </c>
      <c r="H155" s="21">
        <f>IF(G155="BUG","BUG-"&amp;A155,IF(G155="FUNCTIONAL","FUNCTIONAL-"&amp;A155,""))</f>
        <v/>
      </c>
      <c r="I155" s="21" t="inlineStr">
        <is>
          <t>Alta</t>
        </is>
      </c>
      <c r="K155" s="21" t="inlineStr">
        <is>
          <t>RISOLTO</t>
        </is>
      </c>
      <c r="L155" s="21" t="inlineStr">
        <is>
          <t>BUG DI TEST TROVATO+CORRETTO (Fabrizio: 'io visualizzerei SOLO i camp che hanno disponibilita' e quelli che hanno le preferenze del bambino'): prima erano semplicemente le 4 attivita' con rating piu' alto, senza alcun filtro. Serviva una nuova funzione dati (getActivityAvailabilityByWeek in lib/data/activities.ts, che legge activity_weeks per settimana, non presente prima) condivisa col filtro Date di Cerca.</t>
        </is>
      </c>
    </row>
    <row r="156">
      <c r="A156" s="21" t="inlineStr">
        <is>
          <t>TC-158</t>
        </is>
      </c>
      <c r="B156" s="21" t="inlineStr">
        <is>
          <t>Genitori - Cerca</t>
        </is>
      </c>
      <c r="C156" s="21" t="inlineStr">
        <is>
          <t>Filtri Data e preferenze bambino pre-applicati arrivando dal Planner</t>
        </is>
      </c>
      <c r="D156" s="21" t="inlineStr">
        <is>
          <t>Arrivo da Home -&gt; Planner -&gt; 'Riempi' (o CTA inline 'Per riempire la settimana N') con un bambino selezionato</t>
        </is>
      </c>
      <c r="E156" s="21" t="inlineStr">
        <is>
          <t>Clicca 'Riempi' su una settimana scoperta, o la scritta 'Per riempire la settimana N'</t>
        </is>
      </c>
      <c r="F156" s="21" t="inlineStr">
        <is>
          <t>Si apre Cerca con il filtro Data gia' impostato sulla settimana richiesta e, se un bambino era selezionato, anche le sue preferenze; un banner mostra 'Stai cercando per la Settimana N' + 'preferenze di [nome]', con 'Rimuovi' che azzera entrambi insieme</t>
        </is>
      </c>
      <c r="G156" s="21" t="inlineStr">
        <is>
          <t>DA TESTARE</t>
        </is>
      </c>
      <c r="H156" s="21">
        <f>IF(G156="BUG","BUG-"&amp;A156,IF(G156="FUNCTIONAL","FUNCTIONAL-"&amp;A156,""))</f>
        <v/>
      </c>
      <c r="I156" s="21" t="inlineStr">
        <is>
          <t>Alta</t>
        </is>
      </c>
      <c r="K156" s="21" t="inlineStr">
        <is>
          <t>RISOLTO</t>
        </is>
      </c>
      <c r="L156" s="21" t="inlineStr">
        <is>
          <t>NUOVA FUNZIONALITA' (Fabrizio: 'cliccando sulla scritta... deve esserci la sezione Cerca con i filtri pre-applicati - preferenze bambino, date'). Vedi SearchClient.tsx (weekParam/kidParam) e PlannerView.tsx (link con ?week=&amp;kid=).</t>
        </is>
      </c>
    </row>
    <row r="157">
      <c r="A157" s="21" t="inlineStr">
        <is>
          <t>TC-159</t>
        </is>
      </c>
      <c r="B157" s="21" t="inlineStr">
        <is>
          <t>Genitori - Prenotazione</t>
        </is>
      </c>
      <c r="C157" s="21" t="inlineStr">
        <is>
          <t>La freccia indietro annulla lo step corrente invece di uscire dal flusso</t>
        </is>
      </c>
      <c r="D157" s="21" t="inlineStr">
        <is>
          <t>Attivita' di test con almeno una settimana selezionabile</t>
        </is>
      </c>
      <c r="E157" s="21" t="inlineStr">
        <is>
          <t>In Prenotazione, avanza allo step 2 o 3, poi clicca la freccia indietro dell'header</t>
        </is>
      </c>
      <c r="F157" s="21" t="inlineStr">
        <is>
          <t>Si torna allo step precedente restando su /booking/[id]; solo dal primo step la freccia esce davvero dal flusso (verso la pagina precedente reale)</t>
        </is>
      </c>
      <c r="G157" s="21" t="inlineStr">
        <is>
          <t>DA TESTARE</t>
        </is>
      </c>
      <c r="H157" s="21">
        <f>IF(G157="BUG","BUG-"&amp;A157,IF(G157="FUNCTIONAL","FUNCTIONAL-"&amp;A157,""))</f>
        <v/>
      </c>
      <c r="I157" s="21" t="inlineStr">
        <is>
          <t>Alta</t>
        </is>
      </c>
      <c r="K157" s="21" t="inlineStr">
        <is>
          <t>RISOLTO</t>
        </is>
      </c>
      <c r="L157" s="21" t="inlineStr">
        <is>
          <t>NUOVA FUNZIONALITA' (Fabrizio: 'manca una CTA tipo X per annullare nelle varie fasi di processo che riporti alla scheda precedente'): invece di un pulsante separato, la stessa freccia indietro dell'header ora fa da 'annulla di step' quando step &gt; 1 (BookingClient.tsx handleBack), risolvendo anche il bug del history stack di TC-160.</t>
        </is>
      </c>
    </row>
    <row r="158">
      <c r="A158" s="21" t="inlineStr">
        <is>
          <t>TC-160</t>
        </is>
      </c>
      <c r="B158" s="21" t="inlineStr">
        <is>
          <t>Genitori - Attivita</t>
        </is>
      </c>
      <c r="C158" s="21" t="inlineStr">
        <is>
          <t>La freccia indietro dal dettaglio attivita' non porta piu' alla Prenotazione</t>
        </is>
      </c>
      <c r="D158" s="21" t="inlineStr">
        <is>
          <t>Attivita' di test raggiungibile da Cerca</t>
        </is>
      </c>
      <c r="E158" s="21" t="inlineStr">
        <is>
          <t>Apri Cerca -&gt; apri il dettaglio di un'attivita' -&gt; clicca la freccia indietro</t>
        </is>
      </c>
      <c r="F158" s="21" t="inlineStr">
        <is>
          <t>Si torna a Cerca (la pagina da cui si era arrivati), non a /booking/... 'Prenota Ora'</t>
        </is>
      </c>
      <c r="G158" s="21" t="inlineStr">
        <is>
          <t>DA TESTARE</t>
        </is>
      </c>
      <c r="H158" s="21">
        <f>IF(G158="BUG","BUG-"&amp;A158,IF(G158="FUNCTIONAL","FUNCTIONAL-"&amp;A158,""))</f>
        <v/>
      </c>
      <c r="I158" s="21" t="inlineStr">
        <is>
          <t>Alta</t>
        </is>
      </c>
      <c r="K158" s="21" t="inlineStr">
        <is>
          <t>RISOLTO</t>
        </is>
      </c>
      <c r="L158" s="21" t="inlineStr">
        <is>
          <t>BUG DI TEST TROVATO+CORRETTO (Fabrizio: 'la freccia per andare indietro dalla scheda di dettaglio del camp porta alla prenotazione come Prenota Ora'). Causa reale: BookingClient.tsx usava router.push() per il proprio 'indietro' ad ogni step, aggiungendo una voce duplicata '/activity/[id]' nella cronologia subito DOPO '/booking/[id]' — il router.back() del Dettaglio (di per se' corretto) ripescava quella voce duplicata invece della pagina precedente vera. Risolto insieme a TC-159 in BookingClient.tsx#handleBack.</t>
        </is>
      </c>
    </row>
    <row r="159">
      <c r="A159" s="21" t="inlineStr">
        <is>
          <t>TC-161</t>
        </is>
      </c>
      <c r="B159" s="21" t="inlineStr">
        <is>
          <t>Genitori - Attivita</t>
        </is>
      </c>
      <c r="C159" s="21" t="inlineStr">
        <is>
          <t>La card attivita' mostra la foto di copertina reale quando presente</t>
        </is>
      </c>
      <c r="D159" s="21" t="inlineStr">
        <is>
          <t>Attivita' con una cover_image_url impostata dal gestore (es. attivita' 'Test' di Fabrizio)</t>
        </is>
      </c>
      <c r="E159" s="21" t="inlineStr">
        <is>
          <t>Apri Cerca o Home e osserva la card dell'attivita' con copertina caricata</t>
        </is>
      </c>
      <c r="F159" s="21" t="inlineStr">
        <is>
          <t>La card mostra la foto di copertina reale, opportunamente ritagliata, al posto della sola emoji su sfondo a gradiente</t>
        </is>
      </c>
      <c r="G159" s="21" t="inlineStr">
        <is>
          <t>DA TESTARE</t>
        </is>
      </c>
      <c r="H159" s="21">
        <f>IF(G159="BUG","BUG-"&amp;A159,IF(G159="FUNCTIONAL","FUNCTIONAL-"&amp;A159,""))</f>
        <v/>
      </c>
      <c r="I159" s="21" t="inlineStr">
        <is>
          <t>Bassa</t>
        </is>
      </c>
      <c r="K159" s="21" t="inlineStr">
        <is>
          <t>RISOLTO</t>
        </is>
      </c>
      <c r="L159" s="21" t="inlineStr">
        <is>
          <t>BUG DI TEST TROVATO+CORRETTO (Fabrizio: 'qui dovrei vedere opportunamente ritagliata la foto di sfondo che ho messo nel profilo del camp Test'): ActivityCard.tsx e ActivityCardHorizontal.tsx non rendevano mai activity.coverImageUrl, solo emoji+imgGradient. Ora mostrano la cover come background-image (bg-cover bg-center) quando presente, con lo stesso fallback di prima altrimenti.</t>
        </is>
      </c>
    </row>
    <row r="160">
      <c r="A160" s="21" t="inlineStr">
        <is>
          <t>TC-162</t>
        </is>
      </c>
      <c r="B160" s="21" t="inlineStr">
        <is>
          <t>Genitori - Attivita</t>
        </is>
      </c>
      <c r="C160" s="21" t="inlineStr">
        <is>
          <t>'Contatta il gestore' dal dettaglio invia una richiesta visibile in 'Le mie richieste'</t>
        </is>
      </c>
      <c r="D160" s="21" t="inlineStr">
        <is>
          <t>Attivita' di test raggiungibile, genitore loggato</t>
        </is>
      </c>
      <c r="E160" s="21" t="inlineStr">
        <is>
          <t>Apri il dettaglio dell'attivita' -&gt; 'Contatta il gestore' -&gt; scrivi un messaggio -&gt; Invia</t>
        </is>
      </c>
      <c r="F160" s="21" t="inlineStr">
        <is>
          <t>Conferma 'Richiesta inviata' a schermo; il messaggio compare in /richieste ('Le mie richieste') con stato 'In attesa di risposta'</t>
        </is>
      </c>
      <c r="G160" s="21" t="inlineStr">
        <is>
          <t>DA TESTARE</t>
        </is>
      </c>
      <c r="H160" s="21">
        <f>IF(G160="BUG","BUG-"&amp;A160,IF(G160="FUNCTIONAL","FUNCTIONAL-"&amp;A160,""))</f>
        <v/>
      </c>
      <c r="I160" s="21" t="inlineStr">
        <is>
          <t>Alta</t>
        </is>
      </c>
      <c r="L160" s="21" t="inlineStr">
        <is>
          <t>NUOVA FUNZIONALITA' (Fabrizio: 'in ogni sezione del camp deve esserci una funzionalita' di Chatta/contatta il gestore... ticketing semplice'): un messaggio, una risposta (non chat multi-turno). Vedi ContactCenterButton.tsx, lib/data/inquiries.ts, app/actions/inquiries.ts, app/(main)/richieste/page.tsx, supabase/schema.sql#activity_inquiries (NUOVA tabella + RLS, da applicare su Supabase prima di andare live).</t>
        </is>
      </c>
    </row>
    <row r="161">
      <c r="A161" s="21" t="inlineStr">
        <is>
          <t>TC-163</t>
        </is>
      </c>
      <c r="B161" s="21" t="inlineStr">
        <is>
          <t>Gestore - Le mie richieste</t>
        </is>
      </c>
      <c r="C161" s="21" t="inlineStr">
        <is>
          <t>Il gestore vede e risponde a una richiesta del genitore, che appare in 'Le mie richieste'</t>
        </is>
      </c>
      <c r="D161" s="21" t="inlineStr">
        <is>
          <t>Il genitore ha inviato una richiesta su un'attivita' del centro del gestore</t>
        </is>
      </c>
      <c r="E161" s="21" t="inlineStr">
        <is>
          <t>Login Gestore -&gt; 'Le mie richieste' -&gt; apri la richiesta ricevuta -&gt; scrivi una risposta -&gt; Invia risposta</t>
        </is>
      </c>
      <c r="F161" s="21" t="inlineStr">
        <is>
          <t>La richiesta si sposta da 'Da rispondere' a 'Storico' con stato 'Risposto'; il genitore vede la stessa risposta in /richieste con stato 'Risposta ricevuta'</t>
        </is>
      </c>
      <c r="G161" s="21" t="inlineStr">
        <is>
          <t>DA TESTARE</t>
        </is>
      </c>
      <c r="H161" s="21">
        <f>IF(G161="BUG","BUG-"&amp;A161,IF(G161="FUNCTIONAL","FUNCTIONAL-"&amp;A161,""))</f>
        <v/>
      </c>
      <c r="I161" s="21" t="inlineStr">
        <is>
          <t>Alta</t>
        </is>
      </c>
      <c r="L161" s="21" t="inlineStr">
        <is>
          <t>Completa il ciclo del ticketing semplice richiesto da Fabrizio (vedi TC-162). Test end-to-end con due context browser separati (genitore + gestore), stesso pattern di TC-152.</t>
        </is>
      </c>
    </row>
    <row r="162">
      <c r="A162" s="21" t="inlineStr">
        <is>
          <t>TC-164</t>
        </is>
      </c>
      <c r="B162" s="21" t="inlineStr">
        <is>
          <t>Gestore - Le mie richieste</t>
        </is>
      </c>
      <c r="C162" s="21" t="inlineStr">
        <is>
          <t>Stato vuoto di 'Le mie richieste' lato gestore</t>
        </is>
      </c>
      <c r="D162" s="21" t="inlineStr">
        <is>
          <t>Nessuna richiesta ricevuta per il centro</t>
        </is>
      </c>
      <c r="E162" s="21" t="inlineStr">
        <is>
          <t>Apri /center/richieste senza richieste ricevute</t>
        </is>
      </c>
      <c r="F162" s="21" t="inlineStr">
        <is>
          <t>Mostra 'Nessuna richiesta in attesa di risposta' invece di una lista vuota senza spiegazione</t>
        </is>
      </c>
      <c r="G162" s="21" t="inlineStr">
        <is>
          <t>DA TESTARE</t>
        </is>
      </c>
      <c r="H162" s="21">
        <f>IF(G162="BUG","BUG-"&amp;A162,IF(G162="FUNCTIONAL","FUNCTIONAL-"&amp;A162,""))</f>
        <v/>
      </c>
      <c r="I162" s="21" t="inlineStr">
        <is>
          <t>Media</t>
        </is>
      </c>
      <c r="L162" s="21" t="inlineStr">
        <is>
          <t>Coerente con lo stato vuoto gia' usato in Richieste Gruppo (stesso pattern UI).</t>
        </is>
      </c>
    </row>
    <row r="163">
      <c r="A163" s="21" t="inlineStr">
        <is>
          <t>TC-165</t>
        </is>
      </c>
      <c r="B163" s="21" t="inlineStr">
        <is>
          <t>Gestore - Report presenze</t>
        </is>
      </c>
      <c r="C163" s="21" t="inlineStr">
        <is>
          <t>Il Report presenze mostra le tre sezioni (andamento, per attività, ritardatari)</t>
        </is>
      </c>
      <c r="D163" s="21" t="inlineStr">
        <is>
          <t>Account Gestore di test, almeno un giorno di camp già trascorso per avere dati (altrimenti si vede lo stato vuoto)</t>
        </is>
      </c>
      <c r="E163" s="21" t="inlineStr">
        <is>
          <t>Login Gestore -&gt; 'Report presenze'</t>
        </is>
      </c>
      <c r="F163" s="21" t="inlineStr">
        <is>
          <t>Tre sezioni visibili: grafico 'Andamento nel tempo' (presente/in ritardo/assente per giorno), grafico 'Tasso assenza/ritardo per attività', elenco 'Ritardatari abituali' (bambini con almeno 2 giorni in ritardo/assente, con contatto genitore)</t>
        </is>
      </c>
      <c r="G163" s="21" t="inlineStr">
        <is>
          <t>DA TESTARE</t>
        </is>
      </c>
      <c r="H163" s="21">
        <f>IF(G163="BUG","BUG-"&amp;A163,IF(G163="FUNCTIONAL","FUNCTIONAL-"&amp;A163,""))</f>
        <v/>
      </c>
      <c r="I163" s="21" t="inlineStr">
        <is>
          <t>Media</t>
        </is>
      </c>
      <c r="L163" s="21" t="inlineStr">
        <is>
          <t>NUOVA FUNZIONALITA' (richiesta da Fabrizio: 'vorrei un report grafico anche sul report delle presenze'). Riusa gli stessi dati già letti da /center/attendance (getParticipantsForCenter + getAttendanceForWeek) invece di nuove query: vedi lib/data/attendance-report.ts. I giorni futuri sono esclusi dal calcolo (non ancora accaduti); un giorno senza alcuna scrittura viene conteggiato come 'assente' di default, coerente col Registro presenze.</t>
        </is>
      </c>
    </row>
    <row r="164">
      <c r="A164" s="21" t="inlineStr">
        <is>
          <t>TC-166</t>
        </is>
      </c>
      <c r="B164" s="21" t="inlineStr">
        <is>
          <t>Gestore - Report presenze</t>
        </is>
      </c>
      <c r="C164" s="21" t="inlineStr">
        <is>
          <t>La voce 'Report presenze' è nel menu Gestione con link funzionante</t>
        </is>
      </c>
      <c r="D164" s="21" t="inlineStr">
        <is>
          <t>Account Gestore di test</t>
        </is>
      </c>
      <c r="E164" s="21" t="inlineStr">
        <is>
          <t>Login Gestore -&gt; apri la sidebar -&gt; clicca 'Report presenze' nella sezione Gestione</t>
        </is>
      </c>
      <c r="F164" s="21" t="inlineStr">
        <is>
          <t>Si apre /center/report-presenze con il titolo 'Report presenze' visibile</t>
        </is>
      </c>
      <c r="G164" s="21" t="inlineStr">
        <is>
          <t>DA TESTARE</t>
        </is>
      </c>
      <c r="H164" s="21">
        <f>IF(G164="BUG","BUG-"&amp;A164,IF(G164="FUNCTIONAL","FUNCTIONAL-"&amp;A164,""))</f>
        <v/>
      </c>
      <c r="I164" s="21" t="inlineStr">
        <is>
          <t>Bassa</t>
        </is>
      </c>
      <c r="L164" s="21" t="inlineStr">
        <is>
          <t>Voce di navigazione aggiunta in app/center/layout.tsx, subito dopo 'Registro presenze'.</t>
        </is>
      </c>
    </row>
    <row r="165">
      <c r="A165" s="21" t="inlineStr">
        <is>
          <t>TC-167</t>
        </is>
      </c>
      <c r="B165" s="21" t="inlineStr">
        <is>
          <t>Genitori - Home</t>
        </is>
      </c>
      <c r="C165" s="21" t="inlineStr">
        <is>
          <t>La card di check-in mostra la foto/copertina e la settimana in corso</t>
        </is>
      </c>
      <c r="D165" s="21" t="inlineStr">
        <is>
          <t>Prenotazione con settimana che copre oggi (vedi tests/cleanup-test-data.mjs)</t>
        </is>
      </c>
      <c r="E165" s="21" t="inlineStr">
        <is>
          <t>Login genitore -&gt; apri Home nel giorno coperto dalla settimana di camp</t>
        </is>
      </c>
      <c r="F165" s="21" t="inlineStr">
        <is>
          <t>La card di check-in mostra un thumbnail (foto di copertina reale o gradiente+emoji) cliccabile verso il dettaglio attivita', con l'etichetta 'Questa settimana · Settimana N' sopra alla domanda '[bambino] e' arrivato/a a [attivita']?'</t>
        </is>
      </c>
      <c r="G165" s="21" t="inlineStr">
        <is>
          <t>DA TESTARE</t>
        </is>
      </c>
      <c r="H165" s="21">
        <f>IF(G165="BUG","BUG-"&amp;A165,IF(G165="FUNCTIONAL","FUNCTIONAL-"&amp;A165,""))</f>
        <v/>
      </c>
      <c r="I165" s="21" t="inlineStr">
        <is>
          <t>Bassa</t>
        </is>
      </c>
      <c r="L165" s="21" t="inlineStr">
        <is>
          <t>NUOVA FUNZIONALITA' (Fabrizio: 'forse nella home bisogna evidenziare il camp della settimana in corso in maniera piu' evidente'). Il testo della domanda e' rimasto invariato di proposito per non rompere le regex gia' usate da TC-151/TC-152. Vedi CheckinPrompt.tsx e lib/data/checkin.ts.</t>
        </is>
      </c>
    </row>
    <row r="166">
      <c r="A166" s="21" t="inlineStr">
        <is>
          <t>TC-168</t>
        </is>
      </c>
      <c r="B166" s="21" t="inlineStr">
        <is>
          <t>Genitori - Home (Planner/Per Bambino)</t>
        </is>
      </c>
      <c r="C166" s="21" t="inlineStr">
        <is>
          <t>Le settimane scoperte/escluse nel Planner usano la stessa naming convention delle settimane coperte</t>
        </is>
      </c>
      <c r="D166" s="21" t="inlineStr">
        <is>
          <t>Bambino con almeno una settimana scoperta o esclusa ('Non mi serve')</t>
        </is>
      </c>
      <c r="E166" s="21" t="inlineStr">
        <is>
          <t>Apri Home -&gt; vista Planner -&gt; osserva una riga scoperta ed una esclusa</t>
        </is>
      </c>
      <c r="F166" s="21" t="inlineStr">
        <is>
          <t>Ogni riga mostra 'Settimana N · [intervallo date]' come riga principale (stesso formato usato per le settimane coperte), con lo stato ('scoperta' / 'non ti serve') come riga secondaria sotto</t>
        </is>
      </c>
      <c r="G166" s="21" t="inlineStr">
        <is>
          <t>DA TESTARE</t>
        </is>
      </c>
      <c r="H166" s="21">
        <f>IF(G166="BUG","BUG-"&amp;A166,IF(G166="FUNCTIONAL","FUNCTIONAL-"&amp;A166,""))</f>
        <v/>
      </c>
      <c r="I166" s="21" t="inlineStr">
        <is>
          <t>Bassa</t>
        </is>
      </c>
      <c r="L166" s="21" t="inlineStr">
        <is>
          <t>NUOVA FUNZIONALITA' (Fabrizio: 'le settimane ripristinate o escluse devono avere la stessa naming convention Settimana X - Mese giornoinizio-giornofine'). Vedi PlannerView.tsx. Il testo di stato resta minuscolo per non rompere la regex gia' usata da TC-103.</t>
        </is>
      </c>
    </row>
    <row r="167">
      <c r="A167" s="21" t="inlineStr">
        <is>
          <t>TC-169</t>
        </is>
      </c>
      <c r="B167" s="21" t="inlineStr">
        <is>
          <t>Genitori - Cerca</t>
        </is>
      </c>
      <c r="C167" s="21" t="inlineStr">
        <is>
          <t>Filtro 'Tipo attivita'' selezionabile a mano e azzerabile con la X</t>
        </is>
      </c>
      <c r="D167" s="21" t="inlineStr">
        <is>
          <t>Nessuna</t>
        </is>
      </c>
      <c r="E167" s="21" t="inlineStr">
        <is>
          <t>Apri Cerca -&gt; clicca il chip 'Tipo attivita'' -&gt; seleziona una categoria</t>
        </is>
      </c>
      <c r="F167" s="21" t="inlineStr">
        <is>
          <t>Il chip mostra 'Tipo attivita' (1)', la lista si filtra di conseguenza, e la X sul chip azzera solo questo filtro senza toccare gli altri</t>
        </is>
      </c>
      <c r="G167" s="21" t="inlineStr">
        <is>
          <t>DA TESTARE</t>
        </is>
      </c>
      <c r="H167" s="21">
        <f>IF(G167="BUG","BUG-"&amp;A167,IF(G167="FUNCTIONAL","FUNCTIONAL-"&amp;A167,""))</f>
        <v/>
      </c>
      <c r="I167" s="21" t="inlineStr">
        <is>
          <t>Media</t>
        </is>
      </c>
      <c r="L167" s="21" t="inlineStr">
        <is>
          <t>NUOVA FUNZIONALITA' (Fabrizio: filtro 'tag' rinominato 'Tipo attivita'', gia' pre-filtrato con le preferenze del bambino ma ora esplicito e modificabile). Prima le preferenze del bambino filtravano la lista in modo invisibile (activeKidFilter); ora e' un filtro vero come gli altri, solo pre-selezionato quando si arriva con un bambino. Vedi SearchClient.tsx.</t>
        </is>
      </c>
    </row>
    <row r="168">
      <c r="A168" s="21" t="inlineStr">
        <is>
          <t>TC-170</t>
        </is>
      </c>
      <c r="B168" s="21" t="inlineStr">
        <is>
          <t>Genitori - Cerca</t>
        </is>
      </c>
      <c r="C168" s="21" t="inlineStr">
        <is>
          <t>La vista Mappa usa uno stile 'light' invece dello standard OSM</t>
        </is>
      </c>
      <c r="D168" s="21" t="inlineStr">
        <is>
          <t>Nessuna</t>
        </is>
      </c>
      <c r="E168" s="21" t="inlineStr">
        <is>
          <t>Apri Cerca -&gt; passa alla vista 'Mappa'</t>
        </is>
      </c>
      <c r="F168" s="21" t="inlineStr">
        <is>
          <t>Le tile della mappa sono in stile 'light' (CartoDB Positron), non lo standard OpenStreetMap colorato</t>
        </is>
      </c>
      <c r="G168" s="21" t="inlineStr">
        <is>
          <t>DA TESTARE</t>
        </is>
      </c>
      <c r="H168" s="21">
        <f>IF(G168="BUG","BUG-"&amp;A168,IF(G168="FUNCTIONAL","FUNCTIONAL-"&amp;A168,""))</f>
        <v/>
      </c>
      <c r="I168" s="21" t="inlineStr">
        <is>
          <t>Bassa</t>
        </is>
      </c>
      <c r="L168" s="21" t="inlineStr">
        <is>
          <t>NUOVA FUNZIONALITA' (Fabrizio: 'le mappe si possono mettere in versione light tipo maps standard per alleggerire la vista?'). Vedi ActivityMap.tsx (TileLayer CartoDB Positron al posto delle tile OSM standard, nessuna API key richiesta).</t>
        </is>
      </c>
    </row>
    <row r="169">
      <c r="A169" s="21" t="inlineStr">
        <is>
          <t>TC-171</t>
        </is>
      </c>
      <c r="B169" s="21" t="inlineStr">
        <is>
          <t>Genitori - Profilo</t>
        </is>
      </c>
      <c r="C169" s="21" t="inlineStr">
        <is>
          <t>'Modifica ritaglio' riapre il crop sulla foto profilo gia' caricata</t>
        </is>
      </c>
      <c r="D169" s="21" t="inlineStr">
        <is>
          <t>Genitore con una foto profilo gia' caricata (vedi TC-113)</t>
        </is>
      </c>
      <c r="E169" s="21" t="inlineStr">
        <is>
          <t>Apri Profilo -&gt; menu foto -&gt; 'Modifica ritaglio'</t>
        </is>
      </c>
      <c r="F169" s="21" t="inlineStr">
        <is>
          <t>Si riapre il modal di ritaglio partendo dalla foto gia' caricata (non richiede di sceglierne una nuova), con zoom e centratura disponibili come nel primo upload</t>
        </is>
      </c>
      <c r="G169" s="21" t="inlineStr">
        <is>
          <t>DA TESTARE</t>
        </is>
      </c>
      <c r="H169" s="21">
        <f>IF(G169="BUG","BUG-"&amp;A169,IF(G169="FUNCTIONAL","FUNCTIONAL-"&amp;A169,""))</f>
        <v/>
      </c>
      <c r="I169" s="21" t="inlineStr">
        <is>
          <t>Media</t>
        </is>
      </c>
      <c r="L169" s="21" t="inlineStr">
        <is>
          <t>NUOVA FUNZIONALITA' (Fabrizio: 'nelle foto profilo deve essere possibile modificare anche la foto gia' caricata..zoom e centratura principalmente'). ImageCropModal.tsx ora accetta anche un URL remoto oltre a un File nuovo (crossOrigin="anonymous" per evitare l'errore 'tainted canvas' di canvas.toBlob() su immagini gia' su Supabase Storage). Vedi AvatarUploadButton.tsx.</t>
        </is>
      </c>
    </row>
    <row r="170">
      <c r="A170" s="21" t="inlineStr">
        <is>
          <t>TC-172</t>
        </is>
      </c>
      <c r="B170" s="21" t="inlineStr">
        <is>
          <t>Genitori - Profilo</t>
        </is>
      </c>
      <c r="C170" s="21" t="inlineStr">
        <is>
          <t>'Le mie prenotazioni' mostra l'elenco reale o lo stato vuoto</t>
        </is>
      </c>
      <c r="D170" s="21" t="inlineStr">
        <is>
          <t>Nessuna (gestisce anche il caso senza prenotazioni)</t>
        </is>
      </c>
      <c r="E170" s="21" t="inlineStr">
        <is>
          <t>Apri Profilo -&gt; 'Le mie prenotazioni'</t>
        </is>
      </c>
      <c r="F170" s="21" t="inlineStr">
        <is>
          <t>Si apre /prenotazioni con l'elenco reale delle prenotazioni (stato, settimane, bambini, prezzo con eventuale sconto barrato) oppure, se non ce ne sono, un messaggio di stato vuoto invece di una lista bianca</t>
        </is>
      </c>
      <c r="G170" s="21" t="inlineStr">
        <is>
          <t>DA TESTARE</t>
        </is>
      </c>
      <c r="H170" s="21">
        <f>IF(G170="BUG","BUG-"&amp;A170,IF(G170="FUNCTIONAL","FUNCTIONAL-"&amp;A170,""))</f>
        <v/>
      </c>
      <c r="I170" s="21" t="inlineStr">
        <is>
          <t>Alta</t>
        </is>
      </c>
      <c r="L170" s="21" t="inlineStr">
        <is>
          <t>NUOVA FUNZIONALITA' (Fabrizio: 'dobbiamo gia' attivarci per le mie prenotazioni... penso siano necessarie nella v1'). Prima era un MenuItem 'comingSoon' senza alcuna pagina dietro; ora e' una lista reale, sola lettura per la v1 (niente ancora cancellazione/modifica). Vedi lib/data/my-bookings.ts e app/(main)/prenotazioni/page.tsx.</t>
        </is>
      </c>
    </row>
    <row r="171">
      <c r="A171" s="21" t="inlineStr">
        <is>
          <t>TC-173</t>
        </is>
      </c>
      <c r="B171" s="21" t="inlineStr">
        <is>
          <t>Genitori - Attivita</t>
        </is>
      </c>
      <c r="C171" s="21" t="inlineStr">
        <is>
          <t>'Preferiti' nel profilo elenca le attivita' salvate</t>
        </is>
      </c>
      <c r="D171" s="21" t="inlineStr">
        <is>
          <t>Almeno un'attivita' salvata nei Preferiti (vedi TC-026)</t>
        </is>
      </c>
      <c r="E171" s="21" t="inlineStr">
        <is>
          <t>Salva un'attivita' dal cuore nel dettaglio -&gt; apri Profilo -&gt; 'Preferiti'</t>
        </is>
      </c>
      <c r="F171" s="21" t="inlineStr">
        <is>
          <t>L'attivita' salvata compare nella lista 'Preferiti'; se nessuna attivita' e' salvata, mostra lo stato vuoto invece di una lista bianca</t>
        </is>
      </c>
      <c r="G171" s="21" t="inlineStr">
        <is>
          <t>DA TESTARE</t>
        </is>
      </c>
      <c r="H171" s="21">
        <f>IF(G171="BUG","BUG-"&amp;A171,IF(G171="FUNCTIONAL","FUNCTIONAL-"&amp;A171,""))</f>
        <v/>
      </c>
      <c r="I171" s="21" t="inlineStr">
        <is>
          <t>Media</t>
        </is>
      </c>
      <c r="L171" s="21" t="inlineStr">
        <is>
          <t>NUOVA FUNZIONALITA' (Fabrizio: 'dobbiamo gia' attivarci per... preferiti penso siano necessarie nella v1'). Il cuore nel dettaglio ora salva/rimuove davvero (vedi TC-026, tabella supabase/schema.sql#favorites NON ancora applicata sul deploy reale). Vedi lib/data/favorites.ts, app/actions/favorites.ts, app/(main)/preferiti/page.tsx.</t>
        </is>
      </c>
    </row>
    <row r="172">
      <c r="A172" s="21" t="inlineStr">
        <is>
          <t>TC-174</t>
        </is>
      </c>
      <c r="B172" s="21" t="inlineStr">
        <is>
          <t>Genitori - Profilo</t>
        </is>
      </c>
      <c r="C172" s="21" t="inlineStr">
        <is>
          <t>Lingua e Tema mostrano il badge 'Non ancora attivo'; le Notifiche sono dentro Preferenze</t>
        </is>
      </c>
      <c r="D172" s="21" t="inlineStr">
        <is>
          <t>Nessuna</t>
        </is>
      </c>
      <c r="E172" s="21" t="inlineStr">
        <is>
          <t>Apri Profilo -&gt; Preferenze</t>
        </is>
      </c>
      <c r="F172" s="21" t="inlineStr">
        <is>
          <t>Le sezioni Lingua e Tema mostrano un badge 'Non ancora attivo' (i controlli restano funzionanti e salvano su DB, ma e' segnalato che non producono ancora un effetto reale in app); la sezione Notifiche (email/push/SMS) e' ora nella stessa pagina Preferenze invece che in una pagina separata</t>
        </is>
      </c>
      <c r="G172" s="21" t="inlineStr">
        <is>
          <t>DA TESTARE</t>
        </is>
      </c>
      <c r="H172" s="21">
        <f>IF(G172="BUG","BUG-"&amp;A172,IF(G172="FUNCTIONAL","FUNCTIONAL-"&amp;A172,""))</f>
        <v/>
      </c>
      <c r="I172" s="21" t="inlineStr">
        <is>
          <t>Bassa</t>
        </is>
      </c>
      <c r="L172" s="21" t="inlineStr">
        <is>
          <t>NUOVA FUNZIONALITA' (Fabrizio: 'le preferenze lingua, tema non fanno alcuna modifica' + 'le notifiche le metterei dentro le preferenze, non pensi?'). Vedi ProfilePreferencesSection.tsx. Le vecchie pagine /profile/notifiche e /center/account/notifiche restano come redirect verso Preferenze (non eliminate, per non rompere vecchi link/segnalibri).</t>
        </is>
      </c>
    </row>
    <row r="173">
      <c r="A173" s="21" t="inlineStr">
        <is>
          <t>TC-175</t>
        </is>
      </c>
      <c r="B173" s="21" t="inlineStr">
        <is>
          <t>Admin - Nuovi pannelli</t>
        </is>
      </c>
      <c r="C173" s="21" t="inlineStr">
        <is>
          <t>'Richieste (SLA)' mostra l'aggregato di tutti i centri</t>
        </is>
      </c>
      <c r="D173" s="21" t="inlineStr">
        <is>
          <t>Account Admin piattaforma di test</t>
        </is>
      </c>
      <c r="E173" s="21" t="inlineStr">
        <is>
          <t>Login Admin -&gt; 'Richieste (SLA)'</t>
        </is>
      </c>
      <c r="F173" s="21" t="inlineStr">
        <is>
          <t>Tabella con un centro per riga: totale richieste, aperte, tempo medio di risposta, eta' della richiesta aperta piu' vecchia; stato vuoto se non ci sono ancora richieste</t>
        </is>
      </c>
      <c r="G173" s="21" t="inlineStr">
        <is>
          <t>DA TESTARE</t>
        </is>
      </c>
      <c r="H173" s="21">
        <f>IF(G173="BUG","BUG-"&amp;A173,IF(G173="FUNCTIONAL","FUNCTIONAL-"&amp;A173,""))</f>
        <v/>
      </c>
      <c r="I173" s="21" t="inlineStr">
        <is>
          <t>Media</t>
        </is>
      </c>
      <c r="L173" s="21" t="inlineStr">
        <is>
          <t>NUOVA FUNZIONALITA' (Fabrizio ha chiesto cosa manca lato Admin tra le funzionalita' aggiunte di recente e ha scelto tutte e 3 le proposte). Serve a controllare la qualita' del servizio dei centri (chi risponde poco/lentamente ai genitori). Vedi lib/data/admin-inquiries.ts.</t>
        </is>
      </c>
    </row>
    <row r="174">
      <c r="A174" s="21" t="inlineStr">
        <is>
          <t>TC-176</t>
        </is>
      </c>
      <c r="B174" s="21" t="inlineStr">
        <is>
          <t>Admin - Nuovi pannelli</t>
        </is>
      </c>
      <c r="C174" s="21" t="inlineStr">
        <is>
          <t>'Presenze' confronta il tasso di assenza/ritardo tra centri</t>
        </is>
      </c>
      <c r="D174" s="21" t="inlineStr">
        <is>
          <t>Account Admin piattaforma di test</t>
        </is>
      </c>
      <c r="E174" s="21" t="inlineStr">
        <is>
          <t>Login Admin -&gt; 'Presenze'</t>
        </is>
      </c>
      <c r="F174" s="21" t="inlineStr">
        <is>
          <t>Tabella con un centro per riga: giorni registrati, assenze, ritardi, tasso assenza/ritardo, scostamento dalla media piattaforma (evidenziato in rosso se molto sopra media); stato vuoto se non ci sono ancora presenze registrate</t>
        </is>
      </c>
      <c r="G174" s="21" t="inlineStr">
        <is>
          <t>DA TESTARE</t>
        </is>
      </c>
      <c r="H174" s="21">
        <f>IF(G174="BUG","BUG-"&amp;A174,IF(G174="FUNCTIONAL","FUNCTIONAL-"&amp;A174,""))</f>
        <v/>
      </c>
      <c r="I174" s="21" t="inlineStr">
        <is>
          <t>Media</t>
        </is>
      </c>
      <c r="L174" s="21" t="inlineStr">
        <is>
          <t>NUOVA FUNZIONALITA' (Fabrizio ha chiesto cosa manca lato Admin tra le funzionalita' aggiunte di recente e ha scelto tutte e 3 le proposte). Non e' detto un tasso alto sia colpa del centro (puo' essere una registrazione poco accurata), ma e' un buon punto di partenza. Vedi lib/data/admin-attendance.ts.</t>
        </is>
      </c>
    </row>
    <row r="175">
      <c r="A175" s="21" t="inlineStr">
        <is>
          <t>TC-177</t>
        </is>
      </c>
      <c r="B175" s="21" t="inlineStr">
        <is>
          <t>Admin - Nuovi pannelli</t>
        </is>
      </c>
      <c r="C175" s="21" t="inlineStr">
        <is>
          <t>'Preferiti' elenca le attivita' con interesse alto e conversione bassa</t>
        </is>
      </c>
      <c r="D175" s="21" t="inlineStr">
        <is>
          <t>Account Admin piattaforma di test</t>
        </is>
      </c>
      <c r="E175" s="21" t="inlineStr">
        <is>
          <t>Login Admin -&gt; 'Preferiti'</t>
        </is>
      </c>
      <c r="F175" s="21" t="inlineStr">
        <is>
          <t>Tabella con attivita', centro, numero preferiti, numero prenotazioni ed etichetta 'Mai prenotata'/'Interesse alto' quando pertinente; stato vuoto se non ci sono ancora preferiti salvati</t>
        </is>
      </c>
      <c r="G175" s="21" t="inlineStr">
        <is>
          <t>DA TESTARE</t>
        </is>
      </c>
      <c r="H175" s="21">
        <f>IF(G175="BUG","BUG-"&amp;A175,IF(G175="FUNCTIONAL","FUNCTIONAL-"&amp;A175,""))</f>
        <v/>
      </c>
      <c r="I175" s="21" t="inlineStr">
        <is>
          <t>Bassa</t>
        </is>
      </c>
      <c r="L175" s="21" t="inlineStr">
        <is>
          <t>NUOVA FUNZIONALITA' (Fabrizio ha chiesto cosa manca lato Admin tra le funzionalita' aggiunte di recente e ha scelto tutte e 3 le proposte). Utile per contattare i centri o pianificare promozioni mirate sulle attivita' molto salvate ma poco prenotate. Vedi lib/data/admin-favorites.ts.</t>
        </is>
      </c>
    </row>
    <row r="176">
      <c r="A176" s="21" t="inlineStr">
        <is>
          <t>TC-178</t>
        </is>
      </c>
      <c r="B176" s="21" t="inlineStr">
        <is>
          <t>Gestore - Le mie richieste</t>
        </is>
      </c>
      <c r="C176" s="21" t="inlineStr">
        <is>
          <t>Pallino 'non letta' + selezione multipla + segna come letta/da leggere (genitore e gestore)</t>
        </is>
      </c>
      <c r="D176" s="21" t="inlineStr">
        <is>
          <t>Nessuna</t>
        </is>
      </c>
      <c r="E176" s="21" t="inlineStr">
        <is>
          <t>Genitore invia una richiesta -&gt; gestore la vede con il pallino rosso -&gt; selezionala -&gt; 'Segna come lette' -&gt; gestore risponde -&gt; genitore vede la risposta col pallino rosso -&gt; selezionala -&gt; 'Segna come lette'</t>
        </is>
      </c>
      <c r="F176" s="21" t="inlineStr">
        <is>
          <t>Il pallino rosso indica una richiesta/risposta non ancora vista dal lato corrente; sparisce dopo 'Segna come lette' e riappare con 'Segna come da leggere'; 'Seleziona tutte' spunta tutte le righe in una volta</t>
        </is>
      </c>
      <c r="G176" s="21" t="inlineStr">
        <is>
          <t>DA TESTARE</t>
        </is>
      </c>
      <c r="H176" s="21">
        <f>IF(G176="BUG","BUG-"&amp;A176,IF(G176="FUNCTIONAL","FUNCTIONAL-"&amp;A176,""))</f>
        <v/>
      </c>
      <c r="I176" s="21" t="inlineStr">
        <is>
          <t>Media</t>
        </is>
      </c>
      <c r="L176" s="21" t="inlineStr">
        <is>
          <t>NUOVA FUNZIONALITA' (Fabrizio: 'ci vuole la possibilita' di selezionarle tutte e segnare come gia' lette o da leggere' + 'deve essere notificato da entrambe le parti l'arrivo di un messaggio..con un pallino'). Vedi supabase/schema.sql#activity_inquiries (colonne read_by_parent/read_by_center), app/actions/inquiries.ts#markInquiriesReadAction, badge in app/center/layout.tsx e app/(main)/profile/page.tsx.</t>
        </is>
      </c>
    </row>
    <row r="177">
      <c r="A177" s="21" t="inlineStr">
        <is>
          <t>TC-179</t>
        </is>
      </c>
      <c r="B177" s="21" t="inlineStr">
        <is>
          <t>Genitori - Home</t>
        </is>
      </c>
      <c r="C177" s="21" t="inlineStr">
        <is>
          <t>La card di check-in si riduce a riepilogo dopo la risposta e si riapre per correggerla</t>
        </is>
      </c>
      <c r="D177" s="21" t="inlineStr">
        <is>
          <t>Prenotazione con settimana che copre oggi</t>
        </is>
      </c>
      <c r="E177" s="21" t="inlineStr">
        <is>
          <t>Rispondi al check-in dalla Home (es. 'Si') -&gt; osserva la card -&gt; tocca il riepilogo -&gt; cambia risposta</t>
        </is>
      </c>
      <c r="F177" s="21" t="inlineStr">
        <is>
          <t>Dopo la risposta la card grande si riduce a un riepilogo compatto (icona esito + nome bambino/attivita); toccando il riepilogo si riapre per correggere un errore di selezione, poi si richiude di nuovo con il nuovo esito</t>
        </is>
      </c>
      <c r="G177" s="21" t="inlineStr">
        <is>
          <t>DA TESTARE</t>
        </is>
      </c>
      <c r="H177" s="21">
        <f>IF(G177="BUG","BUG-"&amp;A177,IF(G177="FUNCTIONAL","FUNCTIONAL-"&amp;A177,""))</f>
        <v/>
      </c>
      <c r="I177" s="21" t="inlineStr">
        <is>
          <t>Media</t>
        </is>
      </c>
      <c r="L177" s="21" t="inlineStr">
        <is>
          <t>NUOVA FUNZIONALITA' (Fabrizio: 'dopo il click pero' dovrebbero chiudersi in una finestra piccola con le info di massima e sparire...deve rimanere gestibile perche' magari uno sbaglia a selelzionare...pero' si deve ridurre'). Vedi components/CheckinPrompt.tsx (stato 'expanded' per card).</t>
        </is>
      </c>
    </row>
    <row r="178">
      <c r="A178" s="21" t="inlineStr">
        <is>
          <t>TC-180</t>
        </is>
      </c>
      <c r="B178" s="21" t="inlineStr">
        <is>
          <t>Genitori - Home (Planner/Per Bambino)</t>
        </is>
      </c>
      <c r="C178" s="21" t="inlineStr">
        <is>
          <t>La riga di una settimana coperta mostra una chevron che indica che e' cliccabile</t>
        </is>
      </c>
      <c r="D178" s="21" t="inlineStr">
        <is>
          <t>Almeno una settimana coperta nel Planner</t>
        </is>
      </c>
      <c r="E178" s="21" t="inlineStr">
        <is>
          <t>Home -&gt; Planner -&gt; osserva una riga di settimana coperta</t>
        </is>
      </c>
      <c r="F178" s="21" t="inlineStr">
        <is>
          <t>La riga mostra una chevron (&gt;) accanto al nome attivita' e reagisce al passaggio del mouse/tocco (hover/active), segnalando chiaramente che porta alla scheda del campus</t>
        </is>
      </c>
      <c r="G178" s="21" t="inlineStr">
        <is>
          <t>DA TESTARE</t>
        </is>
      </c>
      <c r="H178" s="21">
        <f>IF(G178="BUG","BUG-"&amp;A178,IF(G178="FUNCTIONAL","FUNCTIONAL-"&amp;A178,""))</f>
        <v/>
      </c>
      <c r="I178" s="21" t="inlineStr">
        <is>
          <t>Bassa</t>
        </is>
      </c>
      <c r="L178" s="21" t="inlineStr">
        <is>
          <t>NUOVA FUNZIONALITA' (Fabrizio: 'nella selelzione nel pllanner delle settimane gia' prenotate manca un po' la UX che fa percepire il click che porta alla pagina di dettaglio del camp'). Vedi PlannerView.tsx (chevron + hover/active sulla riga).</t>
        </is>
      </c>
    </row>
    <row r="179">
      <c r="A179" s="21" t="inlineStr">
        <is>
          <t>TC-181</t>
        </is>
      </c>
      <c r="B179" s="21" t="inlineStr">
        <is>
          <t>Genitori - Home (Planner/Per Bambino)</t>
        </is>
      </c>
      <c r="C179" s="21" t="inlineStr">
        <is>
          <t>Vista 'Tutti' del Planner segnala quando i fratelli hanno campi diversi la stessa settimana</t>
        </is>
      </c>
      <c r="D179" s="21" t="inlineStr">
        <is>
          <t>Almeno 2 bambini, iscritti ad attivita' diverse nella stessa settimana di camp (dati di test da arricchire)</t>
        </is>
      </c>
      <c r="E179" s="21" t="inlineStr">
        <is>
          <t>Home -&gt; Planner -&gt; vista 'Tutti' -&gt; osserva una settimana in cui i bambini sono iscritti a campus diversi</t>
        </is>
      </c>
      <c r="F179" s="21" t="inlineStr">
        <is>
          <t>Sotto la riga della settimana compare una nota 'Campi diversi questa settimana: [Bambino] -&gt; [Attivita], [Bambino2] -&gt; [Attivita2]' invece di mostrare silenziosamente solo la prima attivita' trovata</t>
        </is>
      </c>
      <c r="G179" s="21" t="inlineStr">
        <is>
          <t>DA TESTARE</t>
        </is>
      </c>
      <c r="H179" s="21">
        <f>IF(G179="BUG","BUG-"&amp;A179,IF(G179="FUNCTIONAL","FUNCTIONAL-"&amp;A179,""))</f>
        <v/>
      </c>
      <c r="I179" s="21" t="inlineStr">
        <is>
          <t>Bassa</t>
        </is>
      </c>
      <c r="L179" s="21" t="inlineStr">
        <is>
          <t>Risposta alla domanda di Fabrizio: 'se due bambini della stessa famiglia nella stessa settimana hanno 2 campus diversi cosa succede?'. Il dato era gia' corretto (coveredKids per bambino) ma la vista aggregata lo nascondeva. Vedi PlannerView.tsx#hasDifferentCamps. Test implementato come fixme: richiede dati di test piu' ricchi (secondo bambino con iscrizione diversa), stessa lacuna gia' segnalata in TC-107.</t>
        </is>
      </c>
    </row>
    <row r="180">
      <c r="A180" s="21" t="inlineStr">
        <is>
          <t>TC-182</t>
        </is>
      </c>
      <c r="B180" s="21" t="inlineStr">
        <is>
          <t>Genitori - Profilo</t>
        </is>
      </c>
      <c r="C180" s="21" t="inlineStr">
        <is>
          <t>'Le mie prenotazioni' raggruppa per settimana/bambino/campus, sempre in ordine cronologico</t>
        </is>
      </c>
      <c r="D180" s="21" t="inlineStr">
        <is>
          <t>Almeno una prenotazione</t>
        </is>
      </c>
      <c r="E180" s="21" t="inlineStr">
        <is>
          <t>Apri /prenotazioni -&gt; usa i pulsanti 'Raggruppa per: Settimana/Bambino/Campus'</t>
        </is>
      </c>
      <c r="F180" s="21" t="inlineStr">
        <is>
          <t>La lista mostra intestazioni di gruppo (mese/nome bambino/nome campus) secondo il criterio scelto; sia le prenotazioni dentro ogni gruppo sia l'ordine dei gruppi stessi seguono sempre la cronologia (mai l'alfabeto), senza errori</t>
        </is>
      </c>
      <c r="G180" s="21" t="inlineStr">
        <is>
          <t>DA TESTARE</t>
        </is>
      </c>
      <c r="H180" s="21">
        <f>IF(G180="BUG","BUG-"&amp;A180,IF(G180="FUNCTIONAL","FUNCTIONAL-"&amp;A180,""))</f>
        <v/>
      </c>
      <c r="I180" s="21" t="inlineStr">
        <is>
          <t>Media</t>
        </is>
      </c>
      <c r="L180" s="21" t="inlineStr">
        <is>
          <t>AGGIORNATO (Fabrizio, dopo il primo giro: 'le vorrei raggruppate per filtro..ed ordinate sempre in ordine cronologico..più ordine'). Prima produceva solo una lista piatta riordinata; ora il criterio scelto crea vere intestazioni di gruppo. Vedi app/(main)/prenotazioni/PrenotazioniClient.tsx.</t>
        </is>
      </c>
    </row>
    <row r="181">
      <c r="A181" s="21" t="inlineStr">
        <is>
          <t>TC-183</t>
        </is>
      </c>
      <c r="B181" s="21" t="inlineStr">
        <is>
          <t>Gestore - Il mio account</t>
        </is>
      </c>
      <c r="C181" s="21" t="inlineStr">
        <is>
          <t>Il profilo personale del gestore mostra 'Ruolo in azienda' invece di genere/data di nascita</t>
        </is>
      </c>
      <c r="D181" s="21" t="inlineStr">
        <is>
          <t>Nessuna</t>
        </is>
      </c>
      <c r="E181" s="21" t="inlineStr">
        <is>
          <t>Login Gestore -&gt; 'Il mio account' -&gt; 'Modifica' -&gt; osserva i campi -&gt; scegli un ruolo in azienda -&gt; Salva -&gt; ricarica</t>
        </is>
      </c>
      <c r="F181" s="21" t="inlineStr">
        <is>
          <t>Non sono piu' presenti i campi Genere e Data di nascita (rilevanti solo per il genitore); e' presente 'Ruolo in azienda' (Titolare/Responsabile struttura/Amministrazione/Staff) che si salva e persiste dopo il reload; il profilo genitore resta invariato (continua a mostrare genere/data di nascita, non il ruolo in azienda)</t>
        </is>
      </c>
      <c r="G181" s="21" t="inlineStr">
        <is>
          <t>DA TESTARE</t>
        </is>
      </c>
      <c r="H181" s="21">
        <f>IF(G181="BUG","BUG-"&amp;A181,IF(G181="FUNCTIONAL","FUNCTIONAL-"&amp;A181,""))</f>
        <v/>
      </c>
      <c r="I181" s="21" t="inlineStr">
        <is>
          <t>Media</t>
        </is>
      </c>
      <c r="L181" s="21" t="inlineStr">
        <is>
          <t>NUOVA FUNZIONALITA' (Fabrizio: 'nella scheda profilo gestore forse non serve avere genere e data di nascita ma altre info piu' legate al business'). Richiede la colonna profiles.business_role (vedi supabase/schema.sql, script ALTER da applicare su Supabase). Vedi components/ProfileHeaderClient.tsx (showPersonalDetails/showBusinessRole), lib/data/profile.ts, app/actions/profile.ts.</t>
        </is>
      </c>
    </row>
    <row r="182">
      <c r="A182" s="21" t="inlineStr">
        <is>
          <t>TC-184</t>
        </is>
      </c>
      <c r="B182" s="21" t="inlineStr">
        <is>
          <t>Gestore - Le mie richieste</t>
        </is>
      </c>
      <c r="C182" s="21" t="inlineStr">
        <is>
          <t>'Le mie richieste' mostra un'intestazione di mese sopra le richieste (gestore e genitore)</t>
        </is>
      </c>
      <c r="D182" s="21" t="inlineStr">
        <is>
          <t>Almeno una richiesta esistente</t>
        </is>
      </c>
      <c r="E182" s="21" t="inlineStr">
        <is>
          <t>Login Gestore -&gt; 'Le mie richieste' -&gt; osserva le intestazioni sopra le sezioni 'Da rispondere'/'Storico'; login Genitore -&gt; 'Le mie richieste' -&gt; osserva le intestazioni sopra la lista</t>
        </is>
      </c>
      <c r="F182" s="21" t="inlineStr">
        <is>
          <t>Le richieste sono raggruppate per mese di creazione (es. 'LUGLIO 2026') con lo stesso stile del raggruppamento mensile gia' introdotto nel Registro presenze, sia lato gestore sia lato genitore</t>
        </is>
      </c>
      <c r="G182" s="21" t="inlineStr">
        <is>
          <t>DA TESTARE</t>
        </is>
      </c>
      <c r="H182" s="21">
        <f>IF(G182="BUG","BUG-"&amp;A182,IF(G182="FUNCTIONAL","FUNCTIONAL-"&amp;A182,""))</f>
        <v/>
      </c>
      <c r="I182" s="21" t="inlineStr">
        <is>
          <t>Bassa</t>
        </is>
      </c>
      <c r="L182" s="21" t="inlineStr">
        <is>
          <t>NUOVA FUNZIONALITA' (Fabrizio: 'fai tutto..e lato richieste vanno anche quelle raggruppate con la stessa logia del registro'). Vedi app/(main)/richieste/RichiesteGenitoreClient.tsx e app/center/richieste/RichiesteClient.tsx (monthBuckets/useMonthBuckets), stesso pattern di AttendanceClient.tsx.</t>
        </is>
      </c>
    </row>
    <row r="183">
      <c r="A183" s="21" t="inlineStr">
        <is>
          <t>TC-185</t>
        </is>
      </c>
      <c r="B183" s="21" t="inlineStr">
        <is>
          <t>Genitori - Profilo</t>
        </is>
      </c>
      <c r="C183" s="21" t="inlineStr">
        <is>
          <t>'Le mie prenotazioni' ha un solo controllo per il bambino, non due</t>
        </is>
      </c>
      <c r="D183" s="21" t="inlineStr">
        <is>
          <t>Nessuna</t>
        </is>
      </c>
      <c r="E183" s="21" t="inlineStr">
        <is>
          <t>Apri /prenotazioni -&gt; osserva i controlli sopra la lista</t>
        </is>
      </c>
      <c r="F183" s="21" t="inlineStr">
        <is>
          <t>Esiste un solo modo per organizzare la lista per bambino ('Raggruppa per: Bambino'); non c'e' piu' una riga di chip filtro separata ('Tutti i bambini/Nome1/Nome2') che duplicava lo stesso concetto</t>
        </is>
      </c>
      <c r="G183" s="21" t="inlineStr">
        <is>
          <t>DA TESTARE</t>
        </is>
      </c>
      <c r="H183" s="21">
        <f>IF(G183="BUG","BUG-"&amp;A183,IF(G183="FUNCTIONAL","FUNCTIONAL-"&amp;A183,""))</f>
        <v/>
      </c>
      <c r="I183" s="21" t="inlineStr">
        <is>
          <t>Bassa</t>
        </is>
      </c>
      <c r="L183" s="21" t="inlineStr">
        <is>
          <t>BUG DI UX CORRETTO (Fabrizio: 'il filtro per bambino va bene uno solo non due volte' - chiarito via domanda diretta: troppi controlli bambino sulla stessa pagina). Rimossa la riga di chip filtro ridondante in PrenotazioniClient.tsx, resta solo il pulsante di raggruppamento.</t>
        </is>
      </c>
    </row>
    <row r="184">
      <c r="A184" s="21" t="inlineStr">
        <is>
          <t>TC-186</t>
        </is>
      </c>
      <c r="B184" s="21" t="inlineStr">
        <is>
          <t>Gestore - Registro presenze</t>
        </is>
      </c>
      <c r="C184" s="21" t="inlineStr">
        <is>
          <t>La settimana di oggi è selezionata di default e ha il badge 'Oggi'</t>
        </is>
      </c>
      <c r="D184" s="21" t="inlineStr">
        <is>
          <t>Prenotazione con settimana che copre oggi</t>
        </is>
      </c>
      <c r="E184" s="21" t="inlineStr">
        <is>
          <t>Login Gestore -&gt; Registro presenze</t>
        </is>
      </c>
      <c r="F184" s="21" t="inlineStr">
        <is>
          <t>La settimana/attività che copre la data odierna è già selezionata all'apertura della pagina (non serve cliccarla) ed è marcata con un badge 'Oggi' nella sidebar di sinistra</t>
        </is>
      </c>
      <c r="G184" s="21" t="inlineStr">
        <is>
          <t>DA TESTARE</t>
        </is>
      </c>
      <c r="H184" s="21">
        <f>IF(G184="BUG","BUG-"&amp;A184,IF(G184="FUNCTIONAL","FUNCTIONAL-"&amp;A184,""))</f>
        <v/>
      </c>
      <c r="I184" s="21" t="inlineStr">
        <is>
          <t>Alta</t>
        </is>
      </c>
      <c r="L184" s="21" t="inlineStr">
        <is>
          <t>BUG TROVATO+CORRETTO (Fabrizio: 'faccio il check-in lato genitori ma non si aggiorna lato gestore'). Causa reale: la settimana selezionata di default era la prima per nome+data (quasi mai quella di oggi), e l'etichetta 'Settimana N' usava il testo grezzo di activity_weeks invece del calcolo canonico (stesso bug già corretto in checkin.ts) - il gestore finiva a guardare la settimana sbagliata. Vedi lib/data/attendance.ts (isCurrentWeek, weekLabel canonico) e AttendanceClient.tsx.</t>
        </is>
      </c>
    </row>
    <row r="185">
      <c r="A185" s="21" t="inlineStr">
        <is>
          <t>TC-187</t>
        </is>
      </c>
      <c r="B185" s="21" t="inlineStr">
        <is>
          <t>Gestore - Registro presenze</t>
        </is>
      </c>
      <c r="C185" s="21" t="inlineStr">
        <is>
          <t>'Registro presenze' nel menu mostra un badge per i check-in del genitore da confermare</t>
        </is>
      </c>
      <c r="D185" s="21" t="inlineStr">
        <is>
          <t>Almeno un check-in fatto dal genitore</t>
        </is>
      </c>
      <c r="E185" s="21" t="inlineStr">
        <is>
          <t>Genitore fa un check-in dalla Home -&gt; Gestore apre il pannello (qualsiasi pagina) e osserva la voce di menu 'Registro presenze'</t>
        </is>
      </c>
      <c r="F185" s="21" t="inlineStr">
        <is>
          <t>La voce 'Registro presenze' mostra un pallino/badge numerico rosso col conteggio dei check-in fatti dal genitore non ancora confermati/corretti dal gestore, stesso stile del badge già esistente su 'Le mie richieste'</t>
        </is>
      </c>
      <c r="G185" s="21" t="inlineStr">
        <is>
          <t>DA TESTARE</t>
        </is>
      </c>
      <c r="H185" s="21">
        <f>IF(G185="BUG","BUG-"&amp;A185,IF(G185="FUNCTIONAL","FUNCTIONAL-"&amp;A185,""))</f>
        <v/>
      </c>
      <c r="I185" s="21" t="inlineStr">
        <is>
          <t>Media</t>
        </is>
      </c>
      <c r="L185" s="21" t="inlineStr">
        <is>
          <t>NUOVA FUNZIONALITA' (Fabrizio: 'ci vuole il badge delle notifiche come sulle richieste su tutte le sezioni che prevedono una notifica da una parte all'altra'). Riusa la colonna esistente checked_in_by (nessuna nuova colonna DB): un record resta 'da confermare' finché il gestore non tocca esplicitamente lo stato (setAttendanceAction lo rimette a 'center'). Vedi lib/data/attendance.ts#getUnconfirmedParentCheckinsCount, app/center/layout.tsx.</t>
        </is>
      </c>
    </row>
    <row r="186">
      <c r="A186" s="21" t="inlineStr">
        <is>
          <t>TC-188</t>
        </is>
      </c>
      <c r="B186" s="21" t="inlineStr">
        <is>
          <t>Genitori - Le mie prenotazioni</t>
        </is>
      </c>
      <c r="C186" s="21" t="inlineStr">
        <is>
          <t>Dashboard 'Le mie prenotazioni' con Vista Elenco/Copertura/Calendario, copertura e statistiche</t>
        </is>
      </c>
      <c r="D186" s="21" t="inlineStr">
        <is>
          <t>Nessuna (gestisce anche account senza prenotazioni)</t>
        </is>
      </c>
      <c r="E186" s="21" t="inlineStr">
        <is>
          <t>Login Genitore -&gt; Le mie prenotazioni</t>
        </is>
      </c>
      <c r="F186" s="21" t="inlineStr">
        <is>
          <t>In cima è visibile la striscia 'Copertura dell'estate' (settimane organizzate/da organizzare) e 3 card statistiche (Attività prenotate, Speso finora, Prossimo impegno). Sotto, un selettore Vista con Elenco/Copertura/Calendario (Calendario mostra badge 'Presto' e un placeholder, le altre due mostrano contenuto reale)</t>
        </is>
      </c>
      <c r="G186" s="21" t="inlineStr">
        <is>
          <t>DA TESTARE</t>
        </is>
      </c>
      <c r="H186" s="21">
        <f>IF(G186="BUG","BUG-"&amp;A186,IF(G186="FUNCTIONAL","FUNCTIONAL-"&amp;A186,""))</f>
        <v/>
      </c>
      <c r="I186" s="21" t="inlineStr">
        <is>
          <t>Alta</t>
        </is>
      </c>
      <c r="L186" s="21" t="inlineStr">
        <is>
          <t>REDESIGN COMPLETO (richiesta di Fabrizio): 'Ridisegna completamente la schermata Le mie prenotazioni trasformandola in una dashboard di pianificazione familiare, non in un semplice elenco'. Vista/Raggruppamento/Ordinamento tenuti volutamente separati come richiesto. Copertura riusa lib/data/planner.ts (stessa logica già corretta del Planner Home). Vista Calendario è un placeholder 'Prossimamente' per non abbassare la qualità delle altre due viste in questo giro. Vedi PrenotazioniClient.tsx.</t>
        </is>
      </c>
    </row>
    <row r="187">
      <c r="A187" s="21" t="inlineStr">
        <is>
          <t>TC-189</t>
        </is>
      </c>
      <c r="B187" s="21" t="inlineStr">
        <is>
          <t>Genitori - Home</t>
        </is>
      </c>
      <c r="C187" s="21" t="inlineStr">
        <is>
          <t>'Già prenotato per [bambino]' in Home apre Le mie prenotazioni filtrata su quel bambino</t>
        </is>
      </c>
      <c r="D187" s="21" t="inlineStr">
        <is>
          <t>Almeno un bambino con una prenotazione</t>
        </is>
      </c>
      <c r="E187" s="21" t="inlineStr">
        <is>
          <t>Login Genitore -&gt; Home -&gt; vista 'Per bambino' -&gt; click su una riga sotto 'Già prenotato per [nome]'</t>
        </is>
      </c>
      <c r="F187" s="21" t="inlineStr">
        <is>
          <t>Si apre /prenotazioni?kid=[id bambino], con il filtro rapido bambino già impostato su quel figlio (non più la scheda del campus)</t>
        </is>
      </c>
      <c r="G187" s="21" t="inlineStr">
        <is>
          <t>DA TESTARE</t>
        </is>
      </c>
      <c r="H187" s="21">
        <f>IF(G187="BUG","BUG-"&amp;A187,IF(G187="FUNCTIONAL","FUNCTIONAL-"&amp;A187,""))</f>
        <v/>
      </c>
      <c r="I187" s="21" t="inlineStr">
        <is>
          <t>Alta</t>
        </is>
      </c>
      <c r="L187" s="21" t="inlineStr">
        <is>
          <t>BUG DI UX CORRETTO (Fabrizio: 'i record sotto Già prenotato per Franca devono linkare a le mie prenotazioni con i filtri per il bambino selezionato, e non alla scheda del campus. Così a quel punto posso gestire (annullare, modificare ecc.)'). Vedi components/PerBambinoView.tsx.</t>
        </is>
      </c>
    </row>
    <row r="188">
      <c r="A188" s="21" t="inlineStr">
        <is>
          <t>TC-190</t>
        </is>
      </c>
      <c r="B188" s="21" t="inlineStr">
        <is>
          <t>Genitori - Le mie prenotazioni</t>
        </is>
      </c>
      <c r="C188" s="21" t="inlineStr">
        <is>
          <t>Azioni rapide (Dettagli/Modifica/Annulla/Contatta) rispettano la finestra di preavviso del centro</t>
        </is>
      </c>
      <c r="D188" s="21" t="inlineStr">
        <is>
          <t>Almeno una prenotazione confermata</t>
        </is>
      </c>
      <c r="E188" s="21" t="inlineStr">
        <is>
          <t>Login Genitore -&gt; Le mie prenotazioni -&gt; osserva le azioni rapide su una card</t>
        </is>
      </c>
      <c r="F188" s="21" t="inlineStr">
        <is>
          <t>'Dettagli' e 'Contatta il gestore' sempre visibili. Se entro la finestra di preavviso del centro (default 3 giorni, configurabile): 'Modifica' e 'Annulla' visibili e funzionanti. Se fuori dalla finestra: nota 'Fuori dai N giorni di preavviso - contatta il centro per modifiche' al posto dei due pulsanti</t>
        </is>
      </c>
      <c r="G188" s="21" t="inlineStr">
        <is>
          <t>DA TESTARE</t>
        </is>
      </c>
      <c r="H188" s="21">
        <f>IF(G188="BUG","BUG-"&amp;A188,IF(G188="FUNCTIONAL","FUNCTIONAL-"&amp;A188,""))</f>
        <v/>
      </c>
      <c r="I188" s="21" t="inlineStr">
        <is>
          <t>Alta</t>
        </is>
      </c>
      <c r="L188" s="21" t="inlineStr">
        <is>
          <t>Risposta alla domanda di Fabrizio: 'il processo di eventuale annullamento della prenotazione: entro quanto si può fare? Può essere una variabile gestibile da ciascun centro estivo?' - SI: centers.cancellation_window_days (default 3), configurabile dal Gestore in 'Il mio centro' (vedi TC-192). Nessuna nuova policy RLS necessaria: il genitore ha già CRUD completo sulle proprie prenotazioni. Vedi lib/data/my-bookings.ts (canCancelOrModify) e app/actions/bookings.ts.</t>
        </is>
      </c>
    </row>
    <row r="189">
      <c r="A189" s="21" t="inlineStr">
        <is>
          <t>TC-191</t>
        </is>
      </c>
      <c r="B189" s="21" t="inlineStr">
        <is>
          <t>Genitori - Le mie prenotazioni</t>
        </is>
      </c>
      <c r="C189" s="21" t="inlineStr">
        <is>
          <t>Pagina 'Modifica prenotazione' permette di cambiare le settimane e ricalcola il totale</t>
        </is>
      </c>
      <c r="D189" s="21" t="inlineStr">
        <is>
          <t>Prenotazione modificabile (entro la finestra di preavviso)</t>
        </is>
      </c>
      <c r="E189" s="21" t="inlineStr">
        <is>
          <t>Login Genitore -&gt; Le mie prenotazioni -&gt; 'Modifica' su una prenotazione -&gt; cambia le settimane selezionate -&gt; Salva modifiche</t>
        </is>
      </c>
      <c r="F189" s="21" t="inlineStr">
        <is>
          <t>La pagina mostra la griglia delle settimane con quelle attuali già selezionate, un'anteprima 'Nuovo totale stimato' che si aggiorna in tempo reale, e al salvataggio booking_weeks viene aggiornato e il totale ricalcolato con la stessa formula della prenotazione originale (sconto multi-settimana + sconto famiglia)</t>
        </is>
      </c>
      <c r="G189" s="21" t="inlineStr">
        <is>
          <t>DA TESTARE</t>
        </is>
      </c>
      <c r="H189" s="21">
        <f>IF(G189="BUG","BUG-"&amp;A189,IF(G189="FUNCTIONAL","FUNCTIONAL-"&amp;A189,""))</f>
        <v/>
      </c>
      <c r="I189" s="21" t="inlineStr">
        <is>
          <t>Alta</t>
        </is>
      </c>
      <c r="L189" s="21" t="inlineStr">
        <is>
          <t>NUOVA FUNZIONALITA' richiesta esplicitamente da Fabrizio: 'Possiamo aggiungere - SOLO PER TESTARE - la possibilità di modificare una prenotazione così posso verificare cosa succede lato gestore?' - implementata come funzionalità reale (non un placeholder finto), con il limite noto che lo sconto invito eventuale non viene riapplicato in fase di modifica (si applica una sola volta alla creazione). Vedi app/prenotazioni/[id]/modifica/ModificaPrenotazioneClient.tsx e app/actions/bookings.ts#updateBookingWeeksAction.</t>
        </is>
      </c>
    </row>
    <row r="190">
      <c r="A190" s="21" t="inlineStr">
        <is>
          <t>TC-192</t>
        </is>
      </c>
      <c r="B190" s="21" t="inlineStr">
        <is>
          <t>Gestore - Il mio centro</t>
        </is>
      </c>
      <c r="C190" s="21" t="inlineStr">
        <is>
          <t>Il centro può configurare i giorni di preavviso per annullo/modifica prenotazione</t>
        </is>
      </c>
      <c r="D190" s="21" t="inlineStr">
        <is>
          <t>Account collegato a un centro</t>
        </is>
      </c>
      <c r="E190" s="21" t="inlineStr">
        <is>
          <t>Login Gestore -&gt; Il mio centro -&gt; sezione 'Cancellazioni e modifiche' -&gt; modifica 'Giorni di preavviso richiesti' -&gt; Salva</t>
        </is>
      </c>
      <c r="F190" s="21" t="inlineStr">
        <is>
          <t>Il valore viene salvato su centers.cancellation_window_days e si applica subito lato genitore (Le mie prenotazioni) per decidere se Modifica/Annulla sono disponibili in autonomia oppure serve contattare il centro</t>
        </is>
      </c>
      <c r="G190" s="21" t="inlineStr">
        <is>
          <t>DA TESTARE</t>
        </is>
      </c>
      <c r="H190" s="21">
        <f>IF(G190="BUG","BUG-"&amp;A190,IF(G190="FUNCTIONAL","FUNCTIONAL-"&amp;A190,""))</f>
        <v/>
      </c>
      <c r="I190" s="21" t="inlineStr">
        <is>
          <t>Alta</t>
        </is>
      </c>
      <c r="L190" s="21" t="inlineStr">
        <is>
          <t>Risposta diretta alla domanda di Fabrizio sulla policy di cancellazione (vedi anche TC-190). Default 3 giorni se il gestore non personalizza nulla. Vedi app/center/profile/CenterProfileClient.tsx, app/actions/center.ts, supabase/schema.sql (centers.cancellation_window_days).</t>
        </is>
      </c>
    </row>
    <row r="191">
      <c r="A191" s="21" t="inlineStr">
        <is>
          <t>TC-N01</t>
        </is>
      </c>
      <c r="B191" s="21" t="inlineStr">
        <is>
          <t>NEXTGEN - Setup</t>
        </is>
      </c>
      <c r="C191" s="21" t="inlineStr">
        <is>
          <t>/nextgen raggiungibile da un genitore autenticato</t>
        </is>
      </c>
      <c r="D191" s="21" t="inlineStr">
        <is>
          <t>Account genitore di test</t>
        </is>
      </c>
      <c r="E191" s="21" t="inlineStr">
        <is>
          <t>Login Genitore -&gt; vai su /nextgen</t>
        </is>
      </c>
      <c r="F191" s="21" t="inlineStr">
        <is>
          <t>La pagina si apre, mostra il badge 'NextGen' e i dati del genitore (bambini) letti tramite lo stesso layer dati di LEGACY</t>
        </is>
      </c>
      <c r="G191" s="21" t="inlineStr">
        <is>
          <t>DA TESTARE</t>
        </is>
      </c>
      <c r="H191" s="21">
        <f>IF(G191="BUG","BUG-"&amp;A191,IF(G191="FUNCTIONAL","FUNCTIONAL-"&amp;A191,""))</f>
        <v/>
      </c>
      <c r="I191" s="21" t="inlineStr">
        <is>
          <t>Alta</t>
        </is>
      </c>
      <c r="L191" s="21" t="inlineStr">
        <is>
          <t>SPRINT 0 (avvio V2 NEXTGEN, richiesta di Fabrizio: 'creare una Versione 2 parallela del frontend, mantenendo completamente intatta la Versione 1'). Nuovo namespace /nextgen/..., stesso backend/DB/auth/servizi di LEGACY (app/(main), app/center, app/admin — invariati). Vedi app/nextgen/layout.tsx, app/nextgen/page.tsx.</t>
        </is>
      </c>
    </row>
    <row r="192">
      <c r="A192" s="21" t="inlineStr">
        <is>
          <t>TC-N02</t>
        </is>
      </c>
      <c r="B192" s="21" t="inlineStr">
        <is>
          <t>NEXTGEN - Setup</t>
        </is>
      </c>
      <c r="C192" s="21" t="inlineStr">
        <is>
          <t>/nextgen/center raggiungibile da un gestore</t>
        </is>
      </c>
      <c r="D192" s="21" t="inlineStr">
        <is>
          <t>Account gestore di test collegato a un centro</t>
        </is>
      </c>
      <c r="E192" s="21" t="inlineStr">
        <is>
          <t>Login Gestore -&gt; vai su /nextgen/center</t>
        </is>
      </c>
      <c r="F192" s="21" t="inlineStr">
        <is>
          <t>La pagina si apre, mostra il badge 'NextGen' e il nome del centro collegato tramite lib/data/center-admin.ts (stesso layer di LEGACY)</t>
        </is>
      </c>
      <c r="G192" s="21" t="inlineStr">
        <is>
          <t>DA TESTARE</t>
        </is>
      </c>
      <c r="H192" s="21">
        <f>IF(G192="BUG","BUG-"&amp;A192,IF(G192="FUNCTIONAL","FUNCTIONAL-"&amp;A192,""))</f>
        <v/>
      </c>
      <c r="I192" s="21" t="inlineStr">
        <is>
          <t>Alta</t>
        </is>
      </c>
      <c r="L192" s="21" t="inlineStr">
        <is>
          <t>SPRINT 0. Vedi app/nextgen/center/layout.tsx, app/nextgen/center/page.tsx.</t>
        </is>
      </c>
    </row>
    <row r="193">
      <c r="A193" s="21" t="inlineStr">
        <is>
          <t>TC-N03</t>
        </is>
      </c>
      <c r="B193" s="21" t="inlineStr">
        <is>
          <t>NEXTGEN - Setup</t>
        </is>
      </c>
      <c r="C193" s="21" t="inlineStr">
        <is>
          <t>/nextgen/admin raggiungibile da un platform_admin</t>
        </is>
      </c>
      <c r="D193" s="21" t="inlineStr">
        <is>
          <t>Account platform_admin di test</t>
        </is>
      </c>
      <c r="E193" s="21" t="inlineStr">
        <is>
          <t>Login Admin -&gt; vai su /nextgen/admin</t>
        </is>
      </c>
      <c r="F193" s="21" t="inlineStr">
        <is>
          <t>La pagina si apre e mostra il badge 'NextGen'</t>
        </is>
      </c>
      <c r="G193" s="21" t="inlineStr">
        <is>
          <t>DA TESTARE</t>
        </is>
      </c>
      <c r="H193" s="21">
        <f>IF(G193="BUG","BUG-"&amp;A193,IF(G193="FUNCTIONAL","FUNCTIONAL-"&amp;A193,""))</f>
        <v/>
      </c>
      <c r="I193" s="21" t="inlineStr">
        <is>
          <t>Media</t>
        </is>
      </c>
      <c r="L193" s="21" t="inlineStr">
        <is>
          <t>SPRINT 0. Vedi app/nextgen/admin/layout.tsx, app/nextgen/admin/page.tsx.</t>
        </is>
      </c>
    </row>
    <row r="194">
      <c r="A194" s="21" t="inlineStr">
        <is>
          <t>TC-N04</t>
        </is>
      </c>
      <c r="B194" s="21" t="inlineStr">
        <is>
          <t>NEXTGEN - Setup</t>
        </is>
      </c>
      <c r="C194" s="21" t="inlineStr">
        <is>
          <t>Un genitore non può accedere a /nextgen/center</t>
        </is>
      </c>
      <c r="D194" s="21" t="inlineStr">
        <is>
          <t>Account genitore di test (ruolo parent)</t>
        </is>
      </c>
      <c r="E194" s="21" t="inlineStr">
        <is>
          <t>Login Genitore -&gt; vai su /nextgen/center</t>
        </is>
      </c>
      <c r="F194" s="21" t="inlineStr">
        <is>
          <t>Redirect automatico a /nextgen, nessun contenuto Gestore mostrato</t>
        </is>
      </c>
      <c r="G194" s="21" t="inlineStr">
        <is>
          <t>DA TESTARE</t>
        </is>
      </c>
      <c r="H194" s="21">
        <f>IF(G194="BUG","BUG-"&amp;A194,IF(G194="FUNCTIONAL","FUNCTIONAL-"&amp;A194,""))</f>
        <v/>
      </c>
      <c r="I194" s="21" t="inlineStr">
        <is>
          <t>Alta</t>
        </is>
      </c>
      <c r="L194" s="21" t="inlineStr">
        <is>
          <t>SPRINT 0 - stesso schema di guard-per-ruolo di LEGACY (app/center/layout.tsx), replicato nel nuovo namespace.</t>
        </is>
      </c>
    </row>
    <row r="195">
      <c r="A195" s="21" t="inlineStr">
        <is>
          <t>TC-N05</t>
        </is>
      </c>
      <c r="B195" s="21" t="inlineStr">
        <is>
          <t>NEXTGEN - Setup</t>
        </is>
      </c>
      <c r="C195" s="21" t="inlineStr">
        <is>
          <t>Un genitore non può accedere a /nextgen/admin</t>
        </is>
      </c>
      <c r="D195" s="21" t="inlineStr">
        <is>
          <t>Account genitore di test (ruolo parent)</t>
        </is>
      </c>
      <c r="E195" s="21" t="inlineStr">
        <is>
          <t>Login Genitore -&gt; vai su /nextgen/admin</t>
        </is>
      </c>
      <c r="F195" s="21" t="inlineStr">
        <is>
          <t>Redirect automatico a /nextgen, nessun contenuto Admin mostrato</t>
        </is>
      </c>
      <c r="G195" s="21" t="inlineStr">
        <is>
          <t>DA TESTARE</t>
        </is>
      </c>
      <c r="H195" s="21">
        <f>IF(G195="BUG","BUG-"&amp;A195,IF(G195="FUNCTIONAL","FUNCTIONAL-"&amp;A195,""))</f>
        <v/>
      </c>
      <c r="I195" s="21" t="inlineStr">
        <is>
          <t>Alta</t>
        </is>
      </c>
      <c r="L195" s="21" t="inlineStr">
        <is>
          <t>SPRINT 0.</t>
        </is>
      </c>
    </row>
    <row r="196">
      <c r="A196" s="21" t="inlineStr">
        <is>
          <t>TC-N06</t>
        </is>
      </c>
      <c r="B196" s="21" t="inlineStr">
        <is>
          <t>NEXTGEN - Setup</t>
        </is>
      </c>
      <c r="C196" s="21" t="inlineStr">
        <is>
          <t>Un utente non autenticato viene rediretto al login da /nextgen</t>
        </is>
      </c>
      <c r="D196" s="21" t="inlineStr">
        <is>
          <t>Nessuna sessione attiva</t>
        </is>
      </c>
      <c r="E196" s="21" t="inlineStr">
        <is>
          <t>Senza login, vai direttamente su /nextgen</t>
        </is>
      </c>
      <c r="F196" s="21" t="inlineStr">
        <is>
          <t>Redirect a /auth/login?next=/nextgen (stesso comportamento di LEGACY)</t>
        </is>
      </c>
      <c r="G196" s="21" t="inlineStr">
        <is>
          <t>DA TESTARE</t>
        </is>
      </c>
      <c r="H196" s="21">
        <f>IF(G196="BUG","BUG-"&amp;A196,IF(G196="FUNCTIONAL","FUNCTIONAL-"&amp;A196,""))</f>
        <v/>
      </c>
      <c r="I196" s="21" t="inlineStr">
        <is>
          <t>Alta</t>
        </is>
      </c>
      <c r="L196" s="21" t="inlineStr">
        <is>
          <t>SPRINT 0.</t>
        </is>
      </c>
    </row>
    <row r="197">
      <c r="A197" s="21" t="inlineStr">
        <is>
          <t>TC-N07</t>
        </is>
      </c>
      <c r="B197" s="21" t="inlineStr">
        <is>
          <t>NEXTGEN - Dashboard Genitore</t>
        </is>
      </c>
      <c r="C197" s="21" t="inlineStr">
        <is>
          <t>La copertura dell'estate è il primo contenuto mostrato in home</t>
        </is>
      </c>
      <c r="D197" s="21" t="inlineStr">
        <is>
          <t>Account genitore di test</t>
        </is>
      </c>
      <c r="E197" s="21" t="inlineStr">
        <is>
          <t>Login Genitore -&gt; vai su /nextgen</t>
        </is>
      </c>
      <c r="F197" s="21" t="inlineStr">
        <is>
          <t>Prima di tutto (sopra prossimi impegni e statistiche) è visibile una card con la copertura delle settimane (organizzato/parzialmente/scoperto) e un messaggio di sintesi</t>
        </is>
      </c>
      <c r="G197" s="21" t="inlineStr">
        <is>
          <t>DA TESTARE</t>
        </is>
      </c>
      <c r="H197" s="21">
        <f>IF(G197="BUG","BUG-"&amp;A197,IF(G197="FUNCTIONAL","FUNCTIONAL-"&amp;A197,""))</f>
        <v/>
      </c>
      <c r="I197" s="21" t="inlineStr">
        <is>
          <t>Alta</t>
        </is>
      </c>
      <c r="L197" s="21" t="inlineStr">
        <is>
          <t>SPRINT 1 (redesign Dashboard Genitore NEXTGEN, richiesta di Fabrizio: la home deve rispondere a 'la mia famiglia è organizzata per le prossime settimane?' invece di 'quali prenotazioni ho?'). Riusa lib/data/planner.ts (stessa logica del Planner LEGACY). Vedi app/nextgen/page.tsx, app/nextgen/HomeDashboardClient.tsx.</t>
        </is>
      </c>
    </row>
    <row r="198">
      <c r="A198" s="21" t="inlineStr">
        <is>
          <t>TC-N08</t>
        </is>
      </c>
      <c r="B198" s="21" t="inlineStr">
        <is>
          <t>NEXTGEN - Dashboard Genitore</t>
        </is>
      </c>
      <c r="C198" s="21" t="inlineStr">
        <is>
          <t>L'elenco completo prenotazioni è secondario, collassato di default</t>
        </is>
      </c>
      <c r="D198" s="21" t="inlineStr">
        <is>
          <t>Almeno una prenotazione</t>
        </is>
      </c>
      <c r="E198" s="21" t="inlineStr">
        <is>
          <t>Login Genitore -&gt; /nextgen -&gt; scorri fino a 'Tutte le prenotazioni' -&gt; espandi</t>
        </is>
      </c>
      <c r="F198" s="21" t="inlineStr">
        <is>
          <t>Di default i controlli Raggruppa/Ordina non sono visibili (elenco collassato) - una volta espanso, appaiono i due controlli separati (Raggruppa: Settimana/Mese/Figlio/Attività/Stato; Ordina: Data/Prezzo/Nome) e un link 'Gestisci (modifica/annulla)' verso /prenotazioni</t>
        </is>
      </c>
      <c r="G198" s="21" t="inlineStr">
        <is>
          <t>DA TESTARE</t>
        </is>
      </c>
      <c r="H198" s="21">
        <f>IF(G198="BUG","BUG-"&amp;A198,IF(G198="FUNCTIONAL","FUNCTIONAL-"&amp;A198,""))</f>
        <v/>
      </c>
      <c r="I198" s="21" t="inlineStr">
        <is>
          <t>Media</t>
        </is>
      </c>
      <c r="L198" s="21" t="inlineStr">
        <is>
          <t>SPRINT 1 - scelta di scope deliberata: le azioni di modifica/annullo restano su /prenotazioni (LEGACY) per questo sprint, che è focalizzato sulla sintesi non sulla gestione transazionale. Vista/Raggruppamento/Ordinamento tenuti separati come richiesto, ma volutamente a basso peso visivo (in fondo, collassati).</t>
        </is>
      </c>
    </row>
    <row r="199">
      <c r="A199" s="21" t="inlineStr">
        <is>
          <t>TC-N09</t>
        </is>
      </c>
      <c r="B199" s="21" t="inlineStr">
        <is>
          <t>NEXTGEN - Dashboard Genitore</t>
        </is>
      </c>
      <c r="C199" s="21" t="inlineStr">
        <is>
          <t>Statistiche sintetiche (confermate/in attesa/speso) sempre visibili</t>
        </is>
      </c>
      <c r="D199" s="21" t="inlineStr">
        <is>
          <t>Nessuna (gestisce anche account senza prenotazioni)</t>
        </is>
      </c>
      <c r="E199" s="21" t="inlineStr">
        <is>
          <t>Login Genitore -&gt; vai su /nextgen</t>
        </is>
      </c>
      <c r="F199" s="21" t="inlineStr">
        <is>
          <t>3 tile compatte sempre visibili: numero prenotazioni Confermate, numero In attesa, Speso finora (€)</t>
        </is>
      </c>
      <c r="G199" s="21" t="inlineStr">
        <is>
          <t>DA TESTARE</t>
        </is>
      </c>
      <c r="H199" s="21">
        <f>IF(G199="BUG","BUG-"&amp;A199,IF(G199="FUNCTIONAL","FUNCTIONAL-"&amp;A199,""))</f>
        <v/>
      </c>
      <c r="I199" s="21" t="inlineStr">
        <is>
          <t>Media</t>
        </is>
      </c>
      <c r="L199" s="21" t="inlineStr">
        <is>
          <t>SPRINT 1 - riepilogo pianificazione + stato prenotazioni unificati in un'unica riga di 3 tile, per non duplicare l'indicatore di copertura già mostrato in cima.</t>
        </is>
      </c>
    </row>
    <row r="200">
      <c r="A200" s="21" t="inlineStr">
        <is>
          <t>TC-N10</t>
        </is>
      </c>
      <c r="B200" s="21" t="inlineStr">
        <is>
          <t>NEXTGEN - Ricerca e scoperta</t>
        </is>
      </c>
      <c r="C200" s="21" t="inlineStr">
        <is>
          <t>/nextgen/search mostra risultati ordinati con motivazioni, senza pannelli filtro multipli</t>
        </is>
      </c>
      <c r="D200" s="21" t="inlineStr">
        <is>
          <t>Account genitore di test</t>
        </is>
      </c>
      <c r="E200" s="21" t="inlineStr">
        <is>
          <t>Login Genitore -&gt; /nextgen -&gt; 'Scopri attività'</t>
        </is>
      </c>
      <c r="F200" s="21" t="inlineStr">
        <is>
          <t>La pagina mostra: campo di ricerca testuale, pulsante 'Usa la mia posizione', chip bambino (se 2+ bambini) - NESSUN pannello età/prezzo/zona/tag/servizi separato. Ogni risultato mostra motivazioni leggibili (es. 'Piace a Piero', 'Vicino a te') sopra la card</t>
        </is>
      </c>
      <c r="G200" s="21" t="inlineStr">
        <is>
          <t>DA TESTARE</t>
        </is>
      </c>
      <c r="H200" s="21">
        <f>IF(G200="BUG","BUG-"&amp;A200,IF(G200="FUNCTIONAL","FUNCTIONAL-"&amp;A200,""))</f>
        <v/>
      </c>
      <c r="I200" s="21" t="inlineStr">
        <is>
          <t>Alta</t>
        </is>
      </c>
      <c r="L200" s="21" t="inlineStr">
        <is>
          <t>SPRINT 2 (richiesta di Fabrizio: 'ridurre i filtri, utilizzare maggiormente il contesto del genitore, introdurre suggerimenti intelligenti'). Nuovo motore lib/nextgen/smart-search.ts, riusa lib/matching.ts#matchPercentForKid (nessuna duplicazione dello scoring età/interessi/rating). Vedi app/nextgen/search/page.tsx, SearchDiscoveryClient.tsx.</t>
        </is>
      </c>
    </row>
    <row r="201">
      <c r="A201" s="21" t="inlineStr">
        <is>
          <t>TC-N11</t>
        </is>
      </c>
      <c r="B201" s="21" t="inlineStr">
        <is>
          <t>NEXTGEN - Ricerca e scoperta</t>
        </is>
      </c>
      <c r="C201" s="21" t="inlineStr">
        <is>
          <t>Il link 'Scopri attività' nella Dashboard porta alla Ricerca NEXTGEN</t>
        </is>
      </c>
      <c r="D201" s="21" t="inlineStr">
        <is>
          <t>Nessuna</t>
        </is>
      </c>
      <c r="E201" s="21" t="inlineStr">
        <is>
          <t>Login Genitore -&gt; /nextgen -&gt; click su 'Scopri attività' (accanto alla card di copertura)</t>
        </is>
      </c>
      <c r="F201" s="21" t="inlineStr">
        <is>
          <t>Naviga a /nextgen/search</t>
        </is>
      </c>
      <c r="G201" s="21" t="inlineStr">
        <is>
          <t>DA TESTARE</t>
        </is>
      </c>
      <c r="H201" s="21">
        <f>IF(G201="BUG","BUG-"&amp;A201,IF(G201="FUNCTIONAL","FUNCTIONAL-"&amp;A201,""))</f>
        <v/>
      </c>
      <c r="I201" s="21" t="inlineStr">
        <is>
          <t>Media</t>
        </is>
      </c>
      <c r="L201" s="21" t="inlineStr">
        <is>
          <t>SPRINT 2 - unico punto di ingresso aggiunto alla Dashboard Sprint 1.</t>
        </is>
      </c>
    </row>
    <row r="202">
      <c r="A202" s="21" t="inlineStr">
        <is>
          <t>TC-N12</t>
        </is>
      </c>
      <c r="B202" s="21" t="inlineStr">
        <is>
          <t>NEXTGEN - Ricerca e scoperta</t>
        </is>
      </c>
      <c r="C202" s="21" t="inlineStr">
        <is>
          <t>Il filtro testuale per nome riduce correttamente i risultati</t>
        </is>
      </c>
      <c r="D202" s="21" t="inlineStr">
        <is>
          <t>Nessuna</t>
        </is>
      </c>
      <c r="E202" s="21" t="inlineStr">
        <is>
          <t>In /nextgen/search, scrivi un nome che non esiste in nessuna attività</t>
        </is>
      </c>
      <c r="F202" s="21" t="inlineStr">
        <is>
          <t>Messaggio 'Nessuna attività trovata.'</t>
        </is>
      </c>
      <c r="G202" s="21" t="inlineStr">
        <is>
          <t>DA TESTARE</t>
        </is>
      </c>
      <c r="H202" s="21">
        <f>IF(G202="BUG","BUG-"&amp;A202,IF(G202="FUNCTIONAL","FUNCTIONAL-"&amp;A202,""))</f>
        <v/>
      </c>
      <c r="I202" s="21" t="inlineStr">
        <is>
          <t>Bassa</t>
        </is>
      </c>
      <c r="L202" s="21" t="inlineStr">
        <is>
          <t>SPRINT 2 - unico filtro manuale rimasto oltre al bambino e alla posizione, per scelta di scope (prezzo/servizi restano informazioni sulla card, non filtri, in questo sprint).</t>
        </is>
      </c>
    </row>
    <row r="203">
      <c r="A203" s="21" t="inlineStr">
        <is>
          <t>TC-N13</t>
        </is>
      </c>
      <c r="B203" s="21" t="inlineStr">
        <is>
          <t>NEXTGEN - Planner</t>
        </is>
      </c>
      <c r="C203" s="21" t="inlineStr">
        <is>
          <t>/nextgen/planner mostra la timeline familiare completa (13 settimane)</t>
        </is>
      </c>
      <c r="D203" s="21" t="inlineStr">
        <is>
          <t>Account genitore di test</t>
        </is>
      </c>
      <c r="E203" s="21" t="inlineStr">
        <is>
          <t>Login Genitore -&gt; /nextgen -&gt; 'Apri il planner completo' (o tab Planner)</t>
        </is>
      </c>
      <c r="F203" s="21" t="inlineStr">
        <is>
          <t>La pagina mostra: copertura (X di Y settimane coperte + barra), timeline con tutte le 13 settimane (Sett. 1...Sett. 13), stato per ciascuna (coperta/scoperta/non ti serve)</t>
        </is>
      </c>
      <c r="G203" s="21" t="inlineStr">
        <is>
          <t>DA TESTARE</t>
        </is>
      </c>
      <c r="H203" s="21">
        <f>IF(G203="BUG","BUG-"&amp;A203,IF(G203="FUNCTIONAL","FUNCTIONAL-"&amp;A203,""))</f>
        <v/>
      </c>
      <c r="I203" s="21" t="inlineStr">
        <is>
          <t>Alta</t>
        </is>
      </c>
      <c r="L203" s="21" t="inlineStr">
        <is>
          <t>SPRINT 3 (richiesta di Fabrizio: 'trasformare il Planner nella feature principale del prodotto... il cuore dell'esperienza'). Riusa getPlannerData (INVARIATO, gia' di Sprint 1). Vedi app/nextgen/planner/page.tsx, PlannerClient.tsx.</t>
        </is>
      </c>
    </row>
    <row r="204">
      <c r="A204" s="21" t="inlineStr">
        <is>
          <t>TC-N14</t>
        </is>
      </c>
      <c r="B204" s="21" t="inlineStr">
        <is>
          <t>NEXTGEN - Planner</t>
        </is>
      </c>
      <c r="C204" s="21" t="inlineStr">
        <is>
          <t>Sovrapposizioni reali (stesso bambino, 2 prenotazioni sulla stessa settimana) segnalate chiaramente</t>
        </is>
      </c>
      <c r="D204" s="21" t="inlineStr">
        <is>
          <t>Account genitore di test con un bambino prenotato 2 volte sulla stessa settimana fisica (dato di test)</t>
        </is>
      </c>
      <c r="E204" s="21" t="inlineStr">
        <is>
          <t>Login Genitore -&gt; /nextgen/planner</t>
        </is>
      </c>
      <c r="F204" s="21" t="inlineStr">
        <is>
          <t>Riquadro 'Sovrapposizioni da controllare' visibile, con nome bambino + settimana + le 2 attivita' coinvolte. Se non ci sono sovrapposizioni, il riquadro non appare.</t>
        </is>
      </c>
      <c r="G204" s="21" t="inlineStr">
        <is>
          <t>DA TESTARE</t>
        </is>
      </c>
      <c r="H204" s="21">
        <f>IF(G204="BUG","BUG-"&amp;A204,IF(G204="FUNCTIONAL","FUNCTIONAL-"&amp;A204,""))</f>
        <v/>
      </c>
      <c r="I204" s="21" t="inlineStr">
        <is>
          <t>Alta</t>
        </is>
      </c>
      <c r="L204" s="21" t="inlineStr">
        <is>
          <t>SPRINT 3 - nuova funzione lib/nextgen/planner-insights.ts#computeKidOverlaps, calcolata da MyBooking.weekIds/kidIds (nessuna nuova query). Scelta tecnica: NON riusa SeasonWeek.coveredKids (fa dedup per bambino/settimana, nasconderebbe la sovrapposizione) - vedi commento in planner-insights.ts.</t>
        </is>
      </c>
    </row>
    <row r="205">
      <c r="A205" s="21" t="inlineStr">
        <is>
          <t>TC-N15</t>
        </is>
      </c>
      <c r="B205" s="21" t="inlineStr">
        <is>
          <t>NEXTGEN - Planner</t>
        </is>
      </c>
      <c r="C205" s="21" t="inlineStr">
        <is>
          <t>Budget impegnato (totale + per bambino) sempre visibile</t>
        </is>
      </c>
      <c r="D205" s="21" t="inlineStr">
        <is>
          <t>Account genitore di test con almeno una prenotazione attiva</t>
        </is>
      </c>
      <c r="E205" s="21" t="inlineStr">
        <is>
          <t>Login Genitore -&gt; /nextgen/planner</t>
        </is>
      </c>
      <c r="F205" s="21" t="inlineStr">
        <is>
          <t>Sezione 'Budget impegnato' con il totale (somma prenotazioni non annullate) e, se 2+ bambini, il dettaglio per bambino</t>
        </is>
      </c>
      <c r="G205" s="21" t="inlineStr">
        <is>
          <t>DA TESTARE</t>
        </is>
      </c>
      <c r="H205" s="21">
        <f>IF(G205="BUG","BUG-"&amp;A205,IF(G205="FUNCTIONAL","FUNCTIONAL-"&amp;A205,""))</f>
        <v/>
      </c>
      <c r="I205" s="21" t="inlineStr">
        <is>
          <t>Media</t>
        </is>
      </c>
      <c r="L205" s="21" t="inlineStr">
        <is>
          <t>SPRINT 3 - lib/nextgen/planner-insights.ts#computeBudgetSummary. Limite dichiarato (in nota a UI): una prenotazione condivisa fra piu' bambini viene conteggiata per intero su ciascuno (nessuno split prezzo per figlio nel modello dati attuale).</t>
        </is>
      </c>
    </row>
    <row r="206">
      <c r="A206" s="21" t="inlineStr">
        <is>
          <t>TC-N16</t>
        </is>
      </c>
      <c r="B206" s="21" t="inlineStr">
        <is>
          <t>NEXTGEN - Planner</t>
        </is>
      </c>
      <c r="C206" s="21" t="inlineStr">
        <is>
          <t>Consigli mirati alla settimana prioritaria (stesso motore di Ricerca Sprint 2)</t>
        </is>
      </c>
      <c r="D206" s="21" t="inlineStr">
        <is>
          <t>Account genitore di test con almeno una settimana scoperta</t>
        </is>
      </c>
      <c r="E206" s="21" t="inlineStr">
        <is>
          <t>Login Genitore -&gt; /nextgen/planner, scorri fino a 'Per riempire la settimana N'</t>
        </is>
      </c>
      <c r="F206" s="21" t="inlineStr">
        <is>
          <t>Fino a 4 attivita' consigliate con motivazioni leggibili (stesse di /nextgen/search), mirate alla settimana 'prioritaria' (un buco fra due settimane coperte ha priorita' sulla prima scoperta in ordine)</t>
        </is>
      </c>
      <c r="G206" s="21" t="inlineStr">
        <is>
          <t>DA TESTARE</t>
        </is>
      </c>
      <c r="H206" s="21">
        <f>IF(G206="BUG","BUG-"&amp;A206,IF(G206="FUNCTIONAL","FUNCTIONAL-"&amp;A206,""))</f>
        <v/>
      </c>
      <c r="I206" s="21" t="inlineStr">
        <is>
          <t>Media</t>
        </is>
      </c>
      <c r="L206" s="21" t="inlineStr">
        <is>
          <t>SPRINT 3 - riusa computeSmartMatches (Sprint 2, invariato) e lo stesso algoritmo 'settimana prioritaria' gia' in components/PlannerView.tsx (LEGACY), duplicato in planner-insights.ts#computePriorityWeekIndex per non toccare un componente client di LEGACY.</t>
        </is>
      </c>
    </row>
    <row r="207">
      <c r="A207" s="21" t="inlineStr">
        <is>
          <t>TC-N17</t>
        </is>
      </c>
      <c r="B207" s="21" t="inlineStr">
        <is>
          <t>NEXTGEN - Planner</t>
        </is>
      </c>
      <c r="C207" s="21" t="inlineStr">
        <is>
          <t>NextgenBottomNav permette di raggiungere Home/Planner/Cerca in un tocco</t>
        </is>
      </c>
      <c r="D207" s="21" t="inlineStr">
        <is>
          <t>Nessuna</t>
        </is>
      </c>
      <c r="E207" s="21" t="inlineStr">
        <is>
          <t>Login Genitore -&gt; qualsiasi pagina /nextgen -&gt; tocca 'Planner' poi 'Cerca' poi 'Home' nella barra in basso</t>
        </is>
      </c>
      <c r="F207" s="21" t="inlineStr">
        <is>
          <t>Naviga rispettivamente a /nextgen/planner, /nextgen/search, /nextgen - la voce attiva e' evidenziata</t>
        </is>
      </c>
      <c r="G207" s="21" t="inlineStr">
        <is>
          <t>DA TESTARE</t>
        </is>
      </c>
      <c r="H207" s="21">
        <f>IF(G207="BUG","BUG-"&amp;A207,IF(G207="FUNCTIONAL","FUNCTIONAL-"&amp;A207,""))</f>
        <v/>
      </c>
      <c r="I207" s="21" t="inlineStr">
        <is>
          <t>Media</t>
        </is>
      </c>
      <c r="L207" s="21" t="inlineStr">
        <is>
          <t>SPRINT 3 - nuovo componente components/nextgen/NextgenBottomNav.tsx (solo sotto /nextgen, non tocca components/BottomNav.tsx di LEGACY). Necessario ora che il Planner e' una destinazione di primo livello, non solo un link testuale.</t>
        </is>
      </c>
    </row>
    <row r="208">
      <c r="A208" s="21" t="inlineStr">
        <is>
          <t>TC-098</t>
        </is>
      </c>
      <c r="B208" s="21" t="inlineStr">
        <is>
          <t>Multi-tenant / PWA</t>
        </is>
      </c>
      <c r="C208" s="21" t="inlineStr">
        <is>
          <t>Manifest NEXTGEN distinto da quello LEGACY (stesso host)</t>
        </is>
      </c>
      <c r="D208" s="21" t="inlineStr">
        <is>
          <t>Account genitore di test</t>
        </is>
      </c>
      <c r="E208" s="21" t="inlineStr">
        <is>
          <t>Login Genitore -&gt; apri '/' poi '/nextgen' -&gt; ispeziona &lt;link rel='manifest'&gt; in entrambe</t>
        </is>
      </c>
      <c r="F208" s="21" t="inlineStr">
        <is>
          <t>'/' -&gt; /manifest-family.json (o partner/admin secondo tenant), '/nextgen' -&gt; /manifest-nextgen.json - DIVERSI, con scope/start_url/id '/nextgen' per NEXTGEN</t>
        </is>
      </c>
      <c r="G208" s="21" t="inlineStr">
        <is>
          <t>DA TESTARE</t>
        </is>
      </c>
      <c r="H208" s="21">
        <f>IF(G208="BUG","BUG-"&amp;A208,IF(G208="FUNCTIONAL","FUNCTIONAL-"&amp;A208,""))</f>
        <v/>
      </c>
      <c r="I208" s="21" t="inlineStr">
        <is>
          <t>Alta</t>
        </is>
      </c>
      <c r="L208" s="21" t="inlineStr">
        <is>
          <t>SPRINT 3 - richiesta di Fabrizio: poter installare LEGACY e NEXTGEN come DUE app separate sullo stesso telefono. app/nextgen/layout.tsx esporta un metadata statico (manifest/icone/titolo dedicati) che sovrascrive quello dinamico di app/layout.tsx SOLO sotto /nextgen.</t>
        </is>
      </c>
    </row>
    <row r="209">
      <c r="A209" s="21" t="inlineStr">
        <is>
          <t>TC-099</t>
        </is>
      </c>
      <c r="B209" s="21" t="inlineStr">
        <is>
          <t>Multi-tenant / PWA</t>
        </is>
      </c>
      <c r="C209" s="21" t="inlineStr">
        <is>
          <t>Installazione DOPPIA: LEGACY e NEXTGEN come app separate, senza banner sovrapposti</t>
        </is>
      </c>
      <c r="D209" s="21" t="inlineStr">
        <is>
          <t>Chrome Android o desktop, cache/service worker puliti</t>
        </is>
      </c>
      <c r="E209" s="21" t="inlineStr">
        <is>
          <t>Installa da '/' (LEGACY), poi vai su '/nextgen' e installa anche quella</t>
        </is>
      </c>
      <c r="F209" s="21" t="inlineStr">
        <is>
          <t>Due icone separate in home screen/launcher ('BuddyKids' e 'BuddyKids NextGen', icone diverse). Su '/nextgen' NON appare mai il banner 'Installa BuddyKids' di LEGACY insieme a quello NEXTGEN.</t>
        </is>
      </c>
      <c r="G209" s="21" t="inlineStr">
        <is>
          <t>DA TESTARE</t>
        </is>
      </c>
      <c r="H209" s="21">
        <f>IF(G209="BUG","BUG-"&amp;A209,IF(G209="FUNCTIONAL","FUNCTIONAL-"&amp;A209,""))</f>
        <v/>
      </c>
      <c r="I209" s="21" t="inlineStr">
        <is>
          <t>Alta</t>
        </is>
      </c>
      <c r="L209" s="21" t="inlineStr">
        <is>
          <t>SPRINT 3 - components/InstallPrompt.tsx ha una nuova prop 'routeExclude': l'istanza storica (app/layout.tsx) passa routeExclude='/nextgen' e si autodisattiva li'; l'istanza NEXTGEN (app/nextgen/layout.tsx) ha appName/tema propri, quindi chiave di dismiss in localStorage separata. ESCLUSO dall'automazione: beforeinstallprompt/installazione reale richiedono un device/browser reale.</t>
        </is>
      </c>
    </row>
    <row r="210">
      <c r="A210" s="21" t="inlineStr">
        <is>
          <t>TC-N18</t>
        </is>
      </c>
      <c r="B210" s="21" t="inlineStr">
        <is>
          <t>NEXTGEN - Home (rifinitura)</t>
        </is>
      </c>
      <c r="C210" s="21" t="inlineStr">
        <is>
          <t>La Hero Card comunica stato, settimane mancanti e prossimo impegno con una CTA</t>
        </is>
      </c>
      <c r="D210" s="21" t="inlineStr">
        <is>
          <t>Account genitore di test</t>
        </is>
      </c>
      <c r="E210" s="21" t="inlineStr">
        <is>
          <t>Login Genitore -&gt; /nextgen</t>
        </is>
      </c>
      <c r="F210" s="21" t="inlineStr">
        <is>
          <t>Prima card, sfondo caldo distinto, testo 'Organizzata al N%', settimane mancanti nominate ('Settimana X, Settimana Y'), prossimo impegno con data leggibile, pulsante 'Continua a pianificare' -&gt; /nextgen/planner</t>
        </is>
      </c>
      <c r="G210" s="21" t="inlineStr">
        <is>
          <t>DA TESTARE</t>
        </is>
      </c>
      <c r="H210" s="21">
        <f>IF(G210="BUG","BUG-"&amp;A210,IF(G210="FUNCTIONAL","FUNCTIONAL-"&amp;A210,""))</f>
        <v/>
      </c>
      <c r="I210" s="21" t="inlineStr">
        <is>
          <t>Alta</t>
        </is>
      </c>
      <c r="L210" s="21" t="inlineStr">
        <is>
          <t>SPRINT CORRETTIVO (richiesta di Fabrizio: 'la Home deve essere un centro di controllo, capibile in meno di 3 secondi'). Stesso dato di Sprint 1 (getPlannerData), cambia solo la resa visiva/testuale in HomeDashboardClient.tsx.</t>
        </is>
      </c>
    </row>
    <row r="211">
      <c r="A211" s="21" t="inlineStr">
        <is>
          <t>TC-N19</t>
        </is>
      </c>
      <c r="B211" s="21" t="inlineStr">
        <is>
          <t>NEXTGEN - Home (rifinitura)</t>
        </is>
      </c>
      <c r="C211" s="21" t="inlineStr">
        <is>
          <t>Il check-in di oggi (se presente) appare in Home NEXTGEN, con badge codice visivo</t>
        </is>
      </c>
      <c r="D211" s="21" t="inlineStr">
        <is>
          <t>Account genitore di test con una prenotazione attiva OGGI</t>
        </is>
      </c>
      <c r="E211" s="21" t="inlineStr">
        <is>
          <t>Login Genitore -&gt; /nextgen</t>
        </is>
      </c>
      <c r="F211" s="21" t="inlineStr">
        <is>
          <t>Sezione 'Oggi' con la card di check-in (foto attività, domanda, badge 'Codice check-in'). Prima non compariva affatto in NEXTGEN.</t>
        </is>
      </c>
      <c r="G211" s="21" t="inlineStr">
        <is>
          <t>DA TESTARE</t>
        </is>
      </c>
      <c r="H211" s="21">
        <f>IF(G211="BUG","BUG-"&amp;A211,IF(G211="FUNCTIONAL","FUNCTIONAL-"&amp;A211,""))</f>
        <v/>
      </c>
      <c r="I211" s="21" t="inlineStr">
        <is>
          <t>Alta</t>
        </is>
      </c>
      <c r="L211" s="21" t="inlineStr">
        <is>
          <t>SPRINT CORRETTIVO ('ripristinare e valorizzare il check-in... non una funzione secondaria'). Nuovo components/nextgen/NextgenCheckinCard.tsx, riusa getTodayCheckinsForParent/parentCheckinAction (INVARIATI, stessi di LEGACY CheckinPrompt). Nota di scope: il badge codice NON e' ancora scansionabile (nessuno scanner lato Gestore oggi).</t>
        </is>
      </c>
    </row>
    <row r="212">
      <c r="A212" s="21" t="inlineStr">
        <is>
          <t>TC-N20</t>
        </is>
      </c>
      <c r="B212" s="21" t="inlineStr">
        <is>
          <t>NEXTGEN - Home (rifinitura)</t>
        </is>
      </c>
      <c r="C212" s="21" t="inlineStr">
        <is>
          <t>Rispondere al check-in mostra un feedback positivo (toast) non invasivo</t>
        </is>
      </c>
      <c r="D212" s="21" t="inlineStr">
        <is>
          <t>Account genitore di test con check-in disponibile oggi</t>
        </is>
      </c>
      <c r="E212" s="21" t="inlineStr">
        <is>
          <t>Login Genitore -&gt; /nextgen -&gt; tocca 'Sì' sulla card di check-in</t>
        </is>
      </c>
      <c r="F212" s="21" t="inlineStr">
        <is>
          <t>Toast in basso con 'registrato con successo', si chiude da solo dopo ~2.6s, nessun popup modale da chiudere manualmente</t>
        </is>
      </c>
      <c r="G212" s="21" t="inlineStr">
        <is>
          <t>DA TESTARE</t>
        </is>
      </c>
      <c r="H212" s="21">
        <f>IF(G212="BUG","BUG-"&amp;A212,IF(G212="FUNCTIONAL","FUNCTIONAL-"&amp;A212,""))</f>
        <v/>
      </c>
      <c r="I212" s="21" t="inlineStr">
        <is>
          <t>Media</t>
        </is>
      </c>
      <c r="L212" s="21" t="inlineStr">
        <is>
          <t>SPRINT CORRETTIVO ('aumentare i micro-feedback positivi... evitare popup invasivi'). Nuovo components/nextgen/NextgenToastProvider.tsx (Context+hook), montato in app/nextgen/layout.tsx.</t>
        </is>
      </c>
    </row>
    <row r="213">
      <c r="A213" s="21" t="inlineStr">
        <is>
          <t>TC-N21</t>
        </is>
      </c>
      <c r="B213" s="21" t="inlineStr">
        <is>
          <t>NEXTGEN - Home (rifinitura)</t>
        </is>
      </c>
      <c r="C213" s="21" t="inlineStr">
        <is>
          <t>'Prossimo appuntamento' mostra una sola card visuale (non piu' una lista di 3)</t>
        </is>
      </c>
      <c r="D213" s="21" t="inlineStr">
        <is>
          <t>Account genitore di test con almeno una prenotazione futura</t>
        </is>
      </c>
      <c r="E213" s="21" t="inlineStr">
        <is>
          <t>Login Genitore -&gt; /nextgen</t>
        </is>
      </c>
      <c r="F213" s="21" t="inlineStr">
        <is>
          <t>Sezione 'Prossimo appuntamento' con UNA card (foto, figlio, periodo, badge stato, azione) - le altre prenotazioni sono in 'Prenotazioni' piu' sotto, non ripetute qui</t>
        </is>
      </c>
      <c r="G213" s="21" t="inlineStr">
        <is>
          <t>DA TESTARE</t>
        </is>
      </c>
      <c r="H213" s="21">
        <f>IF(G213="BUG","BUG-"&amp;A213,IF(G213="FUNCTIONAL","FUNCTIONAL-"&amp;A213,""))</f>
        <v/>
      </c>
      <c r="I213" s="21" t="inlineStr">
        <is>
          <t>Media</t>
        </is>
      </c>
      <c r="L213" s="21" t="inlineStr">
        <is>
          <t>SPRINT CORRETTIVO - prima erano 'Prossimi impegni' (plurale, fino a 3): ridotto a un solo elemento per diminuire le decisioni da prendere in Home (richiesta esplicita di riduzione del carico cognitivo).</t>
        </is>
      </c>
    </row>
    <row r="214">
      <c r="A214" s="21" t="inlineStr">
        <is>
          <t>TC-N22</t>
        </is>
      </c>
      <c r="B214" s="21" t="inlineStr">
        <is>
          <t>NEXTGEN - Home (rifinitura)</t>
        </is>
      </c>
      <c r="C214" s="21" t="inlineStr">
        <is>
          <t>Le statistiche sintetiche sono in fondo alla pagina, dopo Prenotazioni</t>
        </is>
      </c>
      <c r="D214" s="21" t="inlineStr">
        <is>
          <t>Account genitore di test con almeno una prenotazione</t>
        </is>
      </c>
      <c r="E214" s="21" t="inlineStr">
        <is>
          <t>Login Genitore -&gt; /nextgen -&gt; scorri la pagina</t>
        </is>
      </c>
      <c r="F214" s="21" t="inlineStr">
        <is>
          <t>L'ordine e': Hero Card, Check-in (se oggi), Prossimo appuntamento, Consigliati, Planner sintetico, Prenotazioni, Statistiche (ultime, ridotte)</t>
        </is>
      </c>
      <c r="G214" s="21" t="inlineStr">
        <is>
          <t>DA TESTARE</t>
        </is>
      </c>
      <c r="H214" s="21">
        <f>IF(G214="BUG","BUG-"&amp;A214,IF(G214="FUNCTIONAL","FUNCTIONAL-"&amp;A214,""))</f>
        <v/>
      </c>
      <c r="I214" s="21" t="inlineStr">
        <is>
          <t>Bassa</t>
        </is>
      </c>
      <c r="L214" s="21" t="inlineStr">
        <is>
          <t>SPRINT CORRETTIVO - prima le statistiche erano a meta' pagina con lo stesso peso visivo della card di copertura. Nessuna gerarchia visiva marcata: ora la Hero Card e' l'unica card con sfondo caldo/dimensione maggiore, le statistiche sono le piu' piccole e ultime.</t>
        </is>
      </c>
    </row>
    <row r="215">
      <c r="A215" s="21" t="inlineStr">
        <is>
          <t>TC-N23</t>
        </is>
      </c>
      <c r="B215" s="21" t="inlineStr">
        <is>
          <t>NEXTGEN - Home (rifinitura)</t>
        </is>
      </c>
      <c r="C215" s="21" t="inlineStr">
        <is>
          <t>Il Planner, a copertura completa, mostra un messaggio di rassicurazione</t>
        </is>
      </c>
      <c r="D215" s="21" t="inlineStr">
        <is>
          <t>Account genitore di test con tutte le settimane utili coperte</t>
        </is>
      </c>
      <c r="E215" s="21" t="inlineStr">
        <is>
          <t>Login Genitore -&gt; /nextgen/planner</t>
        </is>
      </c>
      <c r="F215" s="21" t="inlineStr">
        <is>
          <t>Sotto la barra di copertura al 100%, testo 'Tutto sotto controllo per questa estate.' con icona di conferma verde</t>
        </is>
      </c>
      <c r="G215" s="21" t="inlineStr">
        <is>
          <t>DA TESTARE</t>
        </is>
      </c>
      <c r="H215" s="21">
        <f>IF(G215="BUG","BUG-"&amp;A215,IF(G215="FUNCTIONAL","FUNCTIONAL-"&amp;A215,""))</f>
        <v/>
      </c>
      <c r="I215" s="21" t="inlineStr">
        <is>
          <t>Bassa</t>
        </is>
      </c>
      <c r="L215" s="21" t="inlineStr">
        <is>
          <t>SPRINT CORRETTIVO ('ogni schermata va valutata anche per la sua temperatura emotiva'). Prima, a copertura completa, la card restava solo numerica (nessun messaggio). Anche uniformata la dicitura 'Sett. N' -&gt; 'Settimana N' in tutta la timeline (coerenza con 'Le mie prenotazioni').</t>
        </is>
      </c>
    </row>
    <row r="216">
      <c r="A216" s="21" t="inlineStr">
        <is>
          <t>TC-N24</t>
        </is>
      </c>
      <c r="B216" s="21" t="inlineStr">
        <is>
          <t>NEXTGEN - Home (rifinitura)</t>
        </is>
      </c>
      <c r="C216" s="21" t="inlineStr">
        <is>
          <t>Le etichette 'Settimana 12'/'Settimana 13' nel Planner non vanno a capo</t>
        </is>
      </c>
      <c r="D216" s="21" t="inlineStr">
        <is>
          <t>Account genitore di test</t>
        </is>
      </c>
      <c r="E216" s="21" t="inlineStr">
        <is>
          <t>Login Genitore -&gt; /nextgen/planner -&gt; osserva le righe Settimana 12 e Settimana 13</t>
        </is>
      </c>
      <c r="F216" s="21" t="inlineStr">
        <is>
          <t>L'etichetta resta su una riga sola, come tutte le altre settimane (1-11) - non si spezza su due righe</t>
        </is>
      </c>
      <c r="G216" s="21" t="inlineStr">
        <is>
          <t>DA TESTARE</t>
        </is>
      </c>
      <c r="H216" s="21">
        <f>IF(G216="BUG","BUG-"&amp;A216,IF(G216="FUNCTIONAL","FUNCTIONAL-"&amp;A216,""))</f>
        <v/>
      </c>
      <c r="I216" s="21" t="inlineStr">
        <is>
          <t>Media</t>
        </is>
      </c>
      <c r="L216" s="21" t="inlineStr">
        <is>
          <t>BUG segnalato da Fabrizio dopo lo sprint correttivo: colonna a larghezza fissa (84px) troppo stretta per 'Settimana 12'/'Settimana 13' (12 caratteri, piu' larghi di 'Settimana 1'..'Settimana 9'). Fix: colonna a larghezza automatica + whitespace-nowrap in PlannerClient.tsx.</t>
        </is>
      </c>
    </row>
    <row r="217">
      <c r="A217" s="21" t="inlineStr">
        <is>
          <t>TC-N25</t>
        </is>
      </c>
      <c r="B217" s="21" t="inlineStr">
        <is>
          <t>NEXTGEN - Home (rifinitura)</t>
        </is>
      </c>
      <c r="C217" s="21" t="inlineStr">
        <is>
          <t>'Consigliati per voi' rappresenta più di un figlio quando la famiglia ne ha più di uno</t>
        </is>
      </c>
      <c r="D217" s="21" t="inlineStr">
        <is>
          <t>Account genitore di test con 2+ bambini e settimane scoperte</t>
        </is>
      </c>
      <c r="E217" s="21" t="inlineStr">
        <is>
          <t>Login Genitore -&gt; /nextgen, osserva le didascalie 'Per {figlio}' sotto 'Consigliati per voi'</t>
        </is>
      </c>
      <c r="F217" s="21" t="inlineStr">
        <is>
          <t>Se ci sono 2+ figli, l'elenco (fino a 3 attività) mostra almeno un consiglio per ciascun figlio quando possibile, non solo per quello con il punteggio piu' alto in assoluto</t>
        </is>
      </c>
      <c r="G217" s="21" t="inlineStr">
        <is>
          <t>DA TESTARE</t>
        </is>
      </c>
      <c r="H217" s="21">
        <f>IF(G217="BUG","BUG-"&amp;A217,IF(G217="FUNCTIONAL","FUNCTIONAL-"&amp;A217,""))</f>
        <v/>
      </c>
      <c r="I217" s="21" t="inlineStr">
        <is>
          <t>Media</t>
        </is>
      </c>
      <c r="L217" s="21" t="inlineStr">
        <is>
          <t>BUG segnalato da Fabrizio: 'i consigliati per voi sono solo per Piero, come mai?'. Causa: si prendevano le 3 attivita' col punteggio piu' alto in assoluto, senza garantire diversita' tra figli. Fix in app/nextgen/page.tsx: un pick garantito a testa (se 2+ figli), poi si riempiono i posti restanti col punteggio migliore assoluto.</t>
        </is>
      </c>
    </row>
    <row r="218">
      <c r="A218" s="21" t="inlineStr">
        <is>
          <t>TC-N26</t>
        </is>
      </c>
      <c r="B218" s="21" t="inlineStr">
        <is>
          <t>NEXTGEN - Home (rifinitura)</t>
        </is>
      </c>
      <c r="C218" s="21" t="inlineStr">
        <is>
          <t>I gruppi in 'Tutte le prenotazioni' si possono comprimere ed espandere singolarmente</t>
        </is>
      </c>
      <c r="D218" s="21" t="inlineStr">
        <is>
          <t>Account genitore di test con 2+ prenotazioni in gruppi diversi</t>
        </is>
      </c>
      <c r="E218" s="21" t="inlineStr">
        <is>
          <t>Login Genitore -&gt; /nextgen -&gt; apri 'Tutte le prenotazioni' -&gt; tocca l'intestazione di un gruppo</t>
        </is>
      </c>
      <c r="F218" s="21" t="inlineStr">
        <is>
          <t>Il gruppo toccato si chiude/apre singolarmente (icona chevron su/giu), gli altri gruppi restano invariati</t>
        </is>
      </c>
      <c r="G218" s="21" t="inlineStr">
        <is>
          <t>DA TESTARE</t>
        </is>
      </c>
      <c r="H218" s="21">
        <f>IF(G218="BUG","BUG-"&amp;A218,IF(G218="FUNCTIONAL","FUNCTIONAL-"&amp;A218,""))</f>
        <v/>
      </c>
      <c r="I218" s="21" t="inlineStr">
        <is>
          <t>Bassa</t>
        </is>
      </c>
      <c r="L218" s="21" t="inlineStr">
        <is>
          <t>Richiesta di Fabrizio: 'mi piacerebbe ci fosse modo per comprimere i gruppi o espanderli'. Nessun gruppo collassato di default (comprimere e' un'azione esplicita).</t>
        </is>
      </c>
    </row>
    <row r="219">
      <c r="A219" s="21" t="inlineStr">
        <is>
          <t>TC-N27</t>
        </is>
      </c>
      <c r="B219" s="21" t="inlineStr">
        <is>
          <t>NEXTGEN - Home (rifinitura)</t>
        </is>
      </c>
      <c r="C219" s="21" t="inlineStr">
        <is>
          <t>'Mancano ancora' e 'Prossimo impegno' nella Hero Card hanno un'icona distintiva</t>
        </is>
      </c>
      <c r="D219" s="21" t="inlineStr">
        <is>
          <t>Account genitore di test</t>
        </is>
      </c>
      <c r="E219" s="21" t="inlineStr">
        <is>
          <t>Login Genitore -&gt; /nextgen -&gt; osserva la Hero Card</t>
        </is>
      </c>
      <c r="F219" s="21" t="inlineStr">
        <is>
          <t>Icona calendario/allerta accanto a 'Mancano ancora', icona pin accanto a 'Prossimo impegno' - le due righe sono blocchi etichetta+valore distinti, non piu' una frase unica</t>
        </is>
      </c>
      <c r="G219" s="21" t="inlineStr">
        <is>
          <t>DA TESTARE</t>
        </is>
      </c>
      <c r="H219" s="21">
        <f>IF(G219="BUG","BUG-"&amp;A219,IF(G219="FUNCTIONAL","FUNCTIONAL-"&amp;A219,""))</f>
        <v/>
      </c>
      <c r="I219" s="21" t="inlineStr">
        <is>
          <t>Bassa</t>
        </is>
      </c>
      <c r="L219" s="21" t="inlineStr">
        <is>
          <t>Richiesta di Fabrizio: 'forse ci vuole una iconcina distintiva?'. Ristrutturazione risolve anche il rischio di andare a capo a meta' frase su schermi stretti (titolo Hero ridotto da 30 a 28px).</t>
        </is>
      </c>
    </row>
    <row r="220">
      <c r="A220" s="21" t="inlineStr">
        <is>
          <t>TC-N28</t>
        </is>
      </c>
      <c r="B220" s="21" t="inlineStr">
        <is>
          <t>Versione LEGACY/NEXTGEN - Toggle</t>
        </is>
      </c>
      <c r="C220" s="21" t="inlineStr">
        <is>
          <t>Il toggle su '/' porta a NEXTGEN e ricorda la scelta</t>
        </is>
      </c>
      <c r="D220" s="21" t="inlineStr">
        <is>
          <t>Account genitore di test</t>
        </is>
      </c>
      <c r="E220" s="21" t="inlineStr">
        <is>
          <t>Login Genitore -&gt; '/' -&gt; tocca il pulsante 'Passa a NextGen' in alto a destra -&gt; torna su '/'</t>
        </is>
      </c>
      <c r="F220" s="21" t="inlineStr">
        <is>
          <t>Naviga a /nextgen. Tornando su '/' in un secondo momento, si viene rimandati automaticamente a /nextgen (preferenza ricordata)</t>
        </is>
      </c>
      <c r="G220" s="21" t="inlineStr">
        <is>
          <t>DA TESTARE</t>
        </is>
      </c>
      <c r="H220" s="21">
        <f>IF(G220="BUG","BUG-"&amp;A220,IF(G220="FUNCTIONAL","FUNCTIONAL-"&amp;A220,""))</f>
        <v/>
      </c>
      <c r="I220" s="21" t="inlineStr">
        <is>
          <t>Alta</t>
        </is>
      </c>
      <c r="L220" s="21" t="inlineStr">
        <is>
          <t>Richiesta di Fabrizio: 'un toggle che mi permetta di switchare da versione legacy a nextgen, coerente su tutta l'app'. Nuovo components/VersionToggle.tsx + lib/version-preference.ts (cookie bk_version). Convive con le due PWA installabili separatamente (TC-098/TC-099).</t>
        </is>
      </c>
    </row>
    <row r="221">
      <c r="A221" s="21" t="inlineStr">
        <is>
          <t>TC-N29</t>
        </is>
      </c>
      <c r="B221" s="21" t="inlineStr">
        <is>
          <t>Versione LEGACY/NEXTGEN - Toggle</t>
        </is>
      </c>
      <c r="C221" s="21" t="inlineStr">
        <is>
          <t>Il toggle su /nextgen porta a LEGACY e ricorda la scelta</t>
        </is>
      </c>
      <c r="D221" s="21" t="inlineStr">
        <is>
          <t>Account genitore di test</t>
        </is>
      </c>
      <c r="E221" s="21" t="inlineStr">
        <is>
          <t>Login Genitore -&gt; /nextgen -&gt; tocca 'Torna a V1' -&gt; torna su /nextgen</t>
        </is>
      </c>
      <c r="F221" s="21" t="inlineStr">
        <is>
          <t>Naviga a '/'. Tornando su /nextgen in un secondo momento, si viene rimandati automaticamente a '/' (preferenza ricordata)</t>
        </is>
      </c>
      <c r="G221" s="21" t="inlineStr">
        <is>
          <t>DA TESTARE</t>
        </is>
      </c>
      <c r="H221" s="21">
        <f>IF(G221="BUG","BUG-"&amp;A221,IF(G221="FUNCTIONAL","FUNCTIONAL-"&amp;A221,""))</f>
        <v/>
      </c>
      <c r="I221" s="21" t="inlineStr">
        <is>
          <t>Alta</t>
        </is>
      </c>
      <c r="L221" s="21" t="inlineStr">
        <is>
          <t>Stesso meccanismo di TC-N28, direzione opposta.</t>
        </is>
      </c>
    </row>
    <row r="222">
      <c r="A222" s="21" t="inlineStr">
        <is>
          <t>TC-N30</t>
        </is>
      </c>
      <c r="B222" s="21" t="inlineStr">
        <is>
          <t>Versione LEGACY/NEXTGEN - Toggle</t>
        </is>
      </c>
      <c r="C222" s="21" t="inlineStr">
        <is>
          <t>Il toggle non appare nei portali Gestore/Admin</t>
        </is>
      </c>
      <c r="D222" s="21" t="inlineStr">
        <is>
          <t>Account gestore/admin di test</t>
        </is>
      </c>
      <c r="E222" s="21" t="inlineStr">
        <is>
          <t>Login Gestore -&gt; /center (e Admin -&gt; /admin)</t>
        </is>
      </c>
      <c r="F222" s="21" t="inlineStr">
        <is>
          <t>Nessun pulsante 'Passa a NextGen'/'Torna a V1' visibile - NEXTGEN oggi non ha equivalenti per Gestore/Admin (restano per gli Sprint 4/7/8 futuri)</t>
        </is>
      </c>
      <c r="G222" s="21" t="inlineStr">
        <is>
          <t>DA TESTARE</t>
        </is>
      </c>
      <c r="H222" s="21">
        <f>IF(G222="BUG","BUG-"&amp;A222,IF(G222="FUNCTIONAL","FUNCTIONAL-"&amp;A222,""))</f>
        <v/>
      </c>
      <c r="I222" s="21" t="inlineStr">
        <is>
          <t>Media</t>
        </is>
      </c>
      <c r="L222" s="21" t="inlineStr">
        <is>
          <t>VersionToggle.tsx si nasconde su /center, /admin, /nextgen/center, /nextgen/admin, /auth.</t>
        </is>
      </c>
    </row>
    <row r="223">
      <c r="A223" s="21" t="inlineStr">
        <is>
          <t>TC-N31</t>
        </is>
      </c>
      <c r="B223" s="21" t="inlineStr">
        <is>
          <t>Versione LEGACY/NEXTGEN - Toggle</t>
        </is>
      </c>
      <c r="C223" s="21" t="inlineStr">
        <is>
          <t>Aprire un'icona installata ignora sempre la preferenza del toggle</t>
        </is>
      </c>
      <c r="D223" s="21" t="inlineStr">
        <is>
          <t>Entrambe le PWA (LEGACY e NEXTGEN) installate sullo stesso telefono, preferenza toggle impostata su una delle due</t>
        </is>
      </c>
      <c r="E223" s="21" t="inlineStr">
        <is>
          <t>Apri l'icona 'BuddyKids' installata sulla home, poi l'icona 'BuddyKids NextGen'</t>
        </is>
      </c>
      <c r="F223" s="21" t="inlineStr">
        <is>
          <t>'BuddyKids' apre sempre LEGACY, 'BuddyKids NextGen' apre sempre NEXTGEN - a prescindere dall'ultima preferenza scelta nel browser normale</t>
        </is>
      </c>
      <c r="G223" s="21" t="inlineStr">
        <is>
          <t>DA TESTARE</t>
        </is>
      </c>
      <c r="H223" s="21">
        <f>IF(G223="BUG","BUG-"&amp;A223,IF(G223="FUNCTIONAL","FUNCTIONAL-"&amp;A223,""))</f>
        <v/>
      </c>
      <c r="I223" s="21" t="inlineStr">
        <is>
          <t>Alta</t>
        </is>
      </c>
      <c r="L223" s="21" t="inlineStr">
        <is>
          <t>ESCLUSO dall'automazione: richiede 'display-mode: standalone', non simulabile in Playwright. Fondamentale per non rompere la richiesta precedente delle due app separate: il redirect automatico del toggle e' disattivato quando isStandaloneDisplay() e' vero.</t>
        </is>
      </c>
    </row>
    <row r="224">
      <c r="A224" s="21" t="inlineStr">
        <is>
          <t>TC-N32</t>
        </is>
      </c>
      <c r="B224" s="21" t="inlineStr">
        <is>
          <t>NEXTGEN - Community</t>
        </is>
      </c>
      <c r="C224" s="21" t="inlineStr">
        <is>
          <t>La 4a voce 'Community' in NextgenBottomNav porta a /nextgen/community</t>
        </is>
      </c>
      <c r="D224" s="21" t="inlineStr">
        <is>
          <t>Account genitore di test</t>
        </is>
      </c>
      <c r="E224" s="21" t="inlineStr">
        <is>
          <t>Login Genitore -&gt; /nextgen -&gt; tocca 'Community' nella barra di navigazione in basso</t>
        </is>
      </c>
      <c r="F224" s="21" t="inlineStr">
        <is>
          <t>Naviga a /nextgen/community, mostra l'elenco delle community di cui si fa parte (o lo stato vuoto con 'Crea community'/'Entra con codice')</t>
        </is>
      </c>
      <c r="G224" s="21" t="inlineStr">
        <is>
          <t>DA TESTARE</t>
        </is>
      </c>
      <c r="H224" s="21">
        <f>IF(G224="BUG","BUG-"&amp;A224,IF(G224="FUNCTIONAL","FUNCTIONAL-"&amp;A224,""))</f>
        <v/>
      </c>
      <c r="I224" s="21" t="inlineStr">
        <is>
          <t>Bassa</t>
        </is>
      </c>
      <c r="L224" s="21" t="inlineStr">
        <is>
          <t>Nuova 4a voce di NextgenBottomNav (prima erano 3: Home/Planner/Cerca). Sprint 4 - 'Esperienze condivise'.</t>
        </is>
      </c>
    </row>
    <row r="225">
      <c r="A225" s="21" t="inlineStr">
        <is>
          <t>TC-N33</t>
        </is>
      </c>
      <c r="B225" s="21" t="inlineStr">
        <is>
          <t>NEXTGEN - Community</t>
        </is>
      </c>
      <c r="C225" s="21" t="inlineStr">
        <is>
          <t>Creare una community mostra subito il codice invito nel dettaglio</t>
        </is>
      </c>
      <c r="D225" s="21" t="inlineStr">
        <is>
          <t>Account genitore di test</t>
        </is>
      </c>
      <c r="E225" s="21" t="inlineStr">
        <is>
          <t>/nextgen/community -&gt; 'Crea community' -&gt; inserisci nome -&gt; 'Crea'</t>
        </is>
      </c>
      <c r="F225" s="21" t="inlineStr">
        <is>
          <t>Si apre il dettaglio della nuova community, con il codice invito visibile in alto e il creatore gia' iscritto come membro con ruolo Creatore</t>
        </is>
      </c>
      <c r="G225" s="21" t="inlineStr">
        <is>
          <t>DA TESTARE</t>
        </is>
      </c>
      <c r="H225" s="21">
        <f>IF(G225="BUG","BUG-"&amp;A225,IF(G225="FUNCTIONAL","FUNCTIONAL-"&amp;A225,""))</f>
        <v/>
      </c>
      <c r="I225" s="21" t="inlineStr">
        <is>
          <t>Alta</t>
        </is>
      </c>
      <c r="L225" s="21" t="inlineStr">
        <is>
          <t>createCommunityAction: crea la riga in communities + la riga in community_members con ruolo 'creatore', codice invito generato con lo stesso pattern di app/actions/invites.ts (niente 0/O/1/I).</t>
        </is>
      </c>
    </row>
    <row r="226">
      <c r="A226" s="21" t="inlineStr">
        <is>
          <t>TC-N34</t>
        </is>
      </c>
      <c r="B226" s="21" t="inlineStr">
        <is>
          <t>NEXTGEN - Community</t>
        </is>
      </c>
      <c r="C226" s="21" t="inlineStr">
        <is>
          <t>Un codice invito non valido mostra un errore leggibile</t>
        </is>
      </c>
      <c r="D226" s="21" t="inlineStr">
        <is>
          <t>Account genitore di test</t>
        </is>
      </c>
      <c r="E226" s="21" t="inlineStr">
        <is>
          <t>/nextgen/community -&gt; 'Entra con codice' -&gt; inserisci un codice inesistente -&gt; 'Entra'</t>
        </is>
      </c>
      <c r="F226" s="21" t="inlineStr">
        <is>
          <t>Messaggio 'Codice non valido. Controlla e riprova.' - nessuna adesione creata</t>
        </is>
      </c>
      <c r="G226" s="21" t="inlineStr">
        <is>
          <t>DA TESTARE</t>
        </is>
      </c>
      <c r="H226" s="21">
        <f>IF(G226="BUG","BUG-"&amp;A226,IF(G226="FUNCTIONAL","FUNCTIONAL-"&amp;A226,""))</f>
        <v/>
      </c>
      <c r="I226" s="21" t="inlineStr">
        <is>
          <t>Media</t>
        </is>
      </c>
      <c r="L226" s="21" t="inlineStr">
        <is>
          <t>joinCommunityByCodeAction restituisce error se il codice non corrisponde a nessuna community.</t>
        </is>
      </c>
    </row>
    <row r="227">
      <c r="A227" s="21" t="inlineStr">
        <is>
          <t>TC-N35</t>
        </is>
      </c>
      <c r="B227" s="21" t="inlineStr">
        <is>
          <t>NEXTGEN - Community</t>
        </is>
      </c>
      <c r="C227" s="21" t="inlineStr">
        <is>
          <t>Entrare con un codice invito valido aggiunge il genitore alla community</t>
        </is>
      </c>
      <c r="D227" s="21" t="inlineStr">
        <is>
          <t>Un codice invito valido di una community esistente, genitore non ancora membro</t>
        </is>
      </c>
      <c r="E227" s="21" t="inlineStr">
        <is>
          <t>/nextgen/community -&gt; 'Entra con codice' -&gt; inserisci il codice -&gt; 'Entra'</t>
        </is>
      </c>
      <c r="F227" s="21" t="inlineStr">
        <is>
          <t>Il genitore viene aggiunto come membro (ruolo 'membro') e viene portato al dettaglio della community</t>
        </is>
      </c>
      <c r="G227" s="21" t="inlineStr">
        <is>
          <t>DA TESTARE</t>
        </is>
      </c>
      <c r="H227" s="21">
        <f>IF(G227="BUG","BUG-"&amp;A227,IF(G227="FUNCTIONAL","FUNCTIONAL-"&amp;A227,""))</f>
        <v/>
      </c>
      <c r="I227" s="21" t="inlineStr">
        <is>
          <t>Alta</t>
        </is>
      </c>
      <c r="L227" s="21" t="inlineStr">
        <is>
          <t>Stesso pattern di join-by-link dei Gruppi esistenti (chiunque conosca il codice puo' unirsi).</t>
        </is>
      </c>
    </row>
    <row r="228">
      <c r="A228" s="21" t="inlineStr">
        <is>
          <t>TC-N36</t>
        </is>
      </c>
      <c r="B228" s="21" t="inlineStr">
        <is>
          <t>NEXTGEN - Community</t>
        </is>
      </c>
      <c r="C228" s="21" t="inlineStr">
        <is>
          <t>Proporre un'attivita' la mostra in 'Le attivita' della community'</t>
        </is>
      </c>
      <c r="D228" s="21" t="inlineStr">
        <is>
          <t>Account genitore di test, membro di una community, almeno un'attivita' a catalogo</t>
        </is>
      </c>
      <c r="E228" s="21" t="inlineStr">
        <is>
          <t>Dettaglio community -&gt; 'Proponi' -&gt; scegli un'attivita' -&gt; 'Condividi proposta'</t>
        </is>
      </c>
      <c r="F228" s="21" t="inlineStr">
        <is>
          <t>La proposta compare nell'elenco 'Le attivita' della community' con nome attivita', centro e pulsante 'Mi interessa'</t>
        </is>
      </c>
      <c r="G228" s="21" t="inlineStr">
        <is>
          <t>DA TESTARE</t>
        </is>
      </c>
      <c r="H228" s="21">
        <f>IF(G228="BUG","BUG-"&amp;A228,IF(G228="FUNCTIONAL","FUNCTIONAL-"&amp;A228,""))</f>
        <v/>
      </c>
      <c r="I228" s="21" t="inlineStr">
        <is>
          <t>Media</t>
        </is>
      </c>
      <c r="L228" s="21" t="inlineStr">
        <is>
          <t>proposeActivityAction inserisce in community_activity_proposals, legata a un'attivita' reale del catalogo (nessuna duplicazione dati).</t>
        </is>
      </c>
    </row>
    <row r="229">
      <c r="A229" s="21" t="inlineStr">
        <is>
          <t>TC-N37</t>
        </is>
      </c>
      <c r="B229" s="21" t="inlineStr">
        <is>
          <t>NEXTGEN - Community</t>
        </is>
      </c>
      <c r="C229" s="21" t="inlineStr">
        <is>
          <t>Esprimere interesse aggiorna il contatore e lo stato del pulsante</t>
        </is>
      </c>
      <c r="D229" s="21" t="inlineStr">
        <is>
          <t>Una proposta esistente nella community</t>
        </is>
      </c>
      <c r="E229" s="21" t="inlineStr">
        <is>
          <t>Dettaglio community -&gt; tocca 'Mi interessa' su una proposta</t>
        </is>
      </c>
      <c r="F229" s="21" t="inlineStr">
        <is>
          <t>Il pulsante diventa 'Interessato' (evidenziato) e il contatore accanto aumenta di 1; ritoccando si ritira l'interesse</t>
        </is>
      </c>
      <c r="G229" s="21" t="inlineStr">
        <is>
          <t>DA TESTARE</t>
        </is>
      </c>
      <c r="H229" s="21">
        <f>IF(G229="BUG","BUG-"&amp;A229,IF(G229="FUNCTIONAL","FUNCTIONAL-"&amp;A229,""))</f>
        <v/>
      </c>
      <c r="I229" s="21" t="inlineStr">
        <is>
          <t>Bassa</t>
        </is>
      </c>
      <c r="L229" s="21" t="inlineStr">
        <is>
          <t>Un solo segnale per genitore+proposta (unifica 'interessato' e 'voto', community_activity_interest).</t>
        </is>
      </c>
    </row>
    <row r="230">
      <c r="A230" s="21" t="inlineStr">
        <is>
          <t>TC-N38</t>
        </is>
      </c>
      <c r="B230" s="21" t="inlineStr">
        <is>
          <t>NEXTGEN - Community</t>
        </is>
      </c>
      <c r="C230" s="21" t="inlineStr">
        <is>
          <t>'Famiglie gia' iscritte' riflette le prenotazioni reali dei membri</t>
        </is>
      </c>
      <c r="D230" s="21" t="inlineStr">
        <is>
          <t>Almeno un membro della community con una prenotazione attiva sull'attivita' proposta</t>
        </is>
      </c>
      <c r="E230" s="21" t="inlineStr">
        <is>
          <t>Dettaglio community -&gt; osserva il badge sulla proposta</t>
        </is>
      </c>
      <c r="F230" s="21" t="inlineStr">
        <is>
          <t>Badge 'N famiglie gia' iscritte' con N pari al numero di membri della community con una prenotazione non annullata su quell'attivita'</t>
        </is>
      </c>
      <c r="G230" s="21" t="inlineStr">
        <is>
          <t>DA TESTARE</t>
        </is>
      </c>
      <c r="H230" s="21">
        <f>IF(G230="BUG","BUG-"&amp;A230,IF(G230="FUNCTIONAL","FUNCTIONAL-"&amp;A230,""))</f>
        <v/>
      </c>
      <c r="I230" s="21" t="inlineStr">
        <is>
          <t>Media</t>
        </is>
      </c>
      <c r="L230" s="21" t="inlineStr">
        <is>
          <t>Calcolato in lettura incrociando bookings con i membri della community (lib/data/communities.ts) - nessuna tabella/duplicazione dedicata, come richiesto da Fabrizio.</t>
        </is>
      </c>
    </row>
    <row r="231">
      <c r="A231" s="21" t="inlineStr">
        <is>
          <t>TC-N39</t>
        </is>
      </c>
      <c r="B231" s="21" t="inlineStr">
        <is>
          <t>NEXTGEN - Community</t>
        </is>
      </c>
      <c r="C231" s="21" t="inlineStr">
        <is>
          <t>'Genera Gruppo' (solo Creatore/Admin) crea un gruppo collegato alla community</t>
        </is>
      </c>
      <c r="D231" s="21" t="inlineStr">
        <is>
          <t>Ruolo Creatore o Admin nella community, una proposta con almeno un interesse</t>
        </is>
      </c>
      <c r="E231" s="21" t="inlineStr">
        <is>
          <t>Dettaglio community -&gt; proposta con interesse -&gt; 'Genera Gruppo'</t>
        </is>
      </c>
      <c r="F231" s="21" t="inlineStr">
        <is>
          <t>Viene creato un vero Gruppo (public.groups) collegato all'attivita' della proposta e alla community (community_id), visibile poi in /groups con lo stesso flusso di Richiesta Gruppo/accompagnamento gia' esistente</t>
        </is>
      </c>
      <c r="G231" s="21" t="inlineStr">
        <is>
          <t>DA TESTARE</t>
        </is>
      </c>
      <c r="H231" s="21">
        <f>IF(G231="BUG","BUG-"&amp;A231,IF(G231="FUNCTIONAL","FUNCTIONAL-"&amp;A231,""))</f>
        <v/>
      </c>
      <c r="I231" s="21" t="inlineStr">
        <is>
          <t>Alta</t>
        </is>
      </c>
      <c r="L231" s="21" t="inlineStr">
        <is>
          <t>Relazione richiesta da Fabrizio con il vecchio concetto 'Gruppi': 'a patto che mantenga relazione'. community_id nullable su groups, nessuna riga esistente cambia comportamento.</t>
        </is>
      </c>
    </row>
    <row r="232">
      <c r="A232" s="21" t="inlineStr">
        <is>
          <t>TC-N40</t>
        </is>
      </c>
      <c r="B232" s="21" t="inlineStr">
        <is>
          <t>NEXTGEN - Community</t>
        </is>
      </c>
      <c r="C232" s="21" t="inlineStr">
        <is>
          <t>Il segnale sociale in Home compare solo se c'e' una proposta con interesse attivo</t>
        </is>
      </c>
      <c r="D232" s="21" t="inlineStr">
        <is>
          <t>Account genitore di test, membro di almeno una community</t>
        </is>
      </c>
      <c r="E232" s="21" t="inlineStr">
        <is>
          <t>Login Genitore -&gt; /nextgen (senza aver espresso ne' ricevuto alcun interesse) poi con un interesse espresso da un membro</t>
        </is>
      </c>
      <c r="F232" s="21" t="inlineStr">
        <is>
          <t>Senza interesse: nessun banner in Home. Con almeno un interesse su una proposta: piccolo banner 'N famiglie di [community] stanno valutando [attivita']', non invasivo, con link al dettaglio</t>
        </is>
      </c>
      <c r="G232" s="21" t="inlineStr">
        <is>
          <t>DA TESTARE</t>
        </is>
      </c>
      <c r="H232" s="21">
        <f>IF(G232="BUG","BUG-"&amp;A232,IF(G232="FUNCTIONAL","FUNCTIONAL-"&amp;A232,""))</f>
        <v/>
      </c>
      <c r="I232" s="21" t="inlineStr">
        <is>
          <t>Bassa</t>
        </is>
      </c>
      <c r="L232" s="21" t="inlineStr">
        <is>
          <t>Richiesta di Fabrizio: 'Home deve mostrare piccoli elementi sociali'. getCommunityHomeSignal() in lib/data/communities.ts, mostrato in HomeDashboardClient solo se non-null.</t>
        </is>
      </c>
    </row>
    <row r="233">
      <c r="A233" s="21" t="inlineStr">
        <is>
          <t>TC-193</t>
        </is>
      </c>
      <c r="B233" s="21" t="inlineStr">
        <is>
          <t>Genitori - Prenotazione</t>
        </is>
      </c>
      <c r="C233" s="21" t="inlineStr">
        <is>
          <t>'Le mie prenotazioni' (LEGACY): i gruppi si comprimono/espandono singolarmente</t>
        </is>
      </c>
      <c r="D233" s="21" t="inlineStr">
        <is>
          <t>Almeno 2 prenotazioni in gruppi diversi</t>
        </is>
      </c>
      <c r="E233" s="21" t="inlineStr">
        <is>
          <t>Login Genitore -&gt; /prenotazioni -&gt; tocca l'intestazione di un gruppo</t>
        </is>
      </c>
      <c r="F233" s="21" t="inlineStr">
        <is>
          <t>Il gruppo toccato si chiude/apre singolarmente (icona chevron su/giu), gli altri gruppi restano invariati - stessa funzionalita' gia' presente nella Home NEXTGEN</t>
        </is>
      </c>
      <c r="G233" s="21" t="inlineStr">
        <is>
          <t>DA TESTARE</t>
        </is>
      </c>
      <c r="H233" s="21">
        <f>IF(G233="BUG","BUG-"&amp;A233,IF(G233="FUNCTIONAL","FUNCTIONAL-"&amp;A233,""))</f>
        <v/>
      </c>
      <c r="I233" s="21" t="inlineStr">
        <is>
          <t>Media</t>
        </is>
      </c>
      <c r="L233" s="21" t="inlineStr">
        <is>
          <t>Segnalazione di Fabrizio: 'il raggruppamento non funziona'. Causa reale: il comprimi/espandi gruppo esisteva SOLO nella Home NEXTGEN (task #108), non qui - probabile schermata testata da Fabrizio. Aggiunta la stessa funzionalita' anche qui, con chiave prefissata dal criterio di raggruppamento per evitare collisioni tra etichette di criteri diversi.</t>
        </is>
      </c>
    </row>
    <row r="234">
      <c r="A234" s="21" t="inlineStr">
        <is>
          <t>TC-194</t>
        </is>
      </c>
      <c r="B234" s="21" t="inlineStr">
        <is>
          <t>Genitori - Prenotazione</t>
        </is>
      </c>
      <c r="C234" s="21" t="inlineStr">
        <is>
          <t>Prenotare la stessa settimana su un'altra attivita' mostra un avviso non bloccante</t>
        </is>
      </c>
      <c r="D234" s="21" t="inlineStr">
        <is>
          <t>Il bambino ha gia' una prenotazione attiva su un'altra attivita' in una settimana che si sovrappone a quella che si sta per prenotare</t>
        </is>
      </c>
      <c r="E234" s="21" t="inlineStr">
        <is>
          <t>Login Genitore -&gt; prenota un'attivita' -&gt; scegli una settimana gia' impegnata dallo stesso bambino su un'altra attivita' -&gt; 'Conferma e paga'</t>
        </is>
      </c>
      <c r="F234" s="21" t="inlineStr">
        <is>
          <t>Compare un avviso 'Attenzione: settimana gia' impegnata' con nome bambino, altra attivita' e settimana in conflitto, con pulsanti 'Prosegui comunque'/'Annulla' - la prenotazione NON viene creata finche' non si conferma esplicitamente</t>
        </is>
      </c>
      <c r="G234" s="21" t="inlineStr">
        <is>
          <t>DA TESTARE</t>
        </is>
      </c>
      <c r="H234" s="21">
        <f>IF(G234="BUG","BUG-"&amp;A234,IF(G234="FUNCTIONAL","FUNCTIONAL-"&amp;A234,""))</f>
        <v/>
      </c>
      <c r="I234" s="21" t="inlineStr">
        <is>
          <t>Alta</t>
        </is>
      </c>
      <c r="L234" s="21" t="inlineStr">
        <is>
          <t>Richiesta di Fabrizio: 'bisogna aggiungere un controllo sulle prenotazioni per evitare di farne multiple su diverse attivita' nella stessa settimana..un pop up di alert sarebbe ottimo'. Scelta confermata da Fabrizio tra le opzioni proposte: avviso con conferma, NON blocco rigido (alcune famiglie vogliono davvero due attivita' nella stessa settimana, es. mattina/pomeriggio). Implementato una sola volta in app/booking/[id]/actions.ts (createBookingAction), condiviso da LEGACY e NEXTGEN (stesso flusso di prenotazione).</t>
        </is>
      </c>
    </row>
    <row r="235">
      <c r="A235" s="21" t="inlineStr">
        <is>
          <t>TC-195</t>
        </is>
      </c>
      <c r="B235" s="21" t="inlineStr">
        <is>
          <t>Genitori - Prenotazione</t>
        </is>
      </c>
      <c r="C235" s="21" t="inlineStr">
        <is>
          <t>'Prosegui comunque' nell'avviso di sovrapposizione completa la prenotazione</t>
        </is>
      </c>
      <c r="D235" s="21" t="inlineStr">
        <is>
          <t>Come TC-194, avviso di sovrapposizione gia' mostrato</t>
        </is>
      </c>
      <c r="E235" s="21" t="inlineStr">
        <is>
          <t>Dall'avviso di sovrapposizione, tocca 'Prosegui comunque'</t>
        </is>
      </c>
      <c r="F235" s="21" t="inlineStr">
        <is>
          <t>La prenotazione viene creata normalmente (redirect a schermata di successo) - il controllo non si ripresenta una seconda volta per la stessa richiesta</t>
        </is>
      </c>
      <c r="G235" s="21" t="inlineStr">
        <is>
          <t>DA TESTARE</t>
        </is>
      </c>
      <c r="H235" s="21">
        <f>IF(G235="BUG","BUG-"&amp;A235,IF(G235="FUNCTIONAL","FUNCTIONAL-"&amp;A235,""))</f>
        <v/>
      </c>
      <c r="I235" s="21" t="inlineStr">
        <is>
          <t>Media</t>
        </is>
      </c>
      <c r="L235" s="21" t="inlineStr">
        <is>
          <t>createBookingAction viene richiamata con confirmOverlap:true, che salta il controllo ed esegue l'insert come nel flusso normale.</t>
        </is>
      </c>
    </row>
    <row r="236">
      <c r="A236" s="21" t="inlineStr">
        <is>
          <t>TC-N41</t>
        </is>
      </c>
      <c r="B236" s="21" t="inlineStr">
        <is>
          <t>NEXTGEN - Family Planner (5.1)</t>
        </is>
      </c>
      <c r="C236" s="21" t="inlineStr">
        <is>
          <t>Home mostra 'Attivita da confermare' solo per le prenotazioni in stato pending</t>
        </is>
      </c>
      <c r="D236" s="21" t="inlineStr">
        <is>
          <t>Account genitore di test con almeno una prenotazione in stato 'In attesa'</t>
        </is>
      </c>
      <c r="E236" s="21" t="inlineStr">
        <is>
          <t>Login Genitore -&gt; /nextgen -&gt; osserva la sezione 'Attivita da confermare'</t>
        </is>
      </c>
      <c r="F236" s="21" t="inlineStr">
        <is>
          <t>Compaiono solo le prenotazioni con status='pending' (non le confermate/annullate); link 'Gestisci tutte le prenotazioni' porta a /prenotazioni</t>
        </is>
      </c>
      <c r="G236" s="21" t="inlineStr">
        <is>
          <t>DA TESTARE</t>
        </is>
      </c>
      <c r="H236" s="21">
        <f>IF(G236="BUG","BUG-"&amp;A236,IF(G236="FUNCTIONAL","FUNCTIONAL-"&amp;A236,""))</f>
        <v/>
      </c>
      <c r="I236" s="21" t="inlineStr">
        <is>
          <t>Alta</t>
        </is>
      </c>
      <c r="L236" s="21" t="inlineStr">
        <is>
          <t>Sostituisce l'elenco 'Prenotazioni' con raggruppa/ordina, rimosso da Home (Sprint 5.1 - 'Home ridotta a sola sintesi').</t>
        </is>
      </c>
    </row>
    <row r="237">
      <c r="A237" s="21" t="inlineStr">
        <is>
          <t>TC-N42</t>
        </is>
      </c>
      <c r="B237" s="21" t="inlineStr">
        <is>
          <t>NEXTGEN - Family Planner (5.1)</t>
        </is>
      </c>
      <c r="C237" s="21" t="inlineStr">
        <is>
          <t>Home non mostra piu timeline completa, budget dettagliato o mappa (solo sintesi)</t>
        </is>
      </c>
      <c r="D237" s="21" t="inlineStr">
        <is>
          <t>Account genitore di test</t>
        </is>
      </c>
      <c r="E237" s="21" t="inlineStr">
        <is>
          <t>Login Genitore -&gt; /nextgen -&gt; verifica assenza di 'Timeline della stagione', 'Budget estate', 'Per categoria'</t>
        </is>
      </c>
      <c r="F237" s="21" t="inlineStr">
        <is>
          <t>Nessuna delle sezioni di dettaglio e presente in Home; e visibile una CTA 'Apri Planner' in fondo alla pagina</t>
        </is>
      </c>
      <c r="G237" s="21" t="inlineStr">
        <is>
          <t>DA TESTARE</t>
        </is>
      </c>
      <c r="H237" s="21">
        <f>IF(G237="BUG","BUG-"&amp;A237,IF(G237="FUNCTIONAL","FUNCTIONAL-"&amp;A237,""))</f>
        <v/>
      </c>
      <c r="I237" s="21" t="inlineStr">
        <is>
          <t>Alta</t>
        </is>
      </c>
      <c r="L237" s="21" t="inlineStr">
        <is>
          <t>Richiesta esplicita di Fabrizio (PRD Family Planner): 'HOME... Stop. Niente timeline completa. Niente budget dettagliato. Niente mappa. Solo sintesi.'</t>
        </is>
      </c>
    </row>
    <row r="238">
      <c r="A238" s="21" t="inlineStr">
        <is>
          <t>TC-N43</t>
        </is>
      </c>
      <c r="B238" s="21" t="inlineStr">
        <is>
          <t>NEXTGEN - Family Planner (5.1)</t>
        </is>
      </c>
      <c r="C238" s="21" t="inlineStr">
        <is>
          <t>Il Planner mostra le 5 modalita Organizzazione/Calendario/Mappa/Budget/Gruppi</t>
        </is>
      </c>
      <c r="D238" s="21" t="inlineStr">
        <is>
          <t>Account genitore di test</t>
        </is>
      </c>
      <c r="E238" s="21" t="inlineStr">
        <is>
          <t>Login Genitore -&gt; /nextgen/planner -&gt; osserva il selettore di modalita sotto l'intestazione</t>
        </is>
      </c>
      <c r="F238" s="21" t="inlineStr">
        <is>
          <t>Sono visibili 5 pulsanti: Organizzazione, Calendario, Mappa, Budget, Gruppi; Organizzazione e selezionata di default</t>
        </is>
      </c>
      <c r="G238" s="21" t="inlineStr">
        <is>
          <t>DA TESTARE</t>
        </is>
      </c>
      <c r="H238" s="21">
        <f>IF(G238="BUG","BUG-"&amp;A238,IF(G238="FUNCTIONAL","FUNCTIONAL-"&amp;A238,""))</f>
        <v/>
      </c>
      <c r="I238" s="21" t="inlineStr">
        <is>
          <t>Alta</t>
        </is>
      </c>
      <c r="L238" s="21" t="inlineStr">
        <is>
          <t>Componente PlannerModeTabs, nuovo in Sprint 5.1.</t>
        </is>
      </c>
    </row>
    <row r="239">
      <c r="A239" s="21" t="inlineStr">
        <is>
          <t>TC-N44</t>
        </is>
      </c>
      <c r="B239" s="21" t="inlineStr">
        <is>
          <t>NEXTGEN - Family Planner (5.1)</t>
        </is>
      </c>
      <c r="C239" s="21" t="inlineStr">
        <is>
          <t>Le modalita Mappa/Gruppi mostrano 'in arrivo' (non ancora implementate)</t>
        </is>
      </c>
      <c r="D239" s="21" t="inlineStr">
        <is>
          <t>Account genitore di test</t>
        </is>
      </c>
      <c r="E239" s="21" t="inlineStr">
        <is>
          <t>Nel Planner, tocca in sequenza Mappa, Gruppi (Calendario e ora implementato, vedi TC-N50..N55)</t>
        </is>
      </c>
      <c r="F239" s="21" t="inlineStr">
        <is>
          <t>Ognuna mostra un placeholder 'Vista ... in arrivo' con una breve descrizione, nessun errore applicativo</t>
        </is>
      </c>
      <c r="G239" s="21" t="inlineStr">
        <is>
          <t>DA TESTARE</t>
        </is>
      </c>
      <c r="H239" s="21">
        <f>IF(G239="BUG","BUG-"&amp;A239,IF(G239="FUNCTIONAL","FUNCTIONAL-"&amp;A239,""))</f>
        <v/>
      </c>
      <c r="I239" s="21" t="inlineStr">
        <is>
          <t>Media</t>
        </is>
      </c>
      <c r="L239" s="21" t="inlineStr">
        <is>
          <t>SPRINT 5.2: Calendario implementato per davvero, rimosso da questo TC. Implementazione prevista nelle fasi 5.4 (Mappa)/5.6 (Gruppi).</t>
        </is>
      </c>
    </row>
    <row r="240">
      <c r="A240" s="21" t="inlineStr">
        <is>
          <t>TC-N45</t>
        </is>
      </c>
      <c r="B240" s="21" t="inlineStr">
        <is>
          <t>NEXTGEN - Family Planner (5.1)</t>
        </is>
      </c>
      <c r="C240" s="21" t="inlineStr">
        <is>
          <t>Modalita Budget: senza un tetto impostato, il primo accesso forza l'inserimento</t>
        </is>
      </c>
      <c r="D240" s="21" t="inlineStr">
        <is>
          <t>Account genitore di test SENZA season_budget_target gia impostato</t>
        </is>
      </c>
      <c r="E240" s="21" t="inlineStr">
        <is>
          <t>Nel Planner, tocca 'Budget'</t>
        </is>
      </c>
      <c r="F240" s="21" t="inlineStr">
        <is>
          <t>Il campo di inserimento importo e vuoto (nessun valore precompilato/fake) e in modalita modifica</t>
        </is>
      </c>
      <c r="G240" s="21" t="inlineStr">
        <is>
          <t>DA TESTARE</t>
        </is>
      </c>
      <c r="H240" s="21">
        <f>IF(G240="BUG","BUG-"&amp;A240,IF(G240="FUNCTIONAL","FUNCTIONAL-"&amp;A240,""))</f>
        <v/>
      </c>
      <c r="I240" s="21" t="inlineStr">
        <is>
          <t>Alta</t>
        </is>
      </c>
      <c r="L240" s="21" t="inlineStr">
        <is>
          <t>Richiesta esplicita di Fabrizio: 'nessun default fasullo precompilato', il genitore imposta il proprio tetto.</t>
        </is>
      </c>
    </row>
    <row r="241">
      <c r="A241" s="21" t="inlineStr">
        <is>
          <t>TC-N46</t>
        </is>
      </c>
      <c r="B241" s="21" t="inlineStr">
        <is>
          <t>NEXTGEN - Family Planner (5.1)</t>
        </is>
      </c>
      <c r="C241" s="21" t="inlineStr">
        <is>
          <t>Modalita Budget: impostare il tetto lo salva e mostra la percentuale utilizzata</t>
        </is>
      </c>
      <c r="D241" s="21" t="inlineStr">
        <is>
          <t>Account genitore di test</t>
        </is>
      </c>
      <c r="E241" s="21" t="inlineStr">
        <is>
          <t>Nel Planner -&gt; Budget -&gt; inserisci un importo -&gt; 'Salva budget'</t>
        </is>
      </c>
      <c r="F241" s="21" t="inlineStr">
        <is>
          <t>Toast di conferma 'Budget stagionale salvato!'; la card mostra 'Budget pianificato' vs 'Speso finora' con barra di progresso e percentuale</t>
        </is>
      </c>
      <c r="G241" s="21" t="inlineStr">
        <is>
          <t>DA TESTARE</t>
        </is>
      </c>
      <c r="H241" s="21">
        <f>IF(G241="BUG","BUG-"&amp;A241,IF(G241="FUNCTIONAL","FUNCTIONAL-"&amp;A241,""))</f>
        <v/>
      </c>
      <c r="I241" s="21" t="inlineStr">
        <is>
          <t>Alta</t>
        </is>
      </c>
      <c r="L241" s="21" t="inlineStr">
        <is>
          <t>setSeasonBudgetTargetAction su profiles.season_budget_target; barra arancione se si supera il tetto.</t>
        </is>
      </c>
    </row>
    <row r="242">
      <c r="A242" s="21" t="inlineStr">
        <is>
          <t>TC-N47</t>
        </is>
      </c>
      <c r="B242" s="21" t="inlineStr">
        <is>
          <t>NEXTGEN - Family Planner (5.1)</t>
        </is>
      </c>
      <c r="C242" s="21" t="inlineStr">
        <is>
          <t>Missioni: messaggio motivazionale quando manca una sola settimana per completare un mese</t>
        </is>
      </c>
      <c r="D242" s="21" t="inlineStr">
        <is>
          <t>Account genitore di test con esattamente una settimana scoperta in un mese della stagione</t>
        </is>
      </c>
      <c r="E242" s="21" t="inlineStr">
        <is>
          <t>Login Genitore -&gt; /nextgen/planner (modalita Organizzazione)</t>
        </is>
      </c>
      <c r="F242" s="21" t="inlineStr">
        <is>
          <t>Compare un messaggio tipo 'Ti manca solo la Settimana N per completare {Mese}.' con emoji dedicata, non invasivo</t>
        </is>
      </c>
      <c r="G242" s="21" t="inlineStr">
        <is>
          <t>DA TESTARE</t>
        </is>
      </c>
      <c r="H242" s="21">
        <f>IF(G242="BUG","BUG-"&amp;A242,IF(G242="FUNCTIONAL","FUNCTIONAL-"&amp;A242,""))</f>
        <v/>
      </c>
      <c r="I242" s="21" t="inlineStr">
        <is>
          <t>Media</t>
        </is>
      </c>
      <c r="L242" s="21" t="inlineStr">
        <is>
          <t>lib/nextgen/missions.ts - esplicitamente 'non gamification, messaggi che riducono l'ansia' (richiesta di Fabrizio).</t>
        </is>
      </c>
    </row>
    <row r="243">
      <c r="A243" s="21" t="inlineStr">
        <is>
          <t>TC-N48</t>
        </is>
      </c>
      <c r="B243" s="21" t="inlineStr">
        <is>
          <t>NEXTGEN - Family Planner (5.1)</t>
        </is>
      </c>
      <c r="C243" s="21" t="inlineStr">
        <is>
          <t>Copertura per bambino: visibile solo con piu di un figlio, con rassicurazione a copertura completa</t>
        </is>
      </c>
      <c r="D243" s="21" t="inlineStr">
        <is>
          <t>Account genitore di test con 2+ bambini</t>
        </is>
      </c>
      <c r="E243" s="21" t="inlineStr">
        <is>
          <t>Nel Planner (Organizzazione), osserva la card 'Copertura per bambino'</t>
        </is>
      </c>
      <c r="F243" s="21" t="inlineStr">
        <is>
          <t>Una riga per figlio con percentuale di copertura; un figlio con copertura completa mostra 'Tutto organizzato! (celebrativo)' invece del semplice conteggio</t>
        </is>
      </c>
      <c r="G243" s="21" t="inlineStr">
        <is>
          <t>DA TESTARE</t>
        </is>
      </c>
      <c r="H243" s="21">
        <f>IF(G243="BUG","BUG-"&amp;A243,IF(G243="FUNCTIONAL","FUNCTIONAL-"&amp;A243,""))</f>
        <v/>
      </c>
      <c r="I243" s="21" t="inlineStr">
        <is>
          <t>Media</t>
        </is>
      </c>
      <c r="L243" s="21" t="inlineStr">
        <is>
          <t>computePerKidCoverage in lib/nextgen/planner-insights.ts; non mostrata con un solo figlio (doppione della card di copertura generale).</t>
        </is>
      </c>
    </row>
    <row r="244">
      <c r="A244" s="21" t="inlineStr">
        <is>
          <t>TC-N49</t>
        </is>
      </c>
      <c r="B244" s="21" t="inlineStr">
        <is>
          <t>NEXTGEN - Family Planner (5.1)</t>
        </is>
      </c>
      <c r="C244" s="21" t="inlineStr">
        <is>
          <t>Home non ha un centro notifiche dedicato (gap noto, da verificare con Fabrizio)</t>
        </is>
      </c>
      <c r="D244" s="21" t="inlineStr">
        <is>
          <t>Account genitore di test</t>
        </is>
      </c>
      <c r="E244" s="21" t="inlineStr">
        <is>
          <t>Login Genitore -&gt; /nextgen -&gt; verifica che non esista una sezione 'Notifiche' separata</t>
        </is>
      </c>
      <c r="F244" s="21" t="inlineStr">
        <is>
          <t>Nessuna sezione dedicata; i segnali equivalenti (Check-in, Attivita da confermare, segnale Community) coprono per ora questo ruolo</t>
        </is>
      </c>
      <c r="G244" s="21" t="inlineStr">
        <is>
          <t>DA TESTARE</t>
        </is>
      </c>
      <c r="H244" s="21">
        <f>IF(G244="BUG","BUG-"&amp;A244,IF(G244="FUNCTIONAL","FUNCTIONAL-"&amp;A244,""))</f>
        <v/>
      </c>
      <c r="I244" s="21" t="inlineStr">
        <is>
          <t>Bassa</t>
        </is>
      </c>
      <c r="L244" s="21" t="inlineStr">
        <is>
          <t>ASSUNZIONE DA CONFERMARE CON FABRIZIO: il PRD elenca 'Notifiche' come voce a se stante; non esiste ancora un centro notifiche/push reale. Candidato per una fase futura (5.4 - promemoria intelligenti - o oltre).</t>
        </is>
      </c>
    </row>
    <row r="245">
      <c r="A245" s="21" t="inlineStr">
        <is>
          <t>TC-N50</t>
        </is>
      </c>
      <c r="B245" s="21" t="inlineStr">
        <is>
          <t>NEXTGEN - Planner Calendario (5.2)</t>
        </is>
      </c>
      <c r="C245" s="21" t="inlineStr">
        <is>
          <t>La modalita Calendario mostra la Vista Mese di default, con selettore Mese/Settimana</t>
        </is>
      </c>
      <c r="D245" s="21" t="inlineStr">
        <is>
          <t>Account genitore di test</t>
        </is>
      </c>
      <c r="E245" s="21" t="inlineStr">
        <is>
          <t>Nel Planner, tocca 'Calendario'</t>
        </is>
      </c>
      <c r="F245" s="21" t="inlineStr">
        <is>
          <t>Compare una griglia mensile con selettore 'Mese'/'Settimana' (Mese selezionato di default) e navigazione mese precedente/successivo</t>
        </is>
      </c>
      <c r="G245" s="21" t="inlineStr">
        <is>
          <t>DA TESTARE</t>
        </is>
      </c>
      <c r="H245" s="21">
        <f>IF(G245="BUG","BUG-"&amp;A245,IF(G245="FUNCTIONAL","FUNCTIONAL-"&amp;A245,""))</f>
        <v/>
      </c>
      <c r="I245" s="21" t="inlineStr">
        <is>
          <t>Alta</t>
        </is>
      </c>
      <c r="L245" s="21" t="inlineStr">
        <is>
          <t>Sostituisce il placeholder 'Vista Calendario in arrivo' di Sprint 5.1.</t>
        </is>
      </c>
    </row>
    <row r="246">
      <c r="A246" s="21" t="inlineStr">
        <is>
          <t>TC-N51</t>
        </is>
      </c>
      <c r="B246" s="21" t="inlineStr">
        <is>
          <t>NEXTGEN - Planner Calendario (5.2)</t>
        </is>
      </c>
      <c r="C246" s="21" t="inlineStr">
        <is>
          <t>Vista Mese: la griglia mostra le intestazioni dei giorni della settimana (L M M G V S D)</t>
        </is>
      </c>
      <c r="D246" s="21" t="inlineStr">
        <is>
          <t>Account genitore di test</t>
        </is>
      </c>
      <c r="E246" s="21" t="inlineStr">
        <is>
          <t>Nel Planner -&gt; Calendario, osserva l'intestazione della griglia</t>
        </is>
      </c>
      <c r="F246" s="21" t="inlineStr">
        <is>
          <t>7 colonne Lun-Dom; i weekend restano sempre vuoti (i centri operano Lun-Ven)</t>
        </is>
      </c>
      <c r="G246" s="21" t="inlineStr">
        <is>
          <t>DA TESTARE</t>
        </is>
      </c>
      <c r="H246" s="21">
        <f>IF(G246="BUG","BUG-"&amp;A246,IF(G246="FUNCTIONAL","FUNCTIONAL-"&amp;A246,""))</f>
        <v/>
      </c>
      <c r="I246" s="21" t="inlineStr">
        <is>
          <t>Media</t>
        </is>
      </c>
      <c r="L246" s="21" t="inlineStr">
        <is>
          <t>lib/nextgen/calendar-weeks.ts - limite di dati dichiarato: nessuna granularita giornaliera reale, solo settimane intere Lun-Ven.</t>
        </is>
      </c>
    </row>
    <row r="247">
      <c r="A247" s="21" t="inlineStr">
        <is>
          <t>TC-N52</t>
        </is>
      </c>
      <c r="B247" s="21" t="inlineStr">
        <is>
          <t>NEXTGEN - Planner Calendario (5.2)</t>
        </is>
      </c>
      <c r="C247" s="21" t="inlineStr">
        <is>
          <t>Vista Mese: i giorni delle settimane prenotate mostrano un pallino colorato per bambino</t>
        </is>
      </c>
      <c r="D247" s="21" t="inlineStr">
        <is>
          <t>Account genitore di test con 2+ bambini e almeno una settimana coperta nel mese corrente</t>
        </is>
      </c>
      <c r="E247" s="21" t="inlineStr">
        <is>
          <t>Nel Planner -&gt; Calendario (Vista Mese), osserva i giorni feriali di una settimana prenotata</t>
        </is>
      </c>
      <c r="F247" s="21" t="inlineStr">
        <is>
          <t>Ogni giorno feriale della settimana mostra un pallino colorato per ciascun bambino coperto (colore coerente con la legenda in cima); le settimane con sovrapposizione mostrano anche un'icona di avviso</t>
        </is>
      </c>
      <c r="G247" s="21" t="inlineStr">
        <is>
          <t>DA TESTARE</t>
        </is>
      </c>
      <c r="H247" s="21">
        <f>IF(G247="BUG","BUG-"&amp;A247,IF(G247="FUNCTIONAL","FUNCTIONAL-"&amp;A247,""))</f>
        <v/>
      </c>
      <c r="I247" s="21" t="inlineStr">
        <is>
          <t>Alta</t>
        </is>
      </c>
      <c r="L247" s="21" t="inlineStr">
        <is>
          <t>Colore per bambino: kid.accentColor o hash deterministico dal nome (stessa tecnica di accentColorForName), duplicata in calendar-weeks.ts.</t>
        </is>
      </c>
    </row>
    <row r="248">
      <c r="A248" s="21" t="inlineStr">
        <is>
          <t>TC-N53</t>
        </is>
      </c>
      <c r="B248" s="21" t="inlineStr">
        <is>
          <t>NEXTGEN - Planner Calendario (5.2)</t>
        </is>
      </c>
      <c r="C248" s="21" t="inlineStr">
        <is>
          <t>Toccare un giorno prenotato apre il riepilogo della settimana</t>
        </is>
      </c>
      <c r="D248" s="21" t="inlineStr">
        <is>
          <t>Account genitore di test con almeno una settimana coperta</t>
        </is>
      </c>
      <c r="E248" s="21" t="inlineStr">
        <is>
          <t>Nel Planner -&gt; Calendario (Vista Mese), tocca un giorno feriale colorato</t>
        </is>
      </c>
      <c r="F248" s="21" t="inlineStr">
        <is>
          <t>Si apre un riepilogo con l'etichetta della settimana, i bambini coinvolti e l'attivita; se c'e' una sovrapposizione, un avviso invita a controllare il dettaglio in Organizzazione</t>
        </is>
      </c>
      <c r="G248" s="21" t="inlineStr">
        <is>
          <t>DA TESTARE</t>
        </is>
      </c>
      <c r="H248" s="21">
        <f>IF(G248="BUG","BUG-"&amp;A248,IF(G248="FUNCTIONAL","FUNCTIONAL-"&amp;A248,""))</f>
        <v/>
      </c>
      <c r="I248" s="21" t="inlineStr">
        <is>
          <t>Media</t>
        </is>
      </c>
    </row>
    <row r="249">
      <c r="A249" s="21" t="inlineStr">
        <is>
          <t>TC-N54</t>
        </is>
      </c>
      <c r="B249" s="21" t="inlineStr">
        <is>
          <t>NEXTGEN - Planner Calendario (5.2)</t>
        </is>
      </c>
      <c r="C249" s="21" t="inlineStr">
        <is>
          <t>Vista Settimana: elenca le 13 settimane stagionali con pallini per bambino e avviso di sovrapposizione</t>
        </is>
      </c>
      <c r="D249" s="21" t="inlineStr">
        <is>
          <t>Account genitore di test</t>
        </is>
      </c>
      <c r="E249" s="21" t="inlineStr">
        <is>
          <t>Nel Planner -&gt; Calendario, tocca 'Settimana'</t>
        </is>
      </c>
      <c r="F249" s="21" t="inlineStr">
        <is>
          <t>Compaiono 13 righe (Sett. 1..Sett. 13), ciascuna con i pallini colorati dei bambini coperti o 'Scoperta'/'Non ti serve'; le sovrapposizioni mostrano un'icona di avviso</t>
        </is>
      </c>
      <c r="G249" s="21" t="inlineStr">
        <is>
          <t>DA TESTARE</t>
        </is>
      </c>
      <c r="H249" s="21">
        <f>IF(G249="BUG","BUG-"&amp;A249,IF(G249="FUNCTIONAL","FUNCTIONAL-"&amp;A249,""))</f>
        <v/>
      </c>
      <c r="I249" s="21" t="inlineStr">
        <is>
          <t>Media</t>
        </is>
      </c>
      <c r="L249" s="21" t="inlineStr">
        <is>
          <t>Vista compatta alternativa alla griglia mensile, stessi dati (planner.weeks + overlaps).</t>
        </is>
      </c>
    </row>
    <row r="250">
      <c r="A250" s="21" t="inlineStr">
        <is>
          <t>TC-N55</t>
        </is>
      </c>
      <c r="B250" s="21" t="inlineStr">
        <is>
          <t>NEXTGEN - Planner Calendario (5.2)</t>
        </is>
      </c>
      <c r="C250" s="21" t="inlineStr">
        <is>
          <t>Il selettore Mese precedente/successivo naviga tra i mesi della stagione</t>
        </is>
      </c>
      <c r="D250" s="21" t="inlineStr">
        <is>
          <t>Account genitore di test</t>
        </is>
      </c>
      <c r="E250" s="21" t="inlineStr">
        <is>
          <t>Nel Planner -&gt; Calendario (Vista Mese), tocca le frecce precedente/successivo</t>
        </is>
      </c>
      <c r="F250" s="21" t="inlineStr">
        <is>
          <t>La griglia si aggiorna al mese corrispondente; le frecce si disabilitano ai confini della stagione (primo/ultimo mese)</t>
        </is>
      </c>
      <c r="G250" s="21" t="inlineStr">
        <is>
          <t>DA TESTARE</t>
        </is>
      </c>
      <c r="H250" s="21">
        <f>IF(G250="BUG","BUG-"&amp;A250,IF(G250="FUNCTIONAL","FUNCTIONAL-"&amp;A250,""))</f>
        <v/>
      </c>
      <c r="I250" s="21" t="inlineStr">
        <is>
          <t>Bassa</t>
        </is>
      </c>
    </row>
    <row r="251">
      <c r="A251" s="21" t="inlineStr">
        <is>
          <t>TC-N56</t>
        </is>
      </c>
      <c r="B251" s="21" t="inlineStr">
        <is>
          <t>NEXTGEN - Family Planner (5.3)</t>
        </is>
      </c>
      <c r="C251" s="21" t="inlineStr">
        <is>
          <t>Il link 'Indirizzi di famiglia' e' raggiungibile dal Planner e apre 4 schede indirizzo</t>
        </is>
      </c>
      <c r="D251" s="21" t="inlineStr">
        <is>
          <t>Account genitore di test</t>
        </is>
      </c>
      <c r="E251" s="21" t="inlineStr">
        <is>
          <t>Nel Planner (qualsiasi modalita'), tocca 'Indirizzi di famiglia'</t>
        </is>
      </c>
      <c r="F251" s="21" t="inlineStr">
        <is>
          <t>Si apre /nextgen/planner/indirizzi con 4 schede: Casa, Lavoro Genitore 1, Lavoro Genitore 2, Altro</t>
        </is>
      </c>
      <c r="G251" s="21" t="inlineStr">
        <is>
          <t>DA TESTARE</t>
        </is>
      </c>
      <c r="H251" s="21">
        <f>IF(G251="BUG","BUG-"&amp;A251,IF(G251="FUNCTIONAL","FUNCTIONAL-"&amp;A251,""))</f>
        <v/>
      </c>
      <c r="I251" s="21" t="inlineStr">
        <is>
          <t>Media</t>
        </is>
      </c>
    </row>
    <row r="252">
      <c r="A252" s="21" t="inlineStr">
        <is>
          <t>TC-N57</t>
        </is>
      </c>
      <c r="B252" s="21" t="inlineStr">
        <is>
          <t>NEXTGEN - Family Planner (5.3)</t>
        </is>
      </c>
      <c r="C252" s="21" t="inlineStr">
        <is>
          <t>Salvare un indirizzo mostra una conferma e il link 'Apri in Maps'</t>
        </is>
      </c>
      <c r="D252" s="21" t="inlineStr">
        <is>
          <t>Account genitore di test, pagina Indirizzi</t>
        </is>
      </c>
      <c r="E252" s="21" t="inlineStr">
        <is>
          <t>Scrivi un indirizzo in una scheda (es. Casa) -&gt; Salva</t>
        </is>
      </c>
      <c r="F252" s="21" t="inlineStr">
        <is>
          <t>Toast 'Indirizzo salvato!'; la scheda mostra l'indirizzo in sola lettura con un pulsante 'Apri in Maps' che apre Google Maps con l'indirizzo</t>
        </is>
      </c>
      <c r="G252" s="21" t="inlineStr">
        <is>
          <t>DA TESTARE</t>
        </is>
      </c>
      <c r="H252" s="21">
        <f>IF(G252="BUG","BUG-"&amp;A252,IF(G252="FUNCTIONAL","FUNCTIONAL-"&amp;A252,""))</f>
        <v/>
      </c>
      <c r="I252" s="21" t="inlineStr">
        <is>
          <t>Media</t>
        </is>
      </c>
    </row>
    <row r="253">
      <c r="A253" s="21" t="inlineStr">
        <is>
          <t>TC-N58</t>
        </is>
      </c>
      <c r="B253" s="21" t="inlineStr">
        <is>
          <t>NEXTGEN - Family Planner (5.3)</t>
        </is>
      </c>
      <c r="C253" s="21" t="inlineStr">
        <is>
          <t>Rimuovere un indirizzo salvato torna alla modalita' di modifica</t>
        </is>
      </c>
      <c r="D253" s="21" t="inlineStr">
        <is>
          <t>Account genitore di test con almeno un indirizzo gia' salvato</t>
        </is>
      </c>
      <c r="E253" s="21" t="inlineStr">
        <is>
          <t>Nella scheda indirizzo, tocca l'icona Rimuovi</t>
        </is>
      </c>
      <c r="F253" s="21" t="inlineStr">
        <is>
          <t>Toast 'Indirizzo rimosso'; la scheda torna in modalita' di modifica con il campo vuoto</t>
        </is>
      </c>
      <c r="G253" s="21" t="inlineStr">
        <is>
          <t>DA TESTARE</t>
        </is>
      </c>
      <c r="H253" s="21">
        <f>IF(G253="BUG","BUG-"&amp;A253,IF(G253="FUNCTIONAL","FUNCTIONAL-"&amp;A253,""))</f>
        <v/>
      </c>
      <c r="I253" s="21" t="inlineStr">
        <is>
          <t>Bassa</t>
        </is>
      </c>
    </row>
    <row r="254">
      <c r="A254" s="21" t="inlineStr">
        <is>
          <t>TC-N59</t>
        </is>
      </c>
      <c r="B254" s="21" t="inlineStr">
        <is>
          <t>NEXTGEN - Family Planner (5.3 + correttivo)</t>
        </is>
      </c>
      <c r="C254" s="21" t="inlineStr">
        <is>
          <t>Nel riepilogo settimana del Calendario, 'Chi fa cosa?' mostra una griglia Lun-Ven x Andata/Ritorno per bambino</t>
        </is>
      </c>
      <c r="D254" s="21" t="inlineStr">
        <is>
          <t>Account genitore di test con almeno una settimana coperta</t>
        </is>
      </c>
      <c r="E254" s="21" t="inlineStr">
        <is>
          <t>Nel Planner -&gt; Calendario, apri il riepilogo di una settimana coperta</t>
        </is>
      </c>
      <c r="F254" s="21" t="inlineStr">
        <is>
          <t>Per ogni bambino coinvolto compare una griglia con intestazioni Lun/Mar/Mer/Gio/Ven e due righe Andata/Ritorno; le celle non assegnate mostrano un segnaposto neutro</t>
        </is>
      </c>
      <c r="G254" s="21" t="inlineStr">
        <is>
          <t>DA TESTARE</t>
        </is>
      </c>
      <c r="H254" s="21">
        <f>IF(G254="BUG","BUG-"&amp;A254,IF(G254="FUNCTIONAL","FUNCTIONAL-"&amp;A254,""))</f>
        <v/>
      </c>
      <c r="I254" s="21" t="inlineStr">
        <is>
          <t>Media</t>
        </is>
      </c>
    </row>
    <row r="255">
      <c r="A255" s="21" t="inlineStr">
        <is>
          <t>TC-N60</t>
        </is>
      </c>
      <c r="B255" s="21" t="inlineStr">
        <is>
          <t>NEXTGEN - Family Planner (5.3 + correttivo)</t>
        </is>
      </c>
      <c r="C255" s="21" t="inlineStr">
        <is>
          <t>'Chi fa cosa?': assegnare un'opzione predefinita (es. Partner) a una singola cella giorno/momento aggiorna subito quella cella</t>
        </is>
      </c>
      <c r="D255" s="21" t="inlineStr">
        <is>
          <t>Account genitore di test con almeno una settimana coperta</t>
        </is>
      </c>
      <c r="E255" s="21" t="inlineStr">
        <is>
          <t>Nel riepilogo settimana, tocca una cella libera della griglia (es. Lun/Andata) -&gt; scegli 'Partner'</t>
        </is>
      </c>
      <c r="F255" s="21" t="inlineStr">
        <is>
          <t>Toast 'Assegnato!'; solo quella cella (quel giorno e momento) mostra l'emoji/etichetta di Partner, le altre celle restano invariate</t>
        </is>
      </c>
      <c r="G255" s="21" t="inlineStr">
        <is>
          <t>DA TESTARE</t>
        </is>
      </c>
      <c r="H255" s="21">
        <f>IF(G255="BUG","BUG-"&amp;A255,IF(G255="FUNCTIONAL","FUNCTIONAL-"&amp;A255,""))</f>
        <v/>
      </c>
      <c r="I255" s="21" t="inlineStr">
        <is>
          <t>Alta</t>
        </is>
      </c>
    </row>
    <row r="256">
      <c r="A256" s="21" t="inlineStr">
        <is>
          <t>TC-N61</t>
        </is>
      </c>
      <c r="B256" s="21" t="inlineStr">
        <is>
          <t>NEXTGEN - Family Planner (5.3 + correttivo)</t>
        </is>
      </c>
      <c r="C256" s="21" t="inlineStr">
        <is>
          <t>'Chi fa cosa?': l'opzione 'Altro' richiede un testo libero prima di confermare</t>
        </is>
      </c>
      <c r="D256" s="21" t="inlineStr">
        <is>
          <t>Account genitore di test con almeno una settimana coperta</t>
        </is>
      </c>
      <c r="E256" s="21" t="inlineStr">
        <is>
          <t>Tocca una cella della griglia 'Chi fa cosa?' -&gt; lascia vuoto il campo 'Altro' -&gt; osserva il pulsante OK</t>
        </is>
      </c>
      <c r="F256" s="21" t="inlineStr">
        <is>
          <t>Il pulsante OK resta disabilitato finche' il campo testo e' vuoto; digitando un nome si abilita</t>
        </is>
      </c>
      <c r="G256" s="21" t="inlineStr">
        <is>
          <t>DA TESTARE</t>
        </is>
      </c>
      <c r="H256" s="21">
        <f>IF(G256="BUG","BUG-"&amp;A256,IF(G256="FUNCTIONAL","FUNCTIONAL-"&amp;A256,""))</f>
        <v/>
      </c>
      <c r="I256" s="21" t="inlineStr">
        <is>
          <t>Media</t>
        </is>
      </c>
    </row>
    <row r="257">
      <c r="A257" s="21" t="inlineStr">
        <is>
          <t>TC-N62</t>
        </is>
      </c>
      <c r="B257" s="21" t="inlineStr">
        <is>
          <t>NEXTGEN - Family Planner (5.3)</t>
        </is>
      </c>
      <c r="C257" s="21" t="inlineStr">
        <is>
          <t>Vista Mese: 'Condividi {mese}' apre il pannello di creazione link e mostra l'URL dopo la conferma</t>
        </is>
      </c>
      <c r="D257" s="21" t="inlineStr">
        <is>
          <t>Account genitore di test con almeno una settimana in stagione nel mese visualizzato</t>
        </is>
      </c>
      <c r="E257" s="21" t="inlineStr">
        <is>
          <t>Nel Planner -&gt; Calendario (Vista Mese), tocca 'Condividi {mese}' -&gt; tocca 'Crea link'</t>
        </is>
      </c>
      <c r="F257" s="21" t="inlineStr">
        <is>
          <t>Si apre il pannello 'Condividi piano'; dopo la conferma compare l'URL del link pubblico con un pulsante 'Copia'</t>
        </is>
      </c>
      <c r="G257" s="21" t="inlineStr">
        <is>
          <t>DA TESTARE</t>
        </is>
      </c>
      <c r="H257" s="21">
        <f>IF(G257="BUG","BUG-"&amp;A257,IF(G257="FUNCTIONAL","FUNCTIONAL-"&amp;A257,""))</f>
        <v/>
      </c>
      <c r="I257" s="21" t="inlineStr">
        <is>
          <t>Alta</t>
        </is>
      </c>
    </row>
    <row r="258">
      <c r="A258" s="21" t="inlineStr">
        <is>
          <t>TC-N63</t>
        </is>
      </c>
      <c r="B258" s="21" t="inlineStr">
        <is>
          <t>NEXTGEN - Family Planner (5.3)</t>
        </is>
      </c>
      <c r="C258" s="21" t="inlineStr">
        <is>
          <t>Un link creato compare in 'I tuoi link condivisi' e puo' essere revocato</t>
        </is>
      </c>
      <c r="D258" s="21" t="inlineStr">
        <is>
          <t>Account genitore di test, almeno un link di condivisione creato in questa sessione</t>
        </is>
      </c>
      <c r="E258" s="21" t="inlineStr">
        <is>
          <t>Dopo aver creato un link (vedi TC-N62), tocca 'Fatto' -&gt; individua la sezione 'I tuoi link condivisi' -&gt; tocca 'Revoca'</t>
        </is>
      </c>
      <c r="F258" s="21" t="inlineStr">
        <is>
          <t>Il link compare nell'elenco con etichetta e periodo; dopo 'Revoca' scompare dall'elenco e appare il toast 'Link revocato'</t>
        </is>
      </c>
      <c r="G258" s="21" t="inlineStr">
        <is>
          <t>DA TESTARE</t>
        </is>
      </c>
      <c r="H258" s="21">
        <f>IF(G258="BUG","BUG-"&amp;A258,IF(G258="FUNCTIONAL","FUNCTIONAL-"&amp;A258,""))</f>
        <v/>
      </c>
      <c r="I258" s="21" t="inlineStr">
        <is>
          <t>Media</t>
        </is>
      </c>
    </row>
    <row r="259">
      <c r="A259" s="21" t="inlineStr">
        <is>
          <t>TC-N64</t>
        </is>
      </c>
      <c r="B259" s="21" t="inlineStr">
        <is>
          <t>NEXTGEN - Family Planner (5.3)</t>
        </is>
      </c>
      <c r="C259" s="21" t="inlineStr">
        <is>
          <t>La pagina pubblica di condivisione con un token inesistente mostra 'Link non disponibile', senza richiedere login</t>
        </is>
      </c>
      <c r="D259" s="21" t="inlineStr">
        <is>
          <t>Nessun account necessario</t>
        </is>
      </c>
      <c r="E259" s="21" t="inlineStr">
        <is>
          <t>Vai su /share/planner/token-inesistente-di-prova senza essere autenticato</t>
        </is>
      </c>
      <c r="F259" s="21" t="inlineStr">
        <is>
          <t>La pagina mostra 'Link non disponibile' e non reindirizza al login (route pubblica, RPC security definer get_shared_plan_meta)</t>
        </is>
      </c>
      <c r="G259" s="21" t="inlineStr">
        <is>
          <t>DA TESTARE</t>
        </is>
      </c>
      <c r="H259" s="21">
        <f>IF(G259="BUG","BUG-"&amp;A259,IF(G259="FUNCTIONAL","FUNCTIONAL-"&amp;A259,""))</f>
        <v/>
      </c>
      <c r="I259" s="21" t="inlineStr">
        <is>
          <t>Alta</t>
        </is>
      </c>
    </row>
    <row r="260">
      <c r="A260" s="21" t="inlineStr">
        <is>
          <t>TC-N65</t>
        </is>
      </c>
      <c r="B260" s="21" t="inlineStr">
        <is>
          <t>NEXTGEN - Family Planner (5.3 + correttivo)</t>
        </is>
      </c>
      <c r="C260" s="21" t="inlineStr">
        <is>
          <t>'Chi fa cosa?': giorni diversi della stessa settimana possono avere responsabili diversi</t>
        </is>
      </c>
      <c r="D260" s="21" t="inlineStr">
        <is>
          <t>Account genitore di test con almeno una settimana coperta e almeno 2 celle libere nella griglia</t>
        </is>
      </c>
      <c r="E260" s="21" t="inlineStr">
        <is>
          <t>Assegna una cella (es. Lun/Andata) a 'Partner' -&gt; assegna un'altra cella (es. Mer/Ritorno) a 'Nonno'</t>
        </is>
      </c>
      <c r="F260" s="21" t="inlineStr">
        <is>
          <t>Le due celle mostrano etichette/emoji diverse e indipendenti; nessuna delle due sovrascrive l'altra</t>
        </is>
      </c>
      <c r="G260" s="21" t="inlineStr">
        <is>
          <t>DA TESTARE</t>
        </is>
      </c>
      <c r="H260" s="21">
        <f>IF(G260="BUG","BUG-"&amp;A260,IF(G260="FUNCTIONAL","FUNCTIONAL-"&amp;A260,""))</f>
        <v/>
      </c>
      <c r="I260" s="21" t="inlineStr">
        <is>
          <t>Alta</t>
        </is>
      </c>
    </row>
    <row r="261">
      <c r="A261" s="21" t="inlineStr">
        <is>
          <t>TC-N66</t>
        </is>
      </c>
      <c r="B261" s="21" t="inlineStr">
        <is>
          <t>NEXTGEN - Family Planner (5.4)</t>
        </is>
      </c>
      <c r="C261" s="21" t="inlineStr">
        <is>
          <t>Vista Mappa: con attivita' prenotate mostra 'Le tue attivita' con distanza stimata</t>
        </is>
      </c>
      <c r="D261" s="21" t="inlineStr">
        <is>
          <t>Account genitore di test con almeno una prenotazione attiva</t>
        </is>
      </c>
      <c r="E261" s="21" t="inlineStr">
        <is>
          <t>Nel Planner, tocca 'Mappa'</t>
        </is>
      </c>
      <c r="F261" s="21" t="inlineStr">
        <is>
          <t>Compare la mappa (pin reali dai centri, quando hanno coordinate) e sotto l'elenco 'Le tue attivita'' con etichetta 'distanza stimata' per ciascuna riga</t>
        </is>
      </c>
      <c r="G261" s="21" t="inlineStr">
        <is>
          <t>DA TESTARE</t>
        </is>
      </c>
      <c r="H261" s="21">
        <f>IF(G261="BUG","BUG-"&amp;A261,IF(G261="FUNCTIONAL","FUNCTIONAL-"&amp;A261,""))</f>
        <v/>
      </c>
      <c r="I261" s="21" t="inlineStr">
        <is>
          <t>Media</t>
        </is>
      </c>
    </row>
    <row r="262">
      <c r="A262" s="21" t="inlineStr">
        <is>
          <t>TC-N67</t>
        </is>
      </c>
      <c r="B262" s="21" t="inlineStr">
        <is>
          <t>NEXTGEN - Family Planner (5.4)</t>
        </is>
      </c>
      <c r="C262" s="21" t="inlineStr">
        <is>
          <t>Vista Mappa: senza prenotazioni attive mostra lo stato vuoto</t>
        </is>
      </c>
      <c r="D262" s="21" t="inlineStr">
        <is>
          <t>Account genitore di test senza prenotazioni attive</t>
        </is>
      </c>
      <c r="E262" s="21" t="inlineStr">
        <is>
          <t>Nel Planner, tocca 'Mappa'</t>
        </is>
      </c>
      <c r="F262" s="21" t="inlineStr">
        <is>
          <t>Compare il messaggio 'Prenota un'attivita' per vederla qui sulla mappa...' invece di una mappa vuota</t>
        </is>
      </c>
      <c r="G262" s="21" t="inlineStr">
        <is>
          <t>DA TESTARE</t>
        </is>
      </c>
      <c r="H262" s="21">
        <f>IF(G262="BUG","BUG-"&amp;A262,IF(G262="FUNCTIONAL","FUNCTIONAL-"&amp;A262,""))</f>
        <v/>
      </c>
      <c r="I262" s="21" t="inlineStr">
        <is>
          <t>Bassa</t>
        </is>
      </c>
    </row>
    <row r="263">
      <c r="A263" s="21" t="inlineStr">
        <is>
          <t>TC-N68</t>
        </is>
      </c>
      <c r="B263" s="21" t="inlineStr">
        <is>
          <t>NEXTGEN - Family Planner (5.4)</t>
        </is>
      </c>
      <c r="C263" s="21" t="inlineStr">
        <is>
          <t>Vista Mappa: toccare un'attivita' nell'elenco apre la scheda attivita'</t>
        </is>
      </c>
      <c r="D263" s="21" t="inlineStr">
        <is>
          <t>Account genitore di test con almeno una prenotazione attiva</t>
        </is>
      </c>
      <c r="E263" s="21" t="inlineStr">
        <is>
          <t>Nel Planner -&gt; Mappa, tocca una riga dell'elenco 'Le tue attivita''</t>
        </is>
      </c>
      <c r="F263" s="21" t="inlineStr">
        <is>
          <t>Si apre la scheda dell'attivita' corrispondente (/activity/[slug])</t>
        </is>
      </c>
      <c r="G263" s="21" t="inlineStr">
        <is>
          <t>DA TESTARE</t>
        </is>
      </c>
      <c r="H263" s="21">
        <f>IF(G263="BUG","BUG-"&amp;A263,IF(G263="FUNCTIONAL","FUNCTIONAL-"&amp;A263,""))</f>
        <v/>
      </c>
      <c r="I263" s="21" t="inlineStr">
        <is>
          <t>Media</t>
        </is>
      </c>
    </row>
    <row r="264">
      <c r="A264" s="21" t="inlineStr">
        <is>
          <t>TC-N69</t>
        </is>
      </c>
      <c r="B264" s="21" t="inlineStr">
        <is>
          <t>NEXTGEN - Family Planner (5.4)</t>
        </is>
      </c>
      <c r="C264" s="21" t="inlineStr">
        <is>
          <t>Promemoria: quando presenti, appaiono in Organizzazione sopra le Missioni, senza superare 4 elementi</t>
        </is>
      </c>
      <c r="D264" s="21" t="inlineStr">
        <is>
          <t>Account genitore di test</t>
        </is>
      </c>
      <c r="E264" s="21" t="inlineStr">
        <is>
          <t>Apri il Planner in modalita' Organizzazione</t>
        </is>
      </c>
      <c r="F264" s="21" t="inlineStr">
        <is>
          <t>Se ci sono scadenze reali vicine (finestra di cancellazione, attivita' in arrivo, settimana prioritaria, sovrapposizione, budget vicino al target), compaiono come Promemoria sopra le Missioni, al massimo 4, senza errori di rendering</t>
        </is>
      </c>
      <c r="G264" s="21" t="inlineStr">
        <is>
          <t>DA TESTARE</t>
        </is>
      </c>
      <c r="H264" s="21">
        <f>IF(G264="BUG","BUG-"&amp;A264,IF(G264="FUNCTIONAL","FUNCTIONAL-"&amp;A264,""))</f>
        <v/>
      </c>
      <c r="I264" s="21" t="inlineStr">
        <is>
          <t>Media</t>
        </is>
      </c>
    </row>
    <row r="265">
      <c r="A265" s="21" t="inlineStr">
        <is>
          <t>TC-N70</t>
        </is>
      </c>
      <c r="B265" s="21" t="inlineStr">
        <is>
          <t>NEXTGEN - Family Planner (5.3 + correttivo)</t>
        </is>
      </c>
      <c r="C265" s="21" t="inlineStr">
        <is>
          <t>'Applica a tutta la settimana' assegna tutte le celle (5 giorni x andata/ritorno) in un colpo solo</t>
        </is>
      </c>
      <c r="D265" s="21" t="inlineStr">
        <is>
          <t>Account genitore di test con almeno una settimana coperta</t>
        </is>
      </c>
      <c r="E265" s="21" t="inlineStr">
        <is>
          <t>Nel riepilogo settimana del Calendario, tocca 'Applica a tutta la settimana' -&gt; scegli un'opzione (es. Nonna)</t>
        </is>
      </c>
      <c r="F265" s="21" t="inlineStr">
        <is>
          <t>Toast 'Assegnato a tutta la settimana!'; tutte le 10 celle (5 giorni x 2 momenti) del bambino risultano assegnate, nessuna resta 'Nessuno assegnato'</t>
        </is>
      </c>
      <c r="G265" s="21" t="inlineStr">
        <is>
          <t>DA TESTARE</t>
        </is>
      </c>
      <c r="H265" s="21">
        <f>IF(G265="BUG","BUG-"&amp;A265,IF(G265="FUNCTIONAL","FUNCTIONAL-"&amp;A265,""))</f>
        <v/>
      </c>
      <c r="I265" s="21" t="inlineStr">
        <is>
          <t>Alta</t>
        </is>
      </c>
    </row>
    <row r="266">
      <c r="A266" s="21" t="inlineStr">
        <is>
          <t>TC-N71</t>
        </is>
      </c>
      <c r="B266" s="21" t="inlineStr">
        <is>
          <t>NEXTGEN - Family Planner (5.3 + correttivo)</t>
        </is>
      </c>
      <c r="C266" s="21" t="inlineStr">
        <is>
          <t>'Applica a tutta la settimana': deselezionare un bambino lo esclude dall'assegnazione rapida</t>
        </is>
      </c>
      <c r="D266" s="21" t="inlineStr">
        <is>
          <t>Account genitore di test con almeno 2 bambini coperti nella stessa settimana</t>
        </is>
      </c>
      <c r="E266" s="21" t="inlineStr">
        <is>
          <t>Nel riepilogo settimana, deseleziona un bambino dai chip sopra 'Applica a tutta la settimana' -&gt; scegli un'opzione</t>
        </is>
      </c>
      <c r="F266" s="21" t="inlineStr">
        <is>
          <t>L'assegnazione rapida si applica solo ai bambini rimasti selezionati; il bambino deselezionato non viene toccato</t>
        </is>
      </c>
      <c r="G266" s="21" t="inlineStr">
        <is>
          <t>DA TESTARE</t>
        </is>
      </c>
      <c r="H266" s="21">
        <f>IF(G266="BUG","BUG-"&amp;A266,IF(G266="FUNCTIONAL","FUNCTIONAL-"&amp;A266,""))</f>
        <v/>
      </c>
      <c r="I266" s="21" t="inlineStr">
        <is>
          <t>Media</t>
        </is>
      </c>
    </row>
    <row r="267">
      <c r="A267" s="21" t="inlineStr">
        <is>
          <t>TC-N72</t>
        </is>
      </c>
      <c r="B267" s="21" t="inlineStr">
        <is>
          <t>NEXTGEN - Family Planner (5.3 + correttivo)</t>
        </is>
      </c>
      <c r="C267" s="21" t="inlineStr">
        <is>
          <t>'Applica a tutta la settimana': deselezionando 'Ritorno' assegna solo Andata, lasciando Ritorno libero</t>
        </is>
      </c>
      <c r="D267" s="21" t="inlineStr">
        <is>
          <t>Account genitore di test con almeno una settimana coperta e celle libere</t>
        </is>
      </c>
      <c r="E267" s="21" t="inlineStr">
        <is>
          <t>Nel pannello 'Applica a tutta la settimana', deseleziona il chip 'Ritorno' -&gt; scegli un'opzione (es. Nonno)</t>
        </is>
      </c>
      <c r="F267" s="21" t="inlineStr">
        <is>
          <t>Toast 'Assegnato a tutta la settimana... (solo Andata)!'; solo le celle Andata (5 giorni) vengono assegnate, le celle Ritorno restano 'Nessuno assegnato'</t>
        </is>
      </c>
      <c r="G267" s="21" t="inlineStr">
        <is>
          <t>DA TESTARE</t>
        </is>
      </c>
      <c r="H267" s="21">
        <f>IF(G267="BUG","BUG-"&amp;A267,IF(G267="FUNCTIONAL","FUNCTIONAL-"&amp;A267,""))</f>
        <v/>
      </c>
      <c r="I267" s="21" t="inlineStr">
        <is>
          <t>Alta</t>
        </is>
      </c>
    </row>
    <row r="268">
      <c r="A268" s="21" t="inlineStr">
        <is>
          <t>TC-N73</t>
        </is>
      </c>
      <c r="B268" s="21" t="inlineStr">
        <is>
          <t>NEXTGEN - Family Planner 5.5 (Profilo Famiglia)</t>
        </is>
      </c>
      <c r="C268" s="21" t="inlineStr">
        <is>
          <t>Il link 'Famiglia' e' raggiungibile dal Planner (Organizzazione)</t>
        </is>
      </c>
      <c r="D268" s="21" t="inlineStr">
        <is>
          <t>Account genitore di test</t>
        </is>
      </c>
      <c r="E268" s="21" t="inlineStr">
        <is>
          <t>Da /nextgen/planner tocca il link 'Famiglia'</t>
        </is>
      </c>
      <c r="F268" s="21" t="inlineStr">
        <is>
          <t>Si apre /nextgen/planner/famiglia con la schermata crea/entra (o la famiglia gia' esistente)</t>
        </is>
      </c>
      <c r="G268" s="21" t="inlineStr">
        <is>
          <t>DA TESTARE</t>
        </is>
      </c>
      <c r="H268" s="21">
        <f>IF(G268="BUG","BUG-"&amp;A268,IF(G268="FUNCTIONAL","FUNCTIONAL-"&amp;A268,""))</f>
        <v/>
      </c>
      <c r="I268" s="21" t="inlineStr">
        <is>
          <t>Media</t>
        </is>
      </c>
    </row>
    <row r="269">
      <c r="A269" s="21" t="inlineStr">
        <is>
          <t>TC-N74</t>
        </is>
      </c>
      <c r="B269" s="21" t="inlineStr">
        <is>
          <t>NEXTGEN - Family Planner 5.5 (Profilo Famiglia)</t>
        </is>
      </c>
      <c r="C269" s="21" t="inlineStr">
        <is>
          <t>Creare una famiglia mostra nome, codice invito e se stessi come 'Creatore'</t>
        </is>
      </c>
      <c r="D269" s="21" t="inlineStr">
        <is>
          <t>Account genitore di test senza famiglia</t>
        </is>
      </c>
      <c r="E269" s="21" t="inlineStr">
        <is>
          <t>Su /nextgen/planner/famiglia, inserisci un nome -&gt; 'Crea famiglia'</t>
        </is>
      </c>
      <c r="F269" s="21" t="inlineStr">
        <is>
          <t>Toast 'Famiglia creata!'; la pagina mostra il nome, un codice invito e il genitore come 'Creatore' con badge '(Tu)'</t>
        </is>
      </c>
      <c r="G269" s="21" t="inlineStr">
        <is>
          <t>DA TESTARE</t>
        </is>
      </c>
      <c r="H269" s="21">
        <f>IF(G269="BUG","BUG-"&amp;A269,IF(G269="FUNCTIONAL","FUNCTIONAL-"&amp;A269,""))</f>
        <v/>
      </c>
      <c r="I269" s="21" t="inlineStr">
        <is>
          <t>Alta</t>
        </is>
      </c>
    </row>
    <row r="270">
      <c r="A270" s="21" t="inlineStr">
        <is>
          <t>TC-N75</t>
        </is>
      </c>
      <c r="B270" s="21" t="inlineStr">
        <is>
          <t>NEXTGEN - Family Planner 5.5 (Profilo Famiglia)</t>
        </is>
      </c>
      <c r="C270" s="21" t="inlineStr">
        <is>
          <t>Un codice invito non valido mostra un errore chiaro</t>
        </is>
      </c>
      <c r="D270" s="21" t="inlineStr">
        <is>
          <t>Account genitore di test senza famiglia</t>
        </is>
      </c>
      <c r="E270" s="21" t="inlineStr">
        <is>
          <t>Su /nextgen/planner/famiglia, inserisci un codice inesistente (es. ZZZZZZ) -&gt; 'Entra nella famiglia'</t>
        </is>
      </c>
      <c r="F270" s="21" t="inlineStr">
        <is>
          <t>Messaggio 'Codice non valido. Controlla e riprova.'; nessuna famiglia viene creata/associata</t>
        </is>
      </c>
      <c r="G270" s="21" t="inlineStr">
        <is>
          <t>DA TESTARE</t>
        </is>
      </c>
      <c r="H270" s="21">
        <f>IF(G270="BUG","BUG-"&amp;A270,IF(G270="FUNCTIONAL","FUNCTIONAL-"&amp;A270,""))</f>
        <v/>
      </c>
      <c r="I270" s="21" t="inlineStr">
        <is>
          <t>Media</t>
        </is>
      </c>
    </row>
    <row r="271">
      <c r="A271" s="21" t="inlineStr">
        <is>
          <t>TC-N76</t>
        </is>
      </c>
      <c r="B271" s="21" t="inlineStr">
        <is>
          <t>NEXTGEN - Family Planner 5.5 (Profilo Famiglia)</t>
        </is>
      </c>
      <c r="C271" s="21" t="inlineStr">
        <is>
          <t>Copiare il codice invito mostra la conferma 'Copiato!'</t>
        </is>
      </c>
      <c r="D271" s="21" t="inlineStr">
        <is>
          <t>Account genitore di test gia' in una famiglia</t>
        </is>
      </c>
      <c r="E271" s="21" t="inlineStr">
        <is>
          <t>Su /nextgen/planner/famiglia, tocca 'Copia' accanto al codice invito</t>
        </is>
      </c>
      <c r="F271" s="21" t="inlineStr">
        <is>
          <t>Il pulsante mostra 'Copiato!' per qualche secondo e il codice e' negli appunti</t>
        </is>
      </c>
      <c r="G271" s="21" t="inlineStr">
        <is>
          <t>DA TESTARE</t>
        </is>
      </c>
      <c r="H271" s="21">
        <f>IF(G271="BUG","BUG-"&amp;A271,IF(G271="FUNCTIONAL","FUNCTIONAL-"&amp;A271,""))</f>
        <v/>
      </c>
      <c r="I271" s="21" t="inlineStr">
        <is>
          <t>Bassa</t>
        </is>
      </c>
    </row>
    <row r="272">
      <c r="A272" s="21" t="inlineStr">
        <is>
          <t>TC-N77</t>
        </is>
      </c>
      <c r="B272" s="21" t="inlineStr">
        <is>
          <t>NEXTGEN - Family Planner 5.5 (Profilo Famiglia)</t>
        </is>
      </c>
      <c r="C272" s="21" t="inlineStr">
        <is>
          <t>Uscire dalla famiglia richiede conferma e torna alla schermata crea/entra</t>
        </is>
      </c>
      <c r="D272" s="21" t="inlineStr">
        <is>
          <t>Account genitore di test gia' in una famiglia</t>
        </is>
      </c>
      <c r="E272" s="21" t="inlineStr">
        <is>
          <t>Su /nextgen/planner/famiglia, tocca 'Esci dalla famiglia' -&gt; conferma 'Si, esci'</t>
        </is>
      </c>
      <c r="F272" s="21" t="inlineStr">
        <is>
          <t>Toast 'Hai lasciato la famiglia'; la pagina torna a mostrare 'Crea famiglia'/'Entra con un codice invito'</t>
        </is>
      </c>
      <c r="G272" s="21" t="inlineStr">
        <is>
          <t>DA TESTARE</t>
        </is>
      </c>
      <c r="H272" s="21">
        <f>IF(G272="BUG","BUG-"&amp;A272,IF(G272="FUNCTIONAL","FUNCTIONAL-"&amp;A272,""))</f>
        <v/>
      </c>
      <c r="I272" s="21" t="inlineStr">
        <is>
          <t>Media</t>
        </is>
      </c>
    </row>
    <row r="273">
      <c r="A273" t="inlineStr">
        <is>
          <t>TC-N78</t>
        </is>
      </c>
      <c r="B273" t="inlineStr">
        <is>
          <t>NEXTGEN - Family Planner 5.6 (Vista Gruppi)</t>
        </is>
      </c>
      <c r="C273" t="inlineStr">
        <is>
          <t>La scheda 'Gruppi' del Planner mostra le sezioni Community e Gruppi sconto</t>
        </is>
      </c>
      <c r="D273" t="inlineStr">
        <is>
          <t>Account genitore di test</t>
        </is>
      </c>
      <c r="E273" t="inlineStr">
        <is>
          <t>Da /nextgen/planner tocca la scheda 'Gruppi'</t>
        </is>
      </c>
      <c r="F273" t="inlineStr">
        <is>
          <t>Sono visibili le due sezioni 'Le tue Community' e 'I tuoi Gruppi sconto'</t>
        </is>
      </c>
      <c r="G273" t="inlineStr">
        <is>
          <t>DA TESTARE</t>
        </is>
      </c>
      <c r="H273">
        <f>IF(G273="BUG","BUG-"&amp;A273,IF(G273="FUNCTIONAL","FUNCTIONAL-"&amp;A273,""))</f>
        <v/>
      </c>
      <c r="I273" t="inlineStr">
        <is>
          <t>Alta</t>
        </is>
      </c>
    </row>
    <row r="274">
      <c r="A274" t="inlineStr">
        <is>
          <t>TC-N79</t>
        </is>
      </c>
      <c r="B274" t="inlineStr">
        <is>
          <t>NEXTGEN - Family Planner 5.6 (Vista Gruppi)</t>
        </is>
      </c>
      <c r="C274" t="inlineStr">
        <is>
          <t>Senza Community ne' Gruppi, la scheda mostra gli stati vuoti con CTA</t>
        </is>
      </c>
      <c r="D274" t="inlineStr">
        <is>
          <t>Account genitore di test senza Community e senza Gruppi</t>
        </is>
      </c>
      <c r="E274" t="inlineStr">
        <is>
          <t>Da /nextgen/planner tocca la scheda 'Gruppi'</t>
        </is>
      </c>
      <c r="F274" t="inlineStr">
        <is>
          <t>Messaggio di stato vuoto per Community con CTA 'Crea o entra' -&gt; /nextgen/community</t>
        </is>
      </c>
      <c r="G274" t="inlineStr">
        <is>
          <t>DA TESTARE</t>
        </is>
      </c>
      <c r="H274">
        <f>IF(G274="BUG","BUG-"&amp;A274,IF(G274="FUNCTIONAL","FUNCTIONAL-"&amp;A274,""))</f>
        <v/>
      </c>
      <c r="I274" t="inlineStr">
        <is>
          <t>Media</t>
        </is>
      </c>
    </row>
    <row r="275">
      <c r="A275" t="inlineStr">
        <is>
          <t>TC-N80</t>
        </is>
      </c>
      <c r="B275" t="inlineStr">
        <is>
          <t>NEXTGEN - Family Planner 5.6 (Vista Gruppi)</t>
        </is>
      </c>
      <c r="C275" t="inlineStr">
        <is>
          <t>Toccare una card Community apre il suo dettaglio reale</t>
        </is>
      </c>
      <c r="D275" t="inlineStr">
        <is>
          <t>Account genitore di test gia' in almeno una Community</t>
        </is>
      </c>
      <c r="E275" t="inlineStr">
        <is>
          <t>Nella scheda 'Gruppi', tocca una card sotto 'Le tue Community'</t>
        </is>
      </c>
      <c r="F275" t="inlineStr">
        <is>
          <t>Si apre /nextgen/community/[id], il dettaglio reale della Community</t>
        </is>
      </c>
      <c r="G275" t="inlineStr">
        <is>
          <t>DA TESTARE</t>
        </is>
      </c>
      <c r="H275">
        <f>IF(G275="BUG","BUG-"&amp;A275,IF(G275="FUNCTIONAL","FUNCTIONAL-"&amp;A275,""))</f>
        <v/>
      </c>
      <c r="I275" t="inlineStr">
        <is>
          <t>Alta</t>
        </is>
      </c>
    </row>
    <row r="276">
      <c r="A276" t="inlineStr">
        <is>
          <t>TC-N81</t>
        </is>
      </c>
      <c r="B276" t="inlineStr">
        <is>
          <t>NEXTGEN - Family Planner 5.6 (Vista Gruppi)</t>
        </is>
      </c>
      <c r="C276" t="inlineStr">
        <is>
          <t>Una Community con proposte attive mostra il badge 'pronta per un Gruppo'</t>
        </is>
      </c>
      <c r="D276" t="inlineStr">
        <is>
          <t>Account genitore di test in una Community con almeno una proposta attiva</t>
        </is>
      </c>
      <c r="E276" t="inlineStr">
        <is>
          <t>Nella scheda 'Gruppi', osserva la card della Community con proposte</t>
        </is>
      </c>
      <c r="F276" t="inlineStr">
        <is>
          <t>E' visibile un badge tipo 'N proposta/e pronta/e per un Gruppo'</t>
        </is>
      </c>
      <c r="G276" t="inlineStr">
        <is>
          <t>DA TESTARE</t>
        </is>
      </c>
      <c r="H276">
        <f>IF(G276="BUG","BUG-"&amp;A276,IF(G276="FUNCTIONAL","FUNCTIONAL-"&amp;A276,""))</f>
        <v/>
      </c>
      <c r="I276" t="inlineStr">
        <is>
          <t>Bassa</t>
        </is>
      </c>
    </row>
  </sheetData>
  <autoFilter ref="A1:L101"/>
  <conditionalFormatting sqref="G2:G276">
    <cfRule type="cellIs" priority="1" operator="equal" dxfId="14">
      <formula>"ENHANCEMENT"</formula>
    </cfRule>
    <cfRule type="cellIs" priority="2" operator="equal" dxfId="15">
      <formula>"OK"</formula>
    </cfRule>
    <cfRule type="cellIs" priority="3" operator="equal" dxfId="16">
      <formula>"BUG"</formula>
    </cfRule>
    <cfRule type="cellIs" priority="4" operator="equal" dxfId="17">
      <formula>"FUNCTIONAL"</formula>
    </cfRule>
    <cfRule type="cellIs" priority="5" operator="equal" dxfId="18">
      <formula>"DA TESTARE"</formula>
    </cfRule>
  </conditionalFormatting>
  <dataValidations count="2">
    <dataValidation sqref="G2:G276" showDropDown="0" showInputMessage="0" showErrorMessage="0" allowBlank="1" type="list" errorStyle="stop" operator="between">
      <formula1>"OK,BUG,FUNCTIONAL,ENHANCEMENT,DA TESTARE"</formula1>
      <formula2>0</formula2>
    </dataValidation>
    <dataValidation sqref="I2:I276" showDropDown="0" showInputMessage="0" showErrorMessage="0" allowBlank="1" type="list" errorStyle="stop" operator="between">
      <formula1>"Alta,Media,Bassa"</formula1>
      <formula2>0</formula2>
    </dataValidation>
  </dataValidations>
  <printOptions horizontalCentered="0" verticalCentered="0" headings="0" gridLines="0" gridLinesSet="1"/>
  <pageMargins left="0.75" right="0.75" top="1" bottom="1" header="0.511811023622047" footer="0.511805555555556"/>
  <pageSetup orientation="portrait" paperSize="9" scale="100" fitToHeight="1" fitToWidth="1" pageOrder="downThenOver" blackAndWhite="0" draft="0" horizontalDpi="300" verticalDpi="300" copies="1"/>
  <headerFooter differentOddEven="0" differentFirst="0">
    <oddHeader/>
    <oddFooter>&amp;C&amp;"Aptos,Regular"&amp;10 _x000d_# This document is classified as EOLO - C2 General</oddFooter>
    <evenHeader/>
    <evenFooter/>
    <firstHeader/>
    <firstFooter/>
  </headerFooter>
</worksheet>
</file>

<file path=xl/worksheets/sheet3.xml><?xml version="1.0" encoding="utf-8"?>
<worksheet xmlns="http://schemas.openxmlformats.org/spreadsheetml/2006/main">
  <sheetPr filterMode="0">
    <outlinePr summaryBelow="1" summaryRight="1"/>
    <pageSetUpPr fitToPage="0"/>
  </sheetPr>
  <dimension ref="A1:E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6796875" defaultRowHeight="15" customHeight="0" zeroHeight="0" outlineLevelRow="0"/>
  <cols>
    <col width="26" customWidth="1" style="21" min="1" max="1"/>
    <col width="14" customWidth="1" style="21" min="2" max="2"/>
    <col width="3" customWidth="1" style="21" min="3" max="3"/>
    <col width="26" customWidth="1" style="21" min="4" max="4"/>
    <col width="14" customWidth="1" style="21" min="5" max="5"/>
  </cols>
  <sheetData>
    <row r="1" ht="16.5" customHeight="1" s="22">
      <c r="A1" s="38" t="inlineStr">
        <is>
          <t>Riepilogo per Esito</t>
        </is>
      </c>
    </row>
    <row r="2" ht="15" customHeight="1" s="22">
      <c r="A2" s="25" t="inlineStr">
        <is>
          <t>Esito</t>
        </is>
      </c>
      <c r="B2" s="25" t="inlineStr">
        <is>
          <t>Conteggio</t>
        </is>
      </c>
      <c r="D2" s="25" t="inlineStr">
        <is>
          <t>Area</t>
        </is>
      </c>
      <c r="E2" s="25" t="inlineStr">
        <is>
          <t>N. test</t>
        </is>
      </c>
    </row>
    <row r="3" ht="15" customHeight="1" s="22">
      <c r="A3" s="27" t="inlineStr">
        <is>
          <t>OK</t>
        </is>
      </c>
      <c r="B3" s="39">
        <f>COUNTIF('Test Case'!G:G,"OK")</f>
        <v/>
      </c>
      <c r="D3" s="27" t="inlineStr">
        <is>
          <t>Setup</t>
        </is>
      </c>
      <c r="E3" s="39">
        <f>COUNTIF('Test Case'!B:B,"Setup")</f>
        <v/>
      </c>
    </row>
    <row r="4" ht="15" customHeight="1" s="22">
      <c r="A4" s="27" t="inlineStr">
        <is>
          <t>BUG</t>
        </is>
      </c>
      <c r="B4" s="39">
        <f>COUNTIF('Test Case'!G:G,"BUG")</f>
        <v/>
      </c>
      <c r="D4" s="27" t="inlineStr">
        <is>
          <t>Genitori - Home</t>
        </is>
      </c>
      <c r="E4" s="39">
        <f>COUNTIF('Test Case'!B:B,"Genitori - Home")</f>
        <v/>
      </c>
    </row>
    <row r="5" ht="15" customHeight="1" s="22">
      <c r="A5" s="27" t="inlineStr">
        <is>
          <t>FUNCTIONAL</t>
        </is>
      </c>
      <c r="B5" s="39">
        <f>COUNTIF('Test Case'!G:G,"FUNCTIONAL")</f>
        <v/>
      </c>
      <c r="D5" s="27" t="inlineStr">
        <is>
          <t>Genitori - Cerca</t>
        </is>
      </c>
      <c r="E5" s="39">
        <f>COUNTIF('Test Case'!B:B,"Genitori - Cerca")</f>
        <v/>
      </c>
    </row>
    <row r="6" ht="15" customHeight="1" s="22">
      <c r="A6" s="27" t="inlineStr">
        <is>
          <t>DA TESTARE</t>
        </is>
      </c>
      <c r="B6" s="39">
        <f>COUNTIF('Test Case'!G:G,"DA TESTARE")</f>
        <v/>
      </c>
      <c r="D6" s="27" t="inlineStr">
        <is>
          <t>Genitori - Attivita</t>
        </is>
      </c>
      <c r="E6" s="39">
        <f>COUNTIF('Test Case'!B:B,"Genitori - Attivita")</f>
        <v/>
      </c>
    </row>
    <row r="7" ht="15" customHeight="1" s="22">
      <c r="A7" s="29" t="inlineStr">
        <is>
          <t>Totale test case</t>
        </is>
      </c>
      <c r="B7" s="40">
        <f>COUNTA('Test Case'!A2:A10000)</f>
        <v/>
      </c>
      <c r="D7" s="27" t="inlineStr">
        <is>
          <t>Genitori - Prenotazione</t>
        </is>
      </c>
      <c r="E7" s="39">
        <f>COUNTIF('Test Case'!B:B,"Genitori - Prenotazione")</f>
        <v/>
      </c>
    </row>
    <row r="8" ht="15" customHeight="1" s="22">
      <c r="D8" s="27" t="inlineStr">
        <is>
          <t>Genitori - Gruppi</t>
        </is>
      </c>
      <c r="E8" s="39">
        <f>COUNTIF('Test Case'!B:B,"Genitori - Gruppi")</f>
        <v/>
      </c>
    </row>
    <row r="9" ht="15" customHeight="1" s="22">
      <c r="D9" s="27" t="inlineStr">
        <is>
          <t>Gestore - Richieste Gruppo</t>
        </is>
      </c>
      <c r="E9" s="39">
        <f>COUNTIF('Test Case'!B:B,"Gestore - Richieste Gruppo")</f>
        <v/>
      </c>
    </row>
    <row r="10" ht="15" customHeight="1" s="22">
      <c r="D10" s="27" t="inlineStr">
        <is>
          <t>Genitori - Accompagnamento</t>
        </is>
      </c>
      <c r="E10" s="39">
        <f>COUNTIF('Test Case'!B:B,"Genitori - Accompagnamento")</f>
        <v/>
      </c>
    </row>
    <row r="11" ht="15" customHeight="1" s="22">
      <c r="D11" s="27" t="inlineStr">
        <is>
          <t>Genitori - Calendario</t>
        </is>
      </c>
      <c r="E11" s="39">
        <f>COUNTIF('Test Case'!B:B,"Genitori - Calendario")</f>
        <v/>
      </c>
    </row>
    <row r="12" ht="15" customHeight="1" s="22">
      <c r="D12" s="27" t="inlineStr">
        <is>
          <t>Genitori - Profilo</t>
        </is>
      </c>
      <c r="E12" s="39">
        <f>COUNTIF('Test Case'!B:B,"Genitori - Profilo")</f>
        <v/>
      </c>
    </row>
    <row r="13" ht="15" customHeight="1" s="22">
      <c r="D13" s="27" t="inlineStr">
        <is>
          <t>Gestore - Dashboard</t>
        </is>
      </c>
      <c r="E13" s="39">
        <f>COUNTIF('Test Case'!B:B,"Gestore - Dashboard")</f>
        <v/>
      </c>
    </row>
    <row r="14" ht="15" customHeight="1" s="22">
      <c r="D14" s="27" t="inlineStr">
        <is>
          <t>Gestore - Attivita</t>
        </is>
      </c>
      <c r="E14" s="39">
        <f>COUNTIF('Test Case'!B:B,"Gestore - Attivita")</f>
        <v/>
      </c>
    </row>
    <row r="15" ht="15" customHeight="1" s="22">
      <c r="D15" s="27" t="inlineStr">
        <is>
          <t>Gestore - Promozioni</t>
        </is>
      </c>
      <c r="E15" s="39">
        <f>COUNTIF('Test Case'!B:B,"Gestore - Promozioni")</f>
        <v/>
      </c>
    </row>
    <row r="16" ht="15" customHeight="1" s="22">
      <c r="D16" s="27" t="inlineStr">
        <is>
          <t>Gestore - Profilo Centro</t>
        </is>
      </c>
      <c r="E16" s="39">
        <f>COUNTIF('Test Case'!B:B,"Gestore - Profilo Centro")</f>
        <v/>
      </c>
    </row>
    <row r="17" ht="15" customHeight="1" s="22">
      <c r="D17" s="27" t="inlineStr">
        <is>
          <t>Admin - Dashboard</t>
        </is>
      </c>
      <c r="E17" s="39">
        <f>COUNTIF('Test Case'!B:B,"Admin - Dashboard")</f>
        <v/>
      </c>
    </row>
    <row r="18" ht="15" customHeight="1" s="22">
      <c r="D18" s="27" t="inlineStr">
        <is>
          <t>Admin - Gestione</t>
        </is>
      </c>
      <c r="E18" s="39">
        <f>COUNTIF('Test Case'!B:B,"Admin - Gestione")</f>
        <v/>
      </c>
    </row>
    <row r="19" ht="15" customHeight="1" s="22">
      <c r="D19" s="27" t="inlineStr">
        <is>
          <t>Admin - Richieste Gruppo</t>
        </is>
      </c>
      <c r="E19" s="39">
        <f>COUNTIF('Test Case'!B:B,"Admin - Richieste Gruppo")</f>
        <v/>
      </c>
    </row>
    <row r="20" ht="15" customHeight="1" s="22">
      <c r="D20" s="27" t="inlineStr">
        <is>
          <t>Admin - Analytics</t>
        </is>
      </c>
      <c r="E20" s="39">
        <f>COUNTIF('Test Case'!B:B,"Admin - Analytics")</f>
        <v/>
      </c>
    </row>
    <row r="21" ht="15" customHeight="1" s="22">
      <c r="D21" s="27" t="inlineStr">
        <is>
          <t>Multi-tenant / PWA</t>
        </is>
      </c>
      <c r="E21" s="39">
        <f>COUNTIF('Test Case'!B:B,"Multi-tenant / PWA")</f>
        <v/>
      </c>
    </row>
    <row r="22" ht="15" customHeight="1" s="22">
      <c r="D22" s="27" t="inlineStr">
        <is>
          <t>Fuori scope attuale</t>
        </is>
      </c>
      <c r="E22" s="39">
        <f>COUNTIF('Test Case'!B:B,"Fuori scope attuale")</f>
        <v/>
      </c>
    </row>
    <row r="23" ht="15" customHeight="1" s="22">
      <c r="D23" s="27" t="inlineStr">
        <is>
          <t>Genitori - Home (Planner/Per Bambino)</t>
        </is>
      </c>
      <c r="E23" s="39">
        <f>COUNTIF('Test Case'!B:B,"Genitori - Home (Planner/Per Bambino)")</f>
        <v/>
      </c>
    </row>
    <row r="24">
      <c r="D24" s="27" t="inlineStr">
        <is>
          <t>Gestore - Inviti</t>
        </is>
      </c>
      <c r="E24" s="39">
        <f>COUNTIF('Test Case'!B:B,"Gestore - Inviti")</f>
        <v/>
      </c>
    </row>
    <row r="25">
      <c r="D25" s="27" t="inlineStr">
        <is>
          <t>Genitori - Registrazione</t>
        </is>
      </c>
      <c r="E25" s="39">
        <f>COUNTIF('Test Case'!B:B,"Genitori - Registrazione")</f>
        <v/>
      </c>
    </row>
    <row r="26">
      <c r="D26" s="27" t="inlineStr">
        <is>
          <t>Gestore - Le mie richieste</t>
        </is>
      </c>
      <c r="E26" s="39">
        <f>COUNTIF('Test Case'!B:B,"Gestore - Le mie richieste")</f>
        <v/>
      </c>
    </row>
    <row r="27">
      <c r="D27" s="27" t="inlineStr">
        <is>
          <t>Gestore - Report presenze</t>
        </is>
      </c>
      <c r="E27" s="39">
        <f>COUNTIF('Test Case'!B:B,"Gestore - Report presenze")</f>
        <v/>
      </c>
    </row>
    <row r="28">
      <c r="D28" s="21" t="inlineStr">
        <is>
          <t>Admin - Nuovi pannelli</t>
        </is>
      </c>
      <c r="E28" s="21">
        <f>COUNTIF('Test Case'!B:B,"Admin - Nuovi pannelli")</f>
        <v/>
      </c>
    </row>
    <row r="29">
      <c r="D29" s="21" t="inlineStr">
        <is>
          <t>Gestore - Account</t>
        </is>
      </c>
      <c r="E29" s="21">
        <f>COUNTIF('Test Case'!B:B,"Gestore - Account")</f>
        <v/>
      </c>
    </row>
    <row r="30">
      <c r="D30" s="21" t="inlineStr">
        <is>
          <t>Gestore - Il mio account</t>
        </is>
      </c>
      <c r="E30" s="21">
        <f>COUNTIF('Test Case'!B:B,"Gestore - Il mio account")</f>
        <v/>
      </c>
    </row>
    <row r="31">
      <c r="D31" s="21" t="inlineStr">
        <is>
          <t>Gestore - Registro presenze</t>
        </is>
      </c>
      <c r="E31" s="21">
        <f>COUNTIF('Test Case'!B:B,"Gestore - Registro presenze")</f>
        <v/>
      </c>
    </row>
    <row r="32">
      <c r="D32" s="21" t="inlineStr">
        <is>
          <t>NEXTGEN - Setup</t>
        </is>
      </c>
      <c r="E32" s="21">
        <f>COUNTIF('Test Case'!B:B,"NEXTGEN - Setup")</f>
        <v/>
      </c>
    </row>
    <row r="33">
      <c r="D33" s="21" t="inlineStr">
        <is>
          <t>NEXTGEN - Dashboard Genitore</t>
        </is>
      </c>
      <c r="E33" s="21">
        <f>COUNTIF('Test Case'!B:B,"NEXTGEN - Dashboard Genitore")</f>
        <v/>
      </c>
    </row>
    <row r="34">
      <c r="D34" s="21" t="inlineStr">
        <is>
          <t>NEXTGEN - Ricerca e scoperta</t>
        </is>
      </c>
      <c r="E34" s="21">
        <f>COUNTIF('Test Case'!B:B,"NEXTGEN - Ricerca e scoperta")</f>
        <v/>
      </c>
    </row>
    <row r="35">
      <c r="D35" s="21" t="inlineStr">
        <is>
          <t>NEXTGEN - Planner</t>
        </is>
      </c>
      <c r="E35" s="21">
        <f>COUNTIF('Test Case'!B:B,"NEXTGEN - Planner")</f>
        <v/>
      </c>
    </row>
    <row r="36">
      <c r="D36" s="21" t="inlineStr">
        <is>
          <t>NEXTGEN - Home (rifinitura)</t>
        </is>
      </c>
      <c r="E36" s="21">
        <f>COUNTIF('Test Case'!B:B,"NEXTGEN - Home (rifinitura)")</f>
        <v/>
      </c>
    </row>
    <row r="37">
      <c r="D37" s="21" t="inlineStr">
        <is>
          <t>Versione LEGACY/NEXTGEN - Toggle</t>
        </is>
      </c>
      <c r="E37" s="21">
        <f>COUNTIF('Test Case'!B:B,"Versione LEGACY/NEXTGEN - Toggle")</f>
        <v/>
      </c>
    </row>
    <row r="38">
      <c r="D38" s="21" t="inlineStr">
        <is>
          <t>NEXTGEN - Community</t>
        </is>
      </c>
      <c r="E38" s="21">
        <f>COUNTIF('Test Case'!B:B,"NEXTGEN - Community")</f>
        <v/>
      </c>
    </row>
  </sheetData>
  <printOptions horizontalCentered="0" verticalCentered="0" headings="0" gridLines="0" gridLinesSet="1"/>
  <pageMargins left="0.75" right="0.75" top="1" bottom="1" header="0.511811023622047" footer="0.511805555555556"/>
  <pageSetup orientation="portrait" paperSize="9" scale="100" fitToHeight="1" fitToWidth="1" pageOrder="downThenOver" blackAndWhite="0" draft="0" horizontalDpi="300" verticalDpi="300" copies="1"/>
  <headerFooter differentOddEven="0" differentFirst="0">
    <oddHeader/>
    <oddFooter>&amp;C&amp;"Aptos,Regular"&amp;10 _x000d_# This document is classified as EOLO - C2 General</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2026-07-08T11:00:13Z</dcterms:created>
  <dcterms:modified xmlns:dcterms="http://purl.org/dc/terms/" xmlns:xsi="http://www.w3.org/2001/XMLSchema-instance" xsi:type="dcterms:W3CDTF">2026-07-13T14:38:52Z</dcterms:modified>
  <cp:lastModifiedBy>Fabrizio Pirulli</cp:lastModifiedBy>
  <cp:revision>0</cp:revision>
</cp:coreProperties>
</file>

<file path=docProps/custom.xml><?xml version="1.0" encoding="utf-8"?>
<Properties xmlns="http://schemas.openxmlformats.org/officeDocument/2006/custom-properties">
  <property name="MSIP_Label_dc112c3a-7bd8-47cc-83d0-f5c7c61e6e4e_ActionId" fmtid="{D5CDD505-2E9C-101B-9397-08002B2CF9AE}" pid="2">
    <vt:lpwstr xmlns:vt="http://schemas.openxmlformats.org/officeDocument/2006/docPropsVTypes">e48ec917-a6dc-4bbf-aed4-7d25bb5375dd</vt:lpwstr>
  </property>
  <property name="MSIP_Label_dc112c3a-7bd8-47cc-83d0-f5c7c61e6e4e_ContentBits" fmtid="{D5CDD505-2E9C-101B-9397-08002B2CF9AE}" pid="3">
    <vt:lpwstr xmlns:vt="http://schemas.openxmlformats.org/officeDocument/2006/docPropsVTypes">2</vt:lpwstr>
  </property>
  <property name="MSIP_Label_dc112c3a-7bd8-47cc-83d0-f5c7c61e6e4e_Enabled" fmtid="{D5CDD505-2E9C-101B-9397-08002B2CF9AE}" pid="4">
    <vt:lpwstr xmlns:vt="http://schemas.openxmlformats.org/officeDocument/2006/docPropsVTypes">true</vt:lpwstr>
  </property>
  <property name="MSIP_Label_dc112c3a-7bd8-47cc-83d0-f5c7c61e6e4e_Method" fmtid="{D5CDD505-2E9C-101B-9397-08002B2CF9AE}" pid="5">
    <vt:lpwstr xmlns:vt="http://schemas.openxmlformats.org/officeDocument/2006/docPropsVTypes">Standard</vt:lpwstr>
  </property>
  <property name="MSIP_Label_dc112c3a-7bd8-47cc-83d0-f5c7c61e6e4e_Name" fmtid="{D5CDD505-2E9C-101B-9397-08002B2CF9AE}" pid="6">
    <vt:lpwstr xmlns:vt="http://schemas.openxmlformats.org/officeDocument/2006/docPropsVTypes">C2</vt:lpwstr>
  </property>
  <property name="MSIP_Label_dc112c3a-7bd8-47cc-83d0-f5c7c61e6e4e_SetDate" fmtid="{D5CDD505-2E9C-101B-9397-08002B2CF9AE}" pid="7">
    <vt:lpwstr xmlns:vt="http://schemas.openxmlformats.org/officeDocument/2006/docPropsVTypes">2026-07-08T13:02:17Z</vt:lpwstr>
  </property>
  <property name="MSIP_Label_dc112c3a-7bd8-47cc-83d0-f5c7c61e6e4e_SiteId" fmtid="{D5CDD505-2E9C-101B-9397-08002B2CF9AE}" pid="8">
    <vt:lpwstr xmlns:vt="http://schemas.openxmlformats.org/officeDocument/2006/docPropsVTypes">3eb573ab-f148-4769-95fd-b69696295c69</vt:lpwstr>
  </property>
  <property name="MSIP_Label_dc112c3a-7bd8-47cc-83d0-f5c7c61e6e4e_Tag" fmtid="{D5CDD505-2E9C-101B-9397-08002B2CF9AE}" pid="9">
    <vt:lpwstr xmlns:vt="http://schemas.openxmlformats.org/officeDocument/2006/docPropsVTypes">50, 3, 0, 1</vt:lpwstr>
  </property>
</Properties>
</file>