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<sst xmlns="http://schemas.openxmlformats.org/spreadsheetml/2006/main" count="4776" uniqueCount="3083">
  <si>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</si>
  <si>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</si>
  <si>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</si>
  <si>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</si>
  <si>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</si>
  <si>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</si>
  <si>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</si>
  <si>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</si>
  <si>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</si>
  <si>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</si>
  <si>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</si>
  <si>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</si>
  <si>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</si>
  <si>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</si>
  <si>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</si>
  <si>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</si>
  <si>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</si>
  <si>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</si>
  <si>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</si>
  <si>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</si>
  <si>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</si>
  <si>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</si>
  <si>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</si>
  <si>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</si>
  <si>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</si>
  <si>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</si>
  <si>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</si>
  <si>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</si>
  <si>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</si>
  <si>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</si>
  <si>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</si>
  <si>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</si>
  <si>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</si>
  <si>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</si>
  <si>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</si>
  <si>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</si>
  <si>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</si>
  <si>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</si>
  <si>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</si>
  <si>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</si>
  <si>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</si>
  <si>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</si>
  <si>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</si>
  <si>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</si>
  <si>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</si>
  <si>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</si>
  <si>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</si>
  <si>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</si>
  <si>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</si>
  <si>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</si>
  <si>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</si>
  <si>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</si>
  <si>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</si>
  <si>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</si>
  <si>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</si>
  <si>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</si>
  <si>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</si>
  <si>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</si>
  <si>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</si>
  <si>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</si>
  <si>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</si>
  <si>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</si>
  <si>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</si>
  <si>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</si>
  <si>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</si>
  <si>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</si>
  <si>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</si>
  <si>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</si>
  <si>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</si>
  <si>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</si>
  <si>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</si>
  <si>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</si>
  <si>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</si>
  <si>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</si>
  <si>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</si>
  <si>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</si>
  <si>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</si>
  <si>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</si>
  <si>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</si>
  <si>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</si>
  <si>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</si>
  <si>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</si>
  <si>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</si>
  <si>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</si>
  <si>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</si>
  <si>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</si>
  <si>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</si>
  <si>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</si>
  <si>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</si>
  <si>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</si>
  <si>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</si>
  <si>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</si>
  <si>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</si>
  <si>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</si>
  <si>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</si>
  <si>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</si>
  <si>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</si>
  <si>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</si>
  <si>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</si>
  <si>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</si>
  <si>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</si>
  <si>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</si>
  <si>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</si>
  <si>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</si>
  <si>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</si>
  <si>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</si>
  <si>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</si>
  <si>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</si>
  <si>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</si>
  <si>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</si>
  <si>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</si>
  <si>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</si>
  <si>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</si>
  <si>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</si>
  <si>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</si>
  <si>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</si>
  <si>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</si>
  <si>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</si>
  <si>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</si>
  <si>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</si>
  <si>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</si>
  <si>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</si>
  <si>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</si>
  <si>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</si>
  <si>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</si>
  <si>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</si>
  <si>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</si>
  <si>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</si>
  <si>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</si>
  <si>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</si>
  <si>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</si>
  <si>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</si>
  <si>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</si>
  <si>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</si>
  <si>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</si>
  <si>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</si>
  <si>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</si>
  <si>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</si>
  <si>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</si>
  <si>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</si>
  <si>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</si>
  <si>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</si>
  <si>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</si>
  <si>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</si>
  <si>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</si>
  <si>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</si>
  <si>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</si>
  <si>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</si>
  <si>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</si>
  <si>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</si>
  <si>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</si>
  <si>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</si>
  <si>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</si>
  <si>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</si>
  <si>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</si>
  <si>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</si>
  <si>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</si>
  <si>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</si>
  <si>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</si>
  <si>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</si>
  <si>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</si>
  <si>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</si>
  <si>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</si>
  <si>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</si>
  <si>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</si>
  <si>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</si>
  <si>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</si>
  <si>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</si>
  <si>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</si>
  <si>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</si>
  <si>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</si>
  <si>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</si>
  <si>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</si>
  <si>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</si>
  <si>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</si>
  <si>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</si>
  <si>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</si>
  <si>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</si>
  <si>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</si>
  <si>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</si>
  <si>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</si>
  <si>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</si>
  <si>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</si>
  <si>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</si>
  <si>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</si>
  <si>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</si>
  <si>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</si>
  <si>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</si>
  <si>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</si>
  <si>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</si>
  <si>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</si>
  <si>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</si>
  <si>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</si>
  <si>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</si>
  <si>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</si>
  <si>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</si>
  <si>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</si>
  <si>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</si>
  <si>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</si>
  <si>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</si>
  <si>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</si>
  <si>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</si>
  <si>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</si>
  <si>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</si>
  <si>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</si>
  <si>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</si>
  <si>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</si>
  <si>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</si>
  <si>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</si>
  <si>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</si>
  <si>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</si>
  <si>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</si>
  <si>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</si>
  <si>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</si>
  <si>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</si>
  <si>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</si>
  <si>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</si>
  <si>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</si>
  <si>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</si>
  <si>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</si>
  <si>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</si>
  <si>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</si>
  <si>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</si>
  <si>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</si>
  <si>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</si>
  <si>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</si>
  <si>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</si>
  <si>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</si>
  <si>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</si>
  <si>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</si>
  <si>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</si>
  <si>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</si>
  <si>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</si>
  <si>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</si>
  <si>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</si>
  <si>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</si>
  <si>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</si>
  <si>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</si>
  <si>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</si>
  <si>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</si>
  <si>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</si>
  <si>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</si>
  <si>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</si>
  <si>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</si>
  <si>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</si>
  <si>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</si>
  <si>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</si>
  <si>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</si>
  <si>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</si>
  <si>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</si>
  <si>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</si>
  <si>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</si>
  <si>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</si>
  <si>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</si>
  <si>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</si>
  <si>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</si>
  <si>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</si>
  <si>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</si>
  <si>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</si>
  <si>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</si>
  <si>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</si>
  <si>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</si>
  <si>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</si>
  <si>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</si>
  <si>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</si>
  <si>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</si>
  <si>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</si>
  <si>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</si>
  <si>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</si>
  <si>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</si>
  <si>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</si>
  <si>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</si>
  <si>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</si>
  <si>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</si>
  <si>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</si>
  <si>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</si>
  <si>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</si>
  <si>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</si>
  <si>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</si>
  <si>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</si>
  <si>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</si>
  <si>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</si>
  <si>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</si>
  <si>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</si>
  <si>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</si>
  <si>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</si>
  <si>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</si>
  <si>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</si>
  <si>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</si>
  <si>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</si>
  <si>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</si>
  <si>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</si>
  <si>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</si>
  <si>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</si>
  <si>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</si>
  <si>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</si>
  <si>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</si>
  <si>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</si>
  <si>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</si>
  <si>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</si>
  <si>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</si>
  <si>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</si>
  <si>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</si>
  <si>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</si>
  <si>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</si>
  <si>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</si>
  <si>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</si>
  <si>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</si>
  <si>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</si>
  <si>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</si>
  <si>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</si>
  <si>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</si>
  <si>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</si>
  <si>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</si>
  <si>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</si>
  <si>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</si>
  <si>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</si>
  <si>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</si>
  <si>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</si>
  <si>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</si>
  <si>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</si>
  <si>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</si>
  <si>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</si>
  <si>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</si>
  <si>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</si>
  <si>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</si>
  <si>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</si>
  <si>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</si>
  <si>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</si>
  <si>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</si>
  <si>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</si>
  <si>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</si>
  <si>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</si>
  <si>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</si>
  <si>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</si>
  <si>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</si>
  <si>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</si>
  <si>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</si>
  <si>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</si>
  <si>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</si>
  <si>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</si>
  <si>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</si>
  <si>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</si>
  <si>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</si>
  <si>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</si>
  <si>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</si>
  <si>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</si>
  <si>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</si>
  <si>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</si>
  <si>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</si>
  <si>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</si>
  <si>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</si>
  <si>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</si>
  <si>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</si>
  <si>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</si>
  <si>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</si>
  <si>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</si>
  <si>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</si>
  <si>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</si>
  <si>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</si>
  <si>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</si>
  <si>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</si>
  <si>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</si>
  <si>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</si>
  <si>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</si>
  <si>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</si>
  <si>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</si>
  <si>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</si>
  <si>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</si>
  <si>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</si>
  <si>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</si>
  <si>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</si>
  <si>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</si>
  <si>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</si>
  <si>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</si>
  <si>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</si>
  <si>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</si>
  <si>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</si>
  <si>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</si>
  <si>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</si>
  <si>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</si>
  <si>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</si>
  <si>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</si>
  <si>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</si>
  <si>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</si>
  <si>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</si>
  <si>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</si>
  <si>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</si>
  <si>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</si>
  <si>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</si>
  <si>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</si>
  <si>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</si>
  <si>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</si>
  <si>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</si>
  <si>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</si>
  <si>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</si>
  <si>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</si>
  <si>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</si>
  <si>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</si>
  <si>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</si>
  <si>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</si>
  <si>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</si>
  <si>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</si>
  <si>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</si>
  <si>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</si>
  <si>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</si>
  <si>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</si>
  <si>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</si>
  <si>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</si>
  <si>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</si>
  <si>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</si>
  <si>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</si>
  <si>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</si>
  <si>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</si>
  <si>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</si>
  <si>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</si>
  <si>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</si>
  <si>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</si>
  <si>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</si>
  <si>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</si>
  <si>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</si>
  <si>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</si>
  <si>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</si>
  <si>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</si>
  <si>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</si>
  <si>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</si>
  <si>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</si>
  <si>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</si>
  <si>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</si>
  <si>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</si>
  <si>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</si>
  <si>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</si>
  <si>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</si>
  <si>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</si>
  <si>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</si>
  <si>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</si>
  <si>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</si>
  <si>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</si>
  <si>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</si>
  <si>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</si>
  <si>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</si>
  <si>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</si>
  <si>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</si>
  <si>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</si>
  <si>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</si>
  <si>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</si>
  <si>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</si>
  <si>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</si>
  <si>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</si>
  <si>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</si>
  <si>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</si>
  <si>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</si>
  <si>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</si>
  <si>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</si>
  <si>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</si>
  <si>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</si>
  <si>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</si>
  <si>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</si>
  <si>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</si>
  <si>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</si>
  <si>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</si>
  <si>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</si>
  <si>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</si>
  <si>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</si>
  <si>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</si>
  <si>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</si>
  <si>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</si>
  <si>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</si>
  <si>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</si>
  <si>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</si>
  <si>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</si>
  <si>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</si>
  <si>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</si>
  <si>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</si>
  <si>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</si>
  <si>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</si>
  <si>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</si>
  <si>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</si>
  <si>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</si>
  <si>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</si>
  <si>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</si>
  <si>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</si>
  <si>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</si>
  <si>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</si>
  <si>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</si>
  <si>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</si>
  <si>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</si>
  <si>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</si>
  <si>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</si>
  <si>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</si>
  <si>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</si>
  <si>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</si>
  <si>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</si>
  <si>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</si>
  <si>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</si>
  <si>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</si>
  <si>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</si>
  <si>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</si>
  <si>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</si>
  <si>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</si>
  <si>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</si>
  <si>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</si>
  <si>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</si>
  <si>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</si>
  <si>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</si>
  <si>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</si>
  <si>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</si>
  <si>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</si>
  <si>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</si>
  <si>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</si>
  <si>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</si>
  <si>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</si>
  <si>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</si>
  <si>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</si>
  <si>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</si>
  <si>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</si>
  <si>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</si>
  <si>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</si>
  <si>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</si>
  <si>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</si>
  <si>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</si>
  <si>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</si>
  <si>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</si>
  <si>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</si>
  <si>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</si>
  <si>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</si>
  <si>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</si>
  <si>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</si>
  <si>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</si>
  <si>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</si>
  <si>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</si>
  <si>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</si>
  <si>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</si>
  <si>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</si>
  <si>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</si>
  <si>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</si>
  <si>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</si>
  <si>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(dati Supabase via listAllCentersForAdmin(), non piu lib/mock-data.ts)</t>
  </si>
  <si>
    <t xml:space="preserve">PASS</t>
  </si>
  <si>
    <t xml:space="preserve">#557</t>
  </si>
  <si>
    <t xml:space="preserve">RISOLTO (R-01, 25/08/2026)</t>
  </si>
  <si>
    <t xml:space="preserve">Automatizzato in tests/admin/gestione.spec.ts (TC-085, richiede deploy live).</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</si>
  <si>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</si>
  <si>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</si>
  <si>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</si>
  <si>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</si>
  <si>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</si>
  <si>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</si>
  <si>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</si>
  <si>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</si>
  <si>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 (query Supabase diretta, stato/storico attivazione)</t>
  </si>
  <si>
    <t xml:space="preserve">Automatizzato in tests/admin/gestione.spec.ts (TC-087, click da elenco, richiede deploy live).</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</si>
  <si>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</si>
  <si>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</si>
  <si>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</si>
  <si>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</si>
  <si>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</si>
  <si>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</si>
  <si>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</si>
  <si>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</si>
  <si>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</si>
  <si>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</si>
  <si>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</si>
  <si>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</si>
  <si>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</si>
  <si>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</si>
  <si>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</si>
  <si>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</si>
  <si>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</si>
  <si>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</si>
  <si>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</si>
  <si>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</si>
  <si>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</si>
  <si>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</si>
  <si>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</si>
  <si>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</si>
  <si>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</si>
  <si>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</si>
  <si>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</si>
  <si>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</si>
  <si>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</si>
  <si>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</si>
  <si>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</si>
  <si>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</si>
  <si>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</si>
  <si>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</si>
  <si>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</si>
  <si>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</si>
  <si>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</si>
  <si>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</si>
  <si>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</si>
  <si>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</si>
  <si>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</si>
  <si>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</si>
  <si>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</si>
  <si>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</si>
  <si>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</si>
  <si>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</si>
  <si>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</si>
  <si>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</si>
  <si>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</si>
  <si>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</si>
  <si>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</si>
  <si>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</si>
  <si>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</si>
  <si>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</si>
  <si>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</si>
  <si>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</si>
  <si>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</si>
  <si>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</si>
  <si>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</si>
  <si>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</si>
  <si>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</si>
  <si>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</si>
  <si>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</si>
  <si>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</si>
  <si>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</si>
  <si>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</si>
  <si>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</si>
  <si>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</si>
  <si>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</si>
  <si>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</si>
  <si>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</si>
  <si>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</si>
  <si>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</si>
  <si>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</si>
  <si>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</si>
  <si>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</si>
  <si>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</si>
  <si>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</si>
  <si>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</si>
  <si>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</si>
  <si>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</si>
  <si>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</si>
  <si>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</si>
  <si>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</si>
  <si>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</si>
  <si>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</si>
  <si>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</si>
  <si>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</si>
  <si>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</si>
  <si>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</si>
  <si>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</si>
  <si>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</si>
  <si>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</si>
  <si>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</si>
  <si>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</si>
  <si>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</si>
  <si>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</si>
  <si>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</si>
  <si>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</si>
  <si>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</si>
  <si>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</si>
  <si>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</si>
  <si>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</si>
  <si>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</si>
  <si>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</si>
  <si>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</si>
  <si>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</si>
  <si>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</si>
  <si>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</si>
  <si>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</si>
  <si>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</si>
  <si>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</si>
  <si>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</si>
  <si>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</si>
  <si>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</si>
  <si>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</si>
  <si>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</si>
  <si>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</si>
  <si>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</si>
  <si>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</si>
  <si>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</si>
  <si>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</si>
  <si>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</si>
  <si>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</si>
  <si>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</si>
  <si>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</si>
  <si>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</si>
  <si>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</si>
  <si>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</si>
  <si>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</si>
  <si>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</si>
  <si>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</si>
  <si>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</si>
  <si>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</si>
  <si>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</si>
  <si>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</si>
  <si>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</si>
  <si>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</si>
  <si>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</si>
  <si>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</si>
  <si>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</si>
  <si>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</si>
  <si>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</si>
  <si>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</si>
  <si>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</si>
  <si>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</si>
  <si>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</si>
  <si>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</si>
  <si>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</si>
  <si>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</si>
  <si>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</si>
  <si>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</si>
  <si>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</si>
  <si>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</si>
  <si>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</si>
  <si>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</si>
  <si>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</si>
  <si>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</si>
  <si>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</si>
  <si>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</si>
  <si>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</si>
  <si>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</si>
  <si>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</si>
  <si>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</si>
  <si>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</si>
  <si>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</si>
  <si>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</si>
  <si>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</si>
  <si>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</si>
  <si>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</si>
  <si>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</si>
  <si>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</si>
  <si>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</si>
  <si>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</si>
  <si>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</si>
  <si>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</si>
  <si>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</si>
  <si>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</si>
  <si>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</si>
  <si>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</si>
  <si>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</si>
  <si>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</si>
  <si>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</si>
  <si>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</si>
  <si>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</si>
  <si>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</si>
  <si>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</si>
  <si>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</si>
  <si>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</si>
  <si>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</si>
  <si>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</si>
  <si>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</si>
  <si>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</si>
  <si>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</si>
  <si>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</si>
  <si>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</si>
  <si>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</si>
  <si>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</si>
  <si>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</si>
  <si>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</si>
  <si>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</si>
  <si>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</si>
  <si>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</si>
  <si>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</si>
  <si>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</si>
  <si>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</si>
  <si>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</si>
  <si>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</si>
  <si>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</si>
  <si>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</si>
  <si>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</si>
  <si>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</si>
  <si>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</si>
  <si>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</si>
  <si>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</si>
  <si>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</si>
  <si>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</si>
  <si>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</si>
  <si>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</si>
  <si>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</si>
  <si>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</si>
  <si>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</si>
  <si>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</si>
  <si>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</si>
  <si>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</si>
  <si>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</si>
  <si>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</si>
  <si>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</si>
  <si>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</si>
  <si>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</si>
  <si>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</si>
  <si>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</si>
  <si>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</si>
  <si>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</si>
  <si>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</si>
  <si>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</si>
  <si>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</si>
  <si>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</si>
  <si>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</si>
  <si>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</si>
  <si>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</si>
  <si>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</si>
  <si>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</si>
  <si>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</si>
  <si>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</si>
  <si>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</si>
  <si>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</si>
  <si>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</si>
  <si>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</si>
  <si>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</si>
  <si>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</si>
  <si>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</si>
  <si>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</si>
  <si>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</si>
  <si>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</si>
  <si>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</si>
  <si>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</si>
  <si>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</si>
  <si>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</si>
  <si>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</si>
  <si>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</si>
  <si>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</si>
  <si>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</si>
  <si>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</si>
  <si>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</si>
  <si>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</si>
  <si>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</si>
  <si>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</si>
  <si>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</si>
  <si>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</si>
  <si>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</si>
  <si>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</si>
  <si>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</si>
  <si>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</si>
  <si>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</si>
  <si>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</si>
  <si>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</si>
  <si>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</si>
  <si>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</si>
  <si>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</si>
  <si>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</si>
  <si>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</si>
  <si>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</si>
  <si>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</si>
  <si>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</si>
  <si>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</si>
  <si>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</si>
  <si>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</si>
  <si>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</si>
  <si>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</si>
  <si>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</si>
  <si>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</si>
  <si>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</si>
  <si>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</si>
  <si>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</si>
  <si>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</si>
  <si>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</si>
  <si>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</si>
  <si>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</si>
  <si>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</si>
  <si>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</si>
  <si>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</si>
  <si>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</si>
  <si>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</si>
  <si>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</si>
  <si>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</si>
  <si>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</si>
  <si>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</si>
  <si>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</si>
  <si>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</si>
  <si>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</si>
  <si>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</si>
  <si>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</si>
  <si>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</si>
  <si>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</si>
  <si>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</si>
  <si>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</si>
  <si>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</si>
  <si>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</si>
  <si>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</si>
  <si>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</si>
  <si>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</si>
  <si>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</si>
  <si>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</si>
  <si>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</si>
  <si>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</si>
  <si>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</si>
  <si>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</si>
  <si>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</si>
  <si>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</si>
  <si>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</si>
  <si>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</si>
  <si>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</si>
  <si>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</si>
  <si>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</si>
  <si>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</si>
  <si>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</si>
  <si>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</si>
  <si>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</si>
  <si>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</si>
  <si>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</si>
  <si>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</si>
  <si>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</si>
  <si>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</si>
  <si>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</si>
  <si>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</si>
  <si>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</si>
  <si>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</si>
  <si>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</si>
  <si>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</si>
  <si>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</si>
  <si>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</si>
  <si>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</si>
  <si>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</si>
  <si>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</si>
  <si>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</si>
  <si>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</si>
  <si>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</si>
  <si>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</si>
  <si>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</si>
  <si>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</si>
  <si>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</si>
  <si>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</si>
  <si>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</si>
  <si>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</si>
  <si>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</si>
  <si>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</si>
  <si>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</si>
  <si>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</si>
  <si>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</si>
  <si>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</si>
  <si>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</si>
  <si>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</si>
  <si>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</si>
  <si>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</si>
  <si>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</si>
  <si>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</si>
  <si>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</si>
  <si>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</si>
  <si>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</si>
  <si>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</si>
  <si>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</si>
  <si>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</si>
  <si>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</si>
  <si>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</si>
  <si>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</si>
  <si>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</si>
  <si>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</si>
  <si>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</si>
  <si>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</si>
  <si>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</si>
  <si>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</si>
  <si>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</si>
  <si>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</si>
  <si>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</si>
  <si>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</si>
  <si>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</si>
  <si>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</si>
  <si>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</si>
  <si>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</si>
  <si>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</si>
  <si>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</si>
  <si>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</si>
  <si>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</si>
  <si>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</si>
  <si>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</si>
  <si>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</si>
  <si>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</si>
  <si>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</si>
  <si>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</si>
  <si>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</si>
  <si>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</si>
  <si>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</si>
  <si>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</si>
  <si>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</si>
  <si>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</si>
  <si>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</si>
  <si>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</si>
  <si>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</si>
  <si>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</si>
  <si>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</si>
  <si>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</si>
  <si>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</si>
  <si>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</si>
  <si>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</si>
  <si>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</si>
  <si>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</si>
  <si>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</si>
  <si>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</si>
  <si>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</si>
  <si>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</si>
  <si>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</si>
  <si>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</si>
  <si>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</si>
  <si>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</si>
  <si>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</si>
  <si>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</si>
  <si>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</si>
  <si>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</si>
  <si>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</si>
  <si>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</si>
  <si>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</si>
  <si>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</si>
  <si>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</si>
  <si>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</si>
  <si>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</si>
  <si>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</si>
  <si>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</si>
  <si>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</si>
  <si>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</si>
  <si>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</si>
  <si>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</si>
  <si>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</si>
  <si>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</si>
  <si>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</si>
  <si>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</si>
  <si>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</si>
  <si>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</si>
  <si>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</si>
  <si>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</si>
  <si>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</si>
  <si>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</si>
  <si>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</si>
  <si>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</si>
  <si>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</si>
  <si>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</si>
  <si>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</si>
  <si>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</si>
  <si>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</si>
  <si>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</si>
  <si>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</si>
  <si>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</si>
  <si>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</si>
  <si>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</si>
  <si>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</si>
  <si>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</si>
  <si>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</si>
  <si>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</si>
  <si>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</si>
  <si>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</si>
  <si>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</si>
  <si>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</si>
  <si>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</si>
  <si>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</si>
  <si>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</si>
  <si>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</si>
  <si>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</si>
  <si>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</si>
  <si>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</si>
  <si>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</si>
  <si>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</si>
  <si>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</si>
  <si>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</si>
  <si>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</si>
  <si>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</si>
  <si>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</si>
  <si>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</si>
  <si>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</si>
  <si>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</si>
  <si>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</si>
  <si>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</si>
  <si>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</si>
  <si>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</si>
  <si>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</si>
  <si>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</si>
  <si>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</si>
  <si>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</si>
  <si>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</si>
  <si>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</si>
  <si>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</si>
  <si>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</si>
  <si>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</si>
  <si>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</si>
  <si>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</si>
  <si>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</si>
  <si>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</si>
  <si>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</si>
  <si>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</si>
  <si>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</si>
  <si>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</si>
  <si>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</si>
  <si>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</si>
  <si>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</si>
  <si>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</si>
  <si>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</si>
  <si>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</si>
  <si>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</si>
  <si>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</si>
  <si>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</si>
  <si>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</si>
  <si>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</si>
  <si>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</si>
  <si>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</si>
  <si>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</si>
  <si>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</si>
  <si>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</si>
  <si>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</si>
  <si>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</si>
  <si>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</si>
  <si>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</si>
  <si>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</si>
  <si>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</si>
  <si>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</si>
  <si>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</si>
  <si>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</si>
  <si>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</si>
  <si>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</si>
  <si>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</si>
  <si>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</si>
  <si>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</si>
  <si>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</si>
  <si>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</si>
  <si>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</si>
  <si>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</si>
  <si>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</si>
  <si>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</si>
  <si>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</si>
  <si>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</si>
  <si>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</si>
  <si>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</si>
  <si>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</si>
  <si>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</si>
  <si>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</si>
  <si>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</si>
  <si>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</si>
  <si>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</si>
  <si>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</si>
  <si>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</si>
  <si>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</si>
  <si>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</si>
  <si>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</si>
  <si>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</si>
  <si>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</si>
  <si>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</si>
  <si>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</si>
  <si>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</si>
  <si>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</si>
  <si>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</si>
  <si>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</si>
  <si>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</si>
  <si>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</si>
  <si>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</si>
  <si>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</si>
  <si>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</si>
  <si>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</si>
  <si>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</si>
  <si>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</si>
  <si>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</si>
  <si>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</si>
  <si>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</si>
  <si>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</si>
  <si>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</si>
  <si>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</si>
  <si>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</si>
  <si>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</si>
  <si>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</si>
  <si>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</si>
  <si>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</si>
  <si>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</si>
  <si>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</si>
  <si>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</si>
  <si>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</si>
  <si>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</si>
  <si>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</si>
  <si>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</si>
  <si>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</si>
  <si>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</si>
  <si>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</si>
  <si>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</si>
  <si>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</si>
  <si>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</si>
  <si>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</si>
  <si>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</si>
  <si>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</si>
  <si>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</si>
  <si>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</si>
  <si>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</si>
  <si>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</si>
  <si>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</si>
  <si>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</si>
  <si>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</si>
  <si>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</si>
  <si>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</si>
  <si>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</si>
  <si>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</si>
  <si>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</si>
  <si>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</si>
  <si>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</si>
  <si>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</si>
  <si>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</si>
  <si>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</si>
  <si>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</si>
  <si>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</si>
  <si>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</si>
  <si>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</si>
  <si>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</si>
  <si>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</si>
  <si>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</si>
  <si>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</si>
  <si>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</si>
  <si>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</si>
  <si>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</si>
  <si>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</si>
  <si>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</si>
  <si>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</si>
  <si>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</si>
  <si>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</si>
  <si>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</si>
  <si>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</si>
  <si>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</si>
  <si>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</si>
  <si>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</si>
  <si>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</si>
  <si>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</si>
  <si>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</si>
  <si>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</si>
  <si>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</si>
  <si>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</si>
  <si>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</si>
  <si>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</si>
  <si>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</si>
  <si>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</si>
  <si>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</si>
  <si>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</si>
  <si>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</si>
  <si>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</si>
  <si>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</si>
  <si>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</si>
  <si>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</si>
  <si>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</si>
  <si>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</si>
  <si>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</si>
  <si>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</si>
  <si>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</si>
  <si>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</si>
  <si>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</si>
  <si>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</si>
  <si>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</si>
  <si>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</si>
  <si>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</si>
  <si>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</si>
  <si>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</si>
  <si>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</si>
  <si>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</si>
  <si>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</si>
  <si>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</si>
  <si>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</si>
  <si>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</si>
  <si>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</si>
  <si>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</si>
  <si>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</si>
  <si>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</si>
  <si>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</si>
  <si>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</si>
  <si>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</si>
  <si>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</si>
  <si>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</si>
  <si>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</si>
  <si>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</si>
  <si>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</si>
  <si>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</si>
  <si>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</si>
  <si>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</si>
  <si>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</si>
  <si>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</si>
  <si>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</si>
  <si>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</si>
  <si>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</si>
  <si>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</si>
  <si>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</si>
  <si>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</si>
  <si>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</si>
  <si>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</si>
  <si>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</si>
  <si>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</si>
  <si>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</si>
  <si>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</si>
  <si>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</si>
  <si>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</si>
  <si>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</si>
  <si>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</si>
  <si>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</si>
  <si>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</si>
  <si>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</si>
  <si>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</si>
  <si>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</si>
  <si>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</si>
  <si>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</si>
  <si>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</si>
  <si>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</si>
  <si>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</si>
  <si>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</si>
  <si>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</si>
  <si>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</si>
  <si>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</si>
  <si>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</si>
  <si>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</si>
  <si>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</si>
  <si>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</si>
  <si>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</si>
  <si>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</si>
  <si>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</si>
  <si>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</si>
  <si>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</si>
  <si>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</si>
  <si>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</si>
  <si>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</si>
  <si>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</si>
  <si>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</si>
  <si>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</si>
  <si>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</si>
  <si>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</si>
  <si>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</si>
  <si>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</si>
  <si>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</si>
  <si>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</si>
  <si>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</si>
  <si>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</si>
  <si>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</si>
  <si>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</si>
  <si>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</si>
  <si>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</si>
  <si>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</si>
  <si>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</si>
  <si>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</si>
  <si>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</si>
  <si>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</si>
  <si>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</si>
  <si>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</si>
  <si>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</si>
  <si>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</si>
  <si>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</si>
  <si>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</si>
  <si>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</si>
  <si>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</si>
  <si>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</si>
  <si>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</si>
  <si>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</si>
  <si>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</si>
  <si>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</si>
  <si>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</si>
  <si>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</si>
  <si>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</si>
  <si>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</si>
  <si>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</si>
  <si>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</si>
  <si>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</si>
  <si>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</si>
  <si>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</si>
  <si>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</si>
  <si>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</si>
  <si>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</si>
  <si>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</si>
  <si>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</si>
  <si>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</si>
  <si>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</si>
  <si>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</si>
  <si>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</si>
  <si>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</si>
  <si>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</si>
  <si>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</si>
  <si>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</si>
  <si>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</si>
  <si>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</si>
  <si>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</si>
  <si>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</si>
  <si>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</si>
  <si>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</si>
  <si>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</si>
  <si>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</si>
  <si>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</si>
  <si>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</si>
  <si>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</si>
  <si>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</si>
  <si>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</si>
  <si>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</si>
  <si>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</si>
  <si>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</si>
  <si>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</si>
  <si>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</si>
  <si>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</si>
  <si>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</si>
  <si>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</si>
  <si>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</si>
  <si>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</si>
  <si>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</si>
  <si>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</si>
  <si>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</si>
  <si>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</si>
  <si>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</si>
  <si>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</si>
  <si>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</si>
  <si>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</si>
  <si>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</si>
  <si>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</si>
  <si>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</si>
  <si>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</si>
  <si>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</si>
  <si>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</si>
  <si>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</si>
  <si>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</si>
  <si>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</si>
  <si>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</si>
  <si>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</si>
  <si>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</si>
  <si>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</si>
  <si>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</si>
  <si>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</si>
  <si>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</si>
  <si>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</si>
  <si>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</si>
  <si>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</si>
  <si>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</si>
  <si>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</si>
  <si>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</si>
  <si>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</si>
  <si>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</si>
  <si>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</si>
  <si>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</si>
  <si>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</si>
  <si>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</si>
  <si>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</si>
  <si>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</si>
  <si>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</si>
  <si>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</si>
  <si>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</si>
  <si>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</si>
  <si>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</si>
  <si>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</si>
  <si>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</si>
  <si>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</si>
  <si>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</si>
  <si>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</si>
  <si>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</si>
  <si>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</si>
  <si>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</si>
  <si>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</si>
  <si>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</si>
  <si>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</si>
  <si>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</si>
  <si>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</si>
  <si>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</si>
  <si>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</si>
  <si>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</si>
  <si>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</si>
  <si>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</si>
  <si>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</si>
  <si>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</si>
  <si>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</si>
  <si>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</si>
  <si>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</si>
  <si>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</si>
  <si>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</si>
  <si>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</si>
  <si>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</si>
  <si>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</si>
  <si>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</si>
  <si>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</si>
  <si>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</si>
  <si>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</si>
  <si>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</si>
  <si>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</si>
  <si>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</si>
  <si>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</si>
  <si>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</si>
  <si>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</si>
  <si>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</si>
  <si>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</si>
  <si>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</si>
  <si>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</si>
  <si>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</si>
  <si>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</si>
  <si>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</si>
  <si>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</si>
  <si>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</si>
  <si>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</si>
  <si>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</si>
  <si>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</si>
  <si>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</si>
  <si>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</si>
  <si>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</si>
  <si>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</si>
  <si>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</si>
  <si>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</si>
  <si>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</si>
  <si>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</si>
  <si>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</si>
  <si>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</si>
  <si>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</si>
  <si>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</si>
  <si>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</si>
  <si>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</si>
  <si>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</si>
  <si>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</si>
  <si>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</si>
  <si>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</si>
  <si>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</si>
  <si>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</si>
  <si>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</si>
  <si>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</si>
  <si>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</si>
  <si>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</si>
  <si>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</si>
  <si>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</si>
  <si>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</si>
  <si>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</si>
  <si>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</si>
  <si>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</si>
  <si>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</si>
  <si>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</si>
  <si>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</si>
  <si>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</si>
  <si>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</si>
  <si>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</si>
  <si>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</si>
  <si>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</si>
  <si>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</si>
  <si>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</si>
  <si>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</si>
  <si>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</si>
  <si>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</si>
  <si>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</si>
  <si>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</si>
  <si>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</si>
  <si>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</si>
  <si>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</si>
  <si>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</si>
  <si>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</si>
  <si>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</si>
  <si>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</si>
  <si>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</si>
  <si>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</si>
  <si>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</si>
  <si>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</si>
  <si>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</si>
  <si>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</si>
  <si>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</si>
  <si>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</si>
  <si>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</si>
  <si>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</si>
  <si>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</si>
  <si>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</si>
  <si>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</si>
  <si>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</si>
  <si>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</si>
  <si>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</si>
  <si>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</si>
  <si>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</si>
  <si>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</si>
  <si>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</si>
  <si>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</si>
  <si>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</si>
  <si>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</si>
  <si>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</si>
  <si>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</si>
  <si>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</si>
  <si>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</si>
  <si>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</si>
  <si>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</si>
  <si>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</si>
  <si>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</si>
  <si>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</si>
  <si>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</si>
  <si>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</si>
  <si>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</si>
  <si>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</si>
  <si>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</si>
  <si>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</si>
  <si>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</si>
  <si>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</si>
  <si>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</si>
  <si>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</si>
  <si>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</si>
  <si>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</si>
  <si>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</si>
  <si>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</si>
  <si>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</si>
  <si>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</si>
  <si>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</si>
  <si>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</si>
  <si>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</si>
  <si>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</si>
  <si>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</si>
  <si>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</si>
  <si>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</si>
  <si>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</si>
  <si>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</si>
  <si>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</si>
  <si>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</si>
  <si>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</si>
  <si>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</si>
  <si>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</si>
  <si>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</si>
  <si>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</si>
  <si>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</si>
  <si>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</si>
  <si>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</si>
  <si>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</si>
  <si>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</si>
  <si>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</si>
  <si>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</si>
  <si>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</si>
  <si>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</si>
  <si>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</si>
  <si>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</si>
  <si>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</si>
  <si>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</si>
  <si>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</si>
  <si>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</si>
  <si>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</si>
  <si>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</si>
  <si>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</si>
  <si>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</si>
  <si>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</si>
  <si>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</si>
  <si>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</si>
  <si>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</si>
  <si>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</si>
  <si>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</si>
  <si>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</si>
  <si>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</si>
  <si>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</si>
  <si>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</si>
  <si>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</si>
  <si>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</si>
  <si>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</si>
  <si>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</si>
  <si>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</si>
  <si>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</si>
  <si>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</si>
  <si>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</si>
  <si>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</si>
  <si>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</si>
  <si>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</si>
  <si>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</si>
  <si>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</si>
  <si>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</si>
  <si>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</si>
  <si>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</si>
  <si>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</si>
  <si>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</si>
  <si>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</si>
  <si>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</si>
  <si>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</si>
  <si>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</si>
  <si>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</si>
  <si>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</si>
  <si>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</si>
  <si>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</si>
  <si>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</si>
  <si>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</si>
  <si>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</si>
  <si>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</si>
  <si>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</si>
  <si>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</si>
  <si>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</si>
  <si>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</si>
  <si>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</si>
  <si>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</si>
  <si>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</si>
  <si>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</si>
  <si>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</si>
  <si>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</si>
  <si>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</si>
  <si>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</si>
  <si>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</si>
  <si>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</si>
  <si>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</si>
  <si>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</si>
  <si>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</si>
  <si>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</si>
  <si>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</si>
  <si>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</si>
  <si>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</si>
  <si>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</si>
  <si>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</si>
  <si>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</si>
  <si>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</si>
  <si>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</si>
  <si>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</si>
  <si>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</si>
  <si>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</si>
  <si>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</si>
  <si>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</si>
  <si>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</si>
  <si>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</si>
  <si>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</si>
  <si>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</si>
  <si>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</si>
  <si>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</si>
  <si>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</si>
  <si>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</si>
  <si>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</si>
  <si>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</si>
  <si>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</si>
  <si>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</si>
  <si>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</si>
  <si>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</si>
  <si>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</si>
  <si>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</si>
  <si>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</si>
  <si>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</si>
  <si>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</si>
  <si>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</si>
  <si>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</si>
  <si>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</si>
  <si>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</si>
  <si>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</si>
  <si>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</si>
  <si>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</si>
  <si>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</si>
  <si>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</si>
  <si>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</si>
  <si>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</si>
  <si>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</si>
  <si>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</si>
  <si>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</si>
  <si>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</si>
  <si>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</si>
  <si>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</si>
  <si>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</si>
  <si>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</si>
  <si>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</si>
  <si>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</si>
  <si>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</si>
  <si>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</si>
  <si>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</si>
  <si>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</si>
  <si>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</si>
  <si>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</si>
  <si>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</si>
  <si>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</si>
  <si>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</si>
  <si>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</si>
  <si>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</si>
  <si>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</si>
  <si>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</si>
  <si>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</si>
  <si>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</si>
  <si>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</si>
  <si>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</si>
  <si>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</si>
  <si>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</si>
  <si>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</si>
  <si>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</si>
  <si>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</si>
  <si>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</si>
  <si>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</si>
  <si>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</si>
  <si>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</si>
  <si>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</si>
  <si>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</si>
  <si>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</si>
  <si>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</si>
  <si>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</si>
  <si>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</si>
  <si>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</si>
  <si>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</si>
  <si>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</si>
  <si>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</si>
  <si>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</si>
  <si>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</si>
  <si>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</si>
  <si>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</si>
  <si>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</si>
  <si>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</si>
  <si>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</si>
  <si>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</si>
  <si>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</si>
  <si>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</si>
  <si>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</si>
  <si>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</si>
  <si>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</si>
  <si>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</si>
  <si>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</si>
  <si>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</si>
  <si>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</si>
  <si>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</si>
  <si>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</si>
  <si>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</si>
  <si>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</si>
  <si>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</si>
  <si>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</si>
  <si>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</si>
  <si>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</si>
  <si>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</si>
  <si>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</si>
  <si>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</si>
  <si>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</si>
  <si>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</si>
  <si>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</si>
  <si>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</si>
  <si>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</si>
  <si>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</si>
  <si>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</si>
  <si>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</si>
  <si>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</si>
  <si>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</si>
  <si>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</si>
  <si>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</si>
  <si>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</si>
  <si>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</si>
  <si>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</si>
  <si>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</si>
  <si>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</si>
  <si>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</si>
  <si>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</si>
  <si>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</si>
  <si>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</si>
  <si>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</si>
  <si>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</si>
  <si>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</si>
  <si>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</si>
  <si>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</si>
  <si>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</si>
  <si>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</si>
  <si>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</si>
  <si>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</si>
  <si>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</si>
  <si>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</si>
  <si>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</si>
  <si>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</si>
  <si>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</si>
  <si>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</si>
  <si>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</si>
  <si>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</si>
  <si>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</si>
  <si>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</si>
  <si>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</si>
  <si>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</si>
  <si>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</si>
  <si>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</si>
  <si>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</si>
  <si>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</si>
  <si>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</si>
  <si>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</si>
  <si>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</si>
  <si>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</si>
  <si>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</si>
  <si>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</si>
  <si>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</si>
  <si>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</si>
  <si>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</si>
  <si>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</si>
  <si>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</si>
  <si>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</si>
  <si>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</si>
  <si>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</si>
  <si>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</si>
  <si>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</si>
  <si>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</si>
  <si>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</si>
  <si>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</si>
  <si>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</si>
  <si>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</si>
  <si>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</si>
  <si>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</si>
  <si>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</si>
  <si>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</si>
  <si>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</si>
  <si>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</si>
  <si>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</si>
  <si>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</si>
  <si>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</si>
  <si>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</si>
  <si>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</si>
  <si>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</si>
  <si>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</si>
  <si>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</si>
  <si>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</si>
  <si>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</si>
  <si>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</si>
  <si>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</si>
  <si>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</si>
  <si>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</si>
  <si>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</si>
  <si>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</si>
  <si>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</si>
  <si>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</si>
  <si>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</si>
  <si>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</si>
  <si>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</si>
  <si>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</si>
  <si>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</si>
  <si>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</si>
  <si>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</si>
  <si>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</si>
  <si>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</si>
  <si>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</si>
  <si>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</si>
  <si>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</si>
  <si>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</si>
  <si>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</si>
  <si>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</si>
  <si>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</si>
  <si>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</si>
  <si>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</si>
  <si>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</si>
  <si>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</si>
  <si>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</si>
  <si>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</si>
  <si>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</si>
  <si>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</si>
  <si>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</si>
  <si>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</si>
  <si>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</si>
  <si>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</si>
  <si>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</si>
  <si>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</si>
  <si>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</si>
  <si>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</si>
  <si>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</si>
  <si>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</si>
  <si>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</si>
  <si>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</si>
  <si>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</si>
  <si>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</si>
  <si>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</si>
  <si>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</si>
  <si>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</si>
  <si>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</si>
  <si>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</si>
  <si>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</si>
  <si>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</si>
  <si>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</si>
  <si>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</si>
  <si>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</si>
  <si>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</si>
  <si>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</si>
  <si>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</si>
  <si>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</si>
  <si>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</si>
  <si>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</si>
  <si>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</si>
  <si>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</si>
  <si>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</si>
  <si>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</si>
  <si>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</si>
  <si>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</si>
  <si>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</si>
  <si>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</si>
  <si>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</si>
  <si>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</si>
  <si>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</si>
  <si>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</si>
  <si>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</si>
  <si>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</si>
  <si>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</si>
  <si>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</si>
  <si>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</si>
  <si>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</si>
  <si>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</si>
  <si>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</si>
  <si>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</si>
  <si>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</si>
  <si>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</si>
  <si>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</si>
  <si>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</si>
  <si>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</si>
  <si>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</si>
  <si>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</si>
  <si>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</si>
  <si>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</si>
  <si>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</si>
  <si>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</si>
  <si>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</si>
  <si>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</si>
  <si>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</si>
  <si>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</si>
  <si>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</si>
  <si>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</si>
  <si>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</si>
  <si>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</si>
  <si>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</si>
  <si>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</si>
  <si>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</si>
  <si>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</si>
  <si>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</si>
  <si>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</si>
  <si>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</si>
  <si>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</si>
  <si>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</si>
  <si>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</si>
  <si>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</si>
  <si>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</si>
  <si>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</si>
  <si>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</si>
  <si>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</si>
  <si>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</si>
  <si>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</si>
  <si>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</si>
  <si>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</si>
  <si>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</si>
  <si>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</si>
  <si>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</si>
  <si>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</si>
  <si>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</si>
  <si>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</si>
  <si>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</si>
  <si>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</si>
  <si>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</si>
  <si>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</si>
  <si>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</si>
  <si>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</si>
  <si>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</si>
  <si>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</si>
  <si>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</si>
  <si>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</si>
  <si>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</si>
  <si>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</si>
  <si>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</si>
  <si>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</si>
  <si>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</si>
  <si>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</si>
  <si>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</si>
  <si>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</si>
  <si>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</si>
  <si>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</si>
  <si>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</si>
  <si>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</si>
  <si>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</si>
  <si>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</si>
  <si>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</si>
  <si>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</si>
  <si>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</si>
  <si>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</si>
  <si>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</si>
  <si>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</si>
  <si>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</si>
  <si>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</si>
  <si>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</si>
  <si>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</si>
  <si>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</si>
  <si>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</si>
  <si>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</si>
  <si>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</si>
  <si>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</si>
  <si>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</si>
  <si>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</si>
  <si>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</si>
  <si>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</si>
  <si>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</si>
  <si>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</si>
  <si>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</si>
  <si>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</si>
  <si>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</si>
  <si>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</si>
  <si>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</si>
  <si>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</si>
  <si>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</si>
  <si>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</si>
  <si>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</si>
  <si>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</si>
  <si>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</si>
  <si>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</si>
  <si>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</si>
  <si>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</si>
  <si>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</si>
  <si>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</si>
  <si>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</si>
  <si>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</si>
  <si>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</si>
  <si>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</si>
  <si>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</si>
  <si>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</si>
  <si>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</si>
  <si>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</si>
  <si>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</si>
  <si>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</si>
  <si>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</si>
  <si>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</si>
  <si>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</si>
  <si>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</si>
  <si>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</si>
  <si>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</si>
  <si>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</si>
  <si>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</si>
  <si>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</si>
  <si>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</si>
  <si>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</si>
  <si>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</si>
  <si>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</si>
  <si>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</si>
  <si>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</si>
  <si>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</si>
  <si>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</si>
  <si>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</si>
  <si>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</si>
  <si>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</si>
  <si>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</si>
  <si>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</si>
  <si>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</si>
  <si>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</si>
  <si>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</si>
  <si>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</si>
  <si>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</si>
  <si>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</si>
  <si>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</si>
  <si>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</si>
  <si>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</si>
  <si>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</si>
  <si>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</si>
  <si>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</si>
  <si>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</si>
  <si>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</si>
  <si>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</si>
  <si>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</si>
  <si>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</si>
  <si>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</si>
  <si>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</si>
  <si>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</si>
  <si>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</si>
  <si>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</si>
  <si>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</si>
  <si>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</si>
  <si>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</si>
  <si>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</si>
  <si>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</si>
  <si>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</si>
  <si>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</si>
  <si>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</si>
  <si>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</si>
  <si>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</si>
  <si>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</si>
  <si>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</si>
  <si>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</si>
  <si>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</si>
  <si>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</si>
  <si>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</si>
  <si>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</si>
  <si>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</si>
  <si>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</si>
  <si>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</si>
  <si>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</si>
  <si>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</si>
  <si>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</si>
  <si>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</si>
  <si>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</si>
  <si>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</si>
  <si>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</si>
  <si>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</si>
  <si>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</si>
  <si>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</si>
  <si>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</si>
  <si>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</si>
  <si>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</si>
  <si>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</si>
  <si>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</si>
  <si>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</si>
  <si>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</si>
  <si>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</si>
  <si>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</si>
  <si>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</si>
  <si>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</si>
  <si>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</si>
  <si>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</si>
  <si>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</si>
  <si>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</si>
  <si>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</si>
  <si>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</si>
  <si>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</si>
  <si>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</si>
  <si>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</si>
  <si>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</si>
  <si>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</si>
  <si>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</si>
  <si>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</si>
  <si>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</si>
  <si>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</si>
  <si>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</si>
  <si>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</si>
  <si>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</si>
  <si>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</si>
  <si>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</si>
  <si>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</si>
  <si>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</si>
  <si>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</si>
  <si>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</si>
  <si>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</si>
  <si>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</si>
  <si>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</si>
  <si>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</si>
  <si>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</si>
  <si>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</si>
  <si>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</si>
  <si>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</si>
  <si>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</si>
  <si>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</si>
  <si>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</si>
  <si>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</si>
  <si>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</si>
  <si>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</si>
  <si>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</si>
  <si>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</si>
  <si>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</si>
  <si>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</si>
  <si>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</si>
  <si>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</si>
  <si>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</si>
  <si>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</si>
  <si>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</si>
  <si>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</si>
  <si>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</si>
  <si>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</si>
  <si>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</si>
  <si>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</si>
  <si>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</si>
  <si>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</si>
  <si>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</si>
  <si>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</si>
  <si>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</si>
  <si>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</si>
  <si>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</si>
  <si>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</si>
  <si>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</si>
  <si>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</si>
  <si>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</si>
  <si>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</si>
  <si>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</si>
  <si>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</si>
  <si>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</si>
  <si>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</si>
  <si>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</si>
  <si>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</si>
  <si>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</si>
  <si>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</si>
  <si>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</si>
  <si>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</si>
  <si>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</si>
  <si>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</si>
  <si>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</si>
  <si>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</si>
  <si>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</si>
  <si>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</si>
  <si>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</si>
  <si>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</si>
  <si>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</si>
  <si>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</si>
  <si>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</si>
  <si>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</si>
  <si>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</si>
  <si>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</si>
  <si>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</si>
  <si>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</si>
  <si>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</si>
  <si>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</si>
  <si>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</si>
  <si>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</si>
  <si>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</si>
  <si>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</si>
  <si>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</si>
  <si>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</si>
  <si>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</si>
  <si>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</si>
  <si>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</si>
  <si>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</si>
  <si>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</si>
  <si>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</si>
  <si>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</si>
  <si>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</si>
  <si>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</si>
  <si>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</si>
  <si>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</si>
  <si>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</si>
  <si>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</si>
  <si>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</si>
  <si>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</si>
  <si>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</si>
  <si>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</si>
  <si>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</si>
  <si>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</si>
  <si>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</si>
  <si>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</si>
  <si>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</si>
  <si>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</si>
  <si>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</si>
  <si>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</si>
  <si>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</si>
  <si>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</si>
  <si>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</si>
  <si>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</si>
  <si>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</si>
  <si>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</si>
  <si>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</si>
  <si>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</si>
  <si>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</si>
  <si>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</si>
  <si>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</si>
  <si>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</si>
  <si>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</si>
  <si>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</si>
  <si>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</si>
  <si>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</si>
  <si>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</si>
  <si>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</si>
  <si>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</si>
  <si>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</si>
  <si>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</si>
  <si>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</si>
  <si>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</si>
  <si>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</si>
  <si>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</si>
  <si>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</si>
  <si>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</si>
  <si>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</si>
  <si>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</si>
  <si>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</si>
  <si>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</si>
  <si>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</si>
  <si>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</si>
  <si>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</si>
  <si>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</si>
  <si>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</si>
  <si>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</si>
  <si>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</si>
  <si>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</si>
  <si>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</si>
  <si>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</si>
  <si>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</si>
  <si>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</si>
  <si>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</si>
  <si>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</si>
  <si>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</si>
  <si>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</si>
  <si>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</si>
  <si>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</si>
  <si>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</si>
  <si>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</si>
  <si>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</si>
  <si>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</si>
  <si>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</si>
  <si>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</si>
  <si>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</si>
  <si>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</si>
  <si>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</si>
  <si>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</si>
  <si>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</si>
  <si>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</si>
  <si>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</si>
  <si>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</si>
  <si>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</si>
  <si>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</si>
  <si>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</si>
  <si>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</si>
  <si>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</si>
  <si>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</si>
  <si>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</si>
  <si>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</si>
  <si>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</si>
  <si>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</si>
  <si>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</si>
  <si>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</si>
  <si>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</si>
  <si>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</si>
  <si>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</si>
  <si>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</si>
  <si>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</si>
  <si>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</si>
  <si>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</si>
  <si>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</si>
  <si>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</si>
  <si>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</si>
  <si>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</si>
  <si>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</si>
  <si>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</si>
  <si>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</si>
  <si>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</si>
  <si>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</si>
  <si>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</si>
  <si>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</si>
  <si>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</si>
  <si>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</si>
  <si>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</si>
  <si>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</si>
  <si>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</si>
  <si>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</si>
  <si>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</si>
  <si>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</si>
  <si>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</si>
  <si>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</si>
  <si>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</si>
  <si>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</si>
  <si>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</si>
  <si>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</si>
  <si>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</si>
  <si>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</si>
  <si>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</si>
  <si>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</si>
  <si>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</si>
  <si>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</si>
  <si>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</si>
  <si>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</si>
  <si>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</si>
  <si>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</si>
  <si>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</si>
  <si>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</si>
  <si>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</si>
  <si>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</si>
  <si>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</si>
  <si>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</si>
  <si>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</si>
  <si>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</si>
  <si>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</si>
  <si>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</si>
  <si>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</si>
  <si>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</si>
  <si>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</si>
  <si>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</si>
  <si>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</si>
  <si>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</si>
  <si>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</si>
  <si>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</si>
  <si>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</si>
  <si>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</si>
  <si>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</si>
  <si>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</si>
  <si>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</si>
  <si>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</si>
  <si>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</si>
  <si>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</si>
  <si>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</si>
  <si>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</si>
  <si>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</si>
  <si>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</si>
  <si>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</si>
  <si>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</si>
  <si>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</si>
  <si>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</si>
  <si>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</si>
  <si>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</si>
  <si>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</si>
  <si>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</si>
  <si>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</si>
  <si>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</si>
  <si>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</si>
  <si>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</si>
  <si>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</si>
  <si>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</si>
  <si>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</si>
  <si>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</si>
  <si>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</si>
  <si>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</si>
  <si>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</si>
  <si>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</si>
  <si>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</si>
  <si>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</si>
  <si>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</si>
  <si>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</si>
  <si>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</si>
  <si>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</si>
  <si>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</si>
  <si>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</si>
  <si>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</si>
  <si>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</si>
  <si>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</si>
  <si>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</si>
  <si>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</si>
  <si>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</si>
  <si>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</si>
  <si>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</si>
  <si>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</si>
  <si>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</si>
  <si>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</si>
  <si>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</si>
  <si>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</si>
  <si>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</si>
  <si>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</si>
  <si>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</si>
  <si>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</si>
  <si>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</si>
  <si>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</si>
  <si>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</si>
  <si>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</si>
  <si>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</si>
  <si>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</si>
  <si>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</si>
  <si>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</si>
  <si>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</si>
  <si>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</si>
  <si>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</si>
  <si>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</si>
  <si>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</si>
  <si>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</si>
  <si>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</si>
  <si>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</si>
  <si>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</si>
  <si>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</si>
  <si>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</si>
  <si>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</si>
  <si>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</si>
  <si>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</si>
  <si>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</si>
  <si>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</si>
  <si>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</si>
  <si>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</si>
  <si>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</si>
  <si>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</si>
  <si>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</si>
  <si>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</si>
  <si>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</si>
  <si>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</si>
  <si>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</si>
  <si>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</si>
  <si>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</si>
  <si>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</si>
  <si>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</si>
  <si>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</si>
  <si>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</si>
  <si>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</si>
  <si>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</si>
  <si>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</si>
  <si>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</si>
  <si>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</si>
  <si>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</si>
  <si>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</si>
  <si>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</si>
  <si>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</si>
  <si>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 AGGIORNAMENTO 06/08/2026: nel run critical post-deploy (commit 24464bf) il test è fallito di nuovo con un diverso strict-mode violation (il locator div+hasText+first() ora intercetta anche il &lt;select&gt; di BatchBetaControls, aggiunto da Addendum Sezione B sopra la card del flag). Root cause: assunzione di struttura DOM non più valida (bug del test, non della pagina Admin). Fix: aggiunto data-testid="flag-card-TRAMA_ONE_ENABLED" alla card in FeatureFlagsAdminClient.tsx e il test ora usa page.getByTestId(...) invece del locator fragile. Non rieseguibile in questo sandbox (richiede browser + deploy reale) — verificabile da Fabrizio al prossimo giro di test-deploy.sh.</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</si>
  <si>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</si>
  <si>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</si>
  <si>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</si>
  <si>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</si>
  <si>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</si>
  <si>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</si>
  <si>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</si>
  <si>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</si>
  <si>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</si>
  <si>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</si>
  <si>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</si>
  <si>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</si>
  <si>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</si>
  <si>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</si>
  <si>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</si>
  <si>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</si>
  <si>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</si>
  <si>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</si>
  <si>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</si>
  <si>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</si>
  <si>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</si>
  <si>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</si>
  <si>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</si>
  <si>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</si>
  <si>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</si>
  <si>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</si>
  <si>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</si>
  <si>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</si>
  <si>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</si>
  <si>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</si>
  <si>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</si>
  <si>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</si>
  <si>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</si>
  <si>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</si>
  <si>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</si>
  <si>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</si>
  <si>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</si>
  <si>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</si>
  <si>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</si>
  <si>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</si>
  <si>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</si>
  <si>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</si>
  <si>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</si>
  <si>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</si>
  <si>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</si>
  <si>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</si>
  <si>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</si>
  <si>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</si>
  <si>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</si>
  <si>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</si>
  <si>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</si>
  <si>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</si>
  <si>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</si>
  <si>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</si>
  <si>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</si>
  <si>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</si>
  <si>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</si>
  <si>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</si>
  <si>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</si>
  <si>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</si>
  <si>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</si>
  <si>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</si>
  <si>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</si>
  <si>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</si>
  <si>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</si>
  <si>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</si>
  <si>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</si>
  <si>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</si>
  <si>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</si>
  <si>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</si>
  <si>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</si>
  <si>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</si>
  <si>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</si>
  <si>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</si>
  <si>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</si>
  <si>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</si>
  <si>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</si>
  <si>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</si>
  <si>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</si>
  <si>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</si>
  <si>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</si>
  <si>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</si>
  <si>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</si>
  <si>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</si>
  <si>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</si>
  <si>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</si>
  <si>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</si>
  <si>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</si>
  <si>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</si>
  <si>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</si>
  <si>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</si>
  <si>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</si>
  <si>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</si>
  <si>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</si>
  <si>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</si>
  <si>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</si>
  <si>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</si>
  <si>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</si>
  <si>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</si>
  <si>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</si>
  <si>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</si>
  <si>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</si>
  <si>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</si>
  <si>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</si>
  <si>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</si>
  <si>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</si>
  <si>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</si>
  <si>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TC-N625</t>
  </si>
  <si>
    <t xml:space="preserve">TRAMA ONE - Segnalazioni BETA (estensione Partner)</t>
  </si>
  <si>
    <t xml:space="preserve">Il pulsante flottante 'Segnala un problema' (gia' presente lato genitore) e' raggiungibile anche dal portale Partner (/center/*), con area calcolata sulle rotte del menu Partner</t>
  </si>
  <si>
    <t xml:space="preserve">Login come gestore (center_admin), qualunque pagina sotto /center/*</t>
  </si>
  <si>
    <t xml:space="preserve">Apri una pagina qualunque del portale Partner (es. /center/activities) -&gt; individua il pulsante flottante viola in basso a destra (icona segnalazione) -&gt; clicca -&gt; compila un messaggio -&gt; invia</t>
  </si>
  <si>
    <t xml:space="preserve">Si apre il dialog 'Segnala un problema' con l'area corretta indicata (es. 'Attivita''), l'invio va a buon fine, il dialog mostra una conferma interna ('Segnalazione inviata, grazie!') e si chiude da solo; la riga compare in Admin &gt; Segnalazioni BETA con etichetta 'App gestori'</t>
  </si>
  <si>
    <t xml:space="preserve">Estensione richiesta da Fabrizio ('il pulsante per le segnalazioni... nel portale partner?'): app_source='gestore' gia' supportato da schema/RLS/Admin, nessuna migrazione necessaria (DEC-75). Copertura automatica solo per la funzione pura area-&gt;label (centerAreaLabelFromPath, tests/gestore/beta-feedback-center.spec.ts); l'interazione reale col pulsante (drag, apertura dialog, invio) richiede un browser reale, non eseguibile in questo sandbox.</t>
  </si>
  <si>
    <t xml:space="preserve">TC-511</t>
  </si>
  <si>
    <t xml:space="preserve">Login/Sicurezza - Visualizzazione password</t>
  </si>
  <si>
    <t xml:space="preserve">L'icona occhio nel campo password (login, cambio password Profilo/Account, reset password) alterna testo in chiaro/nascosto (Fabrizio: 'aggiungiamo l'opzione di visualizzare la password in tutti i punti in cui e richiesta?')</t>
  </si>
  <si>
    <t xml:space="preserve">Pagina /auth/login (tab Accedi o Registrati), oppure Profilo/Account &gt; Sicurezza, oppure link di reset password</t>
  </si>
  <si>
    <t xml:space="preserve">Scrivi una password nel campo -&gt; clicca l'icona a forma di occhio a destra del campo -&gt; osserva il testo -&gt; clicca di nuovo</t>
  </si>
  <si>
    <t xml:space="preserve">Il testo diventa visibile in chiaro al primo click (icona 'occhio barrato', aria-label 'Nascondi password'), torna nascosto (pallini) al secondo click (icona 'occhio', aria-label 'Mostra password'); il valore digitato non cambia</t>
  </si>
  <si>
    <t xml:space="preserve">Stesso toggle replicato in 3 punti indipendenti (LoginForm.tsx, ProfileSecuritySection.tsx, auth/reset-password/page.tsx) - nessun componente condiviso creato per non introdurre un'astrazione prematura su 3 stili di input leggermente diversi</t>
  </si>
  <si>
    <t xml:space="preserve">TC-512</t>
  </si>
  <si>
    <t xml:space="preserve">Candidati come centro (Partner) - Migrazione 21</t>
  </si>
  <si>
    <t xml:space="preserve">Il form pubblico /auth/candidati invia una candidatura e reindirizza alla pagina di conferma</t>
  </si>
  <si>
    <t xml:space="preserve">Nessun account/login richiesto</t>
  </si>
  <si>
    <t xml:space="preserve">Vai su /auth/candidati -&gt; compila Nome del centro, Città/zona, Email di contatto -&gt; clicca 'Invia candidatura'</t>
  </si>
  <si>
    <t xml:space="preserve">Redirect a /auth/candidati/conferma/[id]; la pagina mostra il nome del centro appena inserito e lo stato 'In revisione'; nessun account viene creato (verificabile: nessuna nuova riga in auth.users)</t>
  </si>
  <si>
    <t xml:space="preserve">Fabrizio: 'il registrati deve essere un candidati per cui deve far partire processo di onboarding'. Scrive una riga in center_leads con lead_type='self_candidacy' e suggested_by=null (service client, lib/supabase/service.ts), mai un account. Vedi supabase/migration_21_center_candidacy.sql. Test: tests/gestore/candidati.spec.ts TC-512, non eseguito in questo sandbox (Chromium senza dipendenze di sistema), richiede anche il deploy col service role key configurato.</t>
  </si>
  <si>
    <t xml:space="preserve">TC-513</t>
  </si>
  <si>
    <t xml:space="preserve">Un link di conferma con id inesistente/non valido mostra 'candidatura non trovata' invece di un errore</t>
  </si>
  <si>
    <t xml:space="preserve">Vai su /auth/candidati/conferma/00000000-0000-0000-0000-000000000000 (UUID inesistente)</t>
  </si>
  <si>
    <t xml:space="preserve">Pagina 'Candidatura non trovata' con spiegazione e link 'Candidati come centro' per inviarne una nuova</t>
  </si>
  <si>
    <t xml:space="preserve">getCandidacyStatusPublic (lib/data/center-leads.ts) restituisce null per id inesistente o non di tipo self_candidacy: la pagina non fa mai trapelare un errore tecnico. Test: tests/gestore/candidati.spec.ts TC-513, non eseguito in questo sandbox (stessa limitazione Chromium).</t>
  </si>
  <si>
    <t xml:space="preserve">TC-514</t>
  </si>
  <si>
    <t xml:space="preserve">Il form Candidati richiede nome del centro ed email prima di poter essere inviato</t>
  </si>
  <si>
    <t xml:space="preserve">Vai su /auth/candidati -&gt; clicca subito 'Invia candidatura' senza compilare nulla</t>
  </si>
  <si>
    <t xml:space="preserve">Validazione nativa del browser blocca l'invio (campi 'required'); si resta sulla stessa pagina, nessuna richiesta al server</t>
  </si>
  <si>
    <t xml:space="preserve">Validazione minima lato client (attributi required/type=email), nessuna logica applicativa aggiuntiva. Test: tests/gestore/candidati.spec.ts TC-514, non eseguito in questo sandbox (stessa limitazione Chromium).</t>
  </si>
  <si>
    <t xml:space="preserve">NEXTGEN - Onboarding neo-genitore (parita' con LEGACY)</t>
  </si>
  <si>
    <t xml:space="preserve">La Home NEXTGEN mostra il prompt 'Completa il tuo profilo' con la stessa condizione di LEGACY (profilo incompleto o zero bambini in anagrafica)</t>
  </si>
  <si>
    <t xml:space="preserve">Login genitore di test (stato profilo/bambini non fissato a priori)</t>
  </si>
  <si>
    <t xml:space="preserve">Login genitore -&gt; vai su / (LEGACY), osserva se compare 'Completa il tuo profilo' -&gt; vai su /nextgen, osserva la stessa condizione</t>
  </si>
  <si>
    <t xml:space="preserve">La visibilita' del prompt su NEXTGEN e' identica a quella su LEGACY per lo stesso utente (stesso dato sorgente: isParentProfileIncomplete + getKidsForUser)</t>
  </si>
  <si>
    <t xml:space="preserve">Gap segnalato da Fabrizio (05/08, screenshot Legacy vs NextGen): la Home NEXTGEN non aveva mai un equivalente di components/HomeProfilePrompt.tsx -- un neo-genitore vedeva 'Organizzata al 0%' senza alcuna spinta a completare profilo/aggiungere bambini. Creato components/nextgen/NextgenProfileCompletionPrompt.tsx (stessa logica dati, stile riallineato al resto della Home NEXTGEN: Poppins/trama-violet invece dei token Legacy pre-rebrand), montato in app/nextgen/HomeDashboardClient.tsx subito dopo l'header, prima della Hero Card. Test: tests/nextgen/onboarding-parity.spec.ts, non eseguito in questo sandbox (Chromium senza dipendenze di sistema).</t>
  </si>
  <si>
    <t xml:space="preserve">I link del prompt NEXTGEN puntano a /nextgen/profile (non /profile) e la pagina gestisce gli stessi query param del Legacy</t>
  </si>
  <si>
    <t xml:space="preserve">Login genitore di test con profilo incompleto e/o zero bambini (altrimenti il prompt non compare, vedi TC-N610)</t>
  </si>
  <si>
    <t xml:space="preserve">Vai su /nextgen -&gt; se il prompt e' visibile, clicca 'Nome, cognome e ruolo' oppure 'Aggiungi i tuoi bambini'</t>
  </si>
  <si>
    <t xml:space="preserve">Il link 'Nome, cognome e ruolo' porta a /nextgen/profile?complete=1 e apre l'editor nome/ruolo; il link 'Aggiungi i tuoi bambini' porta a /nextgen/profile?addKid=1 e apre il form aggiungi bambino -- stessi query param gia' supportati da app/nextgen/profile/page.tsx (nessuna nuova pagina creata)</t>
  </si>
  <si>
    <t xml:space="preserve">Riuso deliberato: app/nextgen/profile/page.tsx supportava gia' ?complete=1/?addKid=1 (passati a ProfileNextgenClient) da quando esiste il Profilo NEXTGEN (Sprint 6) -- nessuna modifica a quella pagina, solo i due nuovi link nel prompt. Test: tests/nextgen/onboarding-parity.spec.ts, non eseguito in questo sandbox (stessa limitazione Chromium).</t>
  </si>
  <si>
    <t xml:space="preserve">TRAMA ONE - Feature Control Center (Addendum Sezione B)</t>
  </si>
  <si>
    <t xml:space="preserve">getBetaEnabledFlagNames() dedup risolve correttamente ai flag BETA_ENABLED</t>
  </si>
  <si>
    <t xml:space="preserve">Nessuna (funzione pura sul catalogo statico)</t>
  </si>
  <si>
    <t xml:space="preserve">Chiamare getBetaEnabledFlagNames() da lib/feature-registry/catalog.ts</t>
  </si>
  <si>
    <t xml:space="preserve">Ritorna ['TRAMA_ONE_ENABLED'] (unico flag che governa oggi voci BETA_ENABLED), nessun duplicato</t>
  </si>
  <si>
    <t xml:space="preserve">Test puro, nessun browser (tests/one/feature-control-center.spec.ts). Eseguito con successo in questo sandbox (chromium + mobile-chrome, entrambi passed).</t>
  </si>
  <si>
    <t xml:space="preserve">Ogni voce del catalogo ha uno status tra i 9 valori tipizzati della nuova tassonomia</t>
  </si>
  <si>
    <t xml:space="preserve">Confrontare FEATURE_CATALOG[*].status con le chiavi di groupCatalogByStatus()</t>
  </si>
  <si>
    <t xml:space="preserve">Nessuna voce ha uno status fuori dai 9 valori (LIVE/BETA_ENABLED/READY_OFF/MOCK_DEMO/INCOMPLETE/BLOCKED/EXPIRED/POST_BETA/DEPRECATED)</t>
  </si>
  <si>
    <t xml:space="preserve">Verifica il remapping completo da 5 a 9 stati (v. FEATURE_CONTROL_CENTER_SPEC.md). Eseguito con successo in questo sandbox.</t>
  </si>
  <si>
    <t xml:space="preserve">Le voci MOCK_DEMO con demoBannerRequired=true hanno sempre riskLevel='high'</t>
  </si>
  <si>
    <t xml:space="preserve">Filtrare FEATURE_CATALOG per demoBannerRequired, verificare status e riskLevel di ciascuna</t>
  </si>
  <si>
    <t xml:space="preserve">Ogni voce con demoBannerRequired=true ha status MOCK_DEMO e riskLevel high (oggi: solo activities_mock_fallback)</t>
  </si>
  <si>
    <t xml:space="preserve">Coerenza interna del catalogo tra i due nuovi campi metadata. Eseguito con successo in questo sandbox.</t>
  </si>
  <si>
    <t xml:space="preserve">I controlli batch Beta sono visibili in /admin/feature-flags e lo scope globale richiede conferma testuale rinforzata</t>
  </si>
  <si>
    <t xml:space="preserve">Login platform_admin; flag TRAMA_ONE_ENABLED con override attivo (Controlled Beta Cohort)</t>
  </si>
  <si>
    <t xml:space="preserve">Login platform_admin -&gt; /admin/feature-flags -&gt; osservare la sezione 'Azioni batch' -&gt; cliccare 'Attiva tutte le funzionalità Beta pronte' senza scrivere GLOBAL nel campo di conferma</t>
  </si>
  <si>
    <t xml:space="preserve">La sezione mostra i due bottoni (attiva/disattiva) e, con scope 'global' selezionato, un campo 'Scrivi GLOBAL per confermare'; il click senza aver scritto GLOBAL mostra un errore e NON esegue l'azione</t>
  </si>
  <si>
    <t xml:space="preserve">Requisito esplicito Addendum Sezione B: conferma rinforzata per lo scope che impatta tutti gli utenti. Non eseguito in questo sandbox (Chromium senza dipendenze di sistema), verificabile da Fabrizio col prossimo deploy.sh/test-deploy.sh.</t>
  </si>
  <si>
    <t xml:space="preserve">TC-N626</t>
  </si>
  <si>
    <t xml:space="preserve">Gestore - Calendario disponibilita (OD-02 bulk)</t>
  </si>
  <si>
    <t xml:space="preserve">applyBulkPatch imposta la Giornata particolare su tutti e soli i giorni selezionati</t>
  </si>
  <si>
    <t xml:space="preserve">Nessuna (funzione pura, lib/availability-bulk.ts)</t>
  </si>
  <si>
    <t xml:space="preserve">Selezionare 2 giorni su 3, azione 'set' con emoji/etichetta, chiamare applyBulkPatch</t>
  </si>
  <si>
    <t xml:space="preserve">I 2 giorni selezionati hanno la nuova Giornata particolare; il terzo giorno (non selezionato) resta invariato</t>
  </si>
  <si>
    <t xml:space="preserve">OD-02</t>
  </si>
  <si>
    <t xml:space="preserve">Test A richiesto da Fabrizio (REVISIONE DECISIONE OD-02: FIX PRIMA DELLA BETA, 06/08). Test puro, nessun browser (tests/gestore/calendario-bulk.spec.ts). Eseguito con successo in questo sandbox (chromium + mobile-chrome).</t>
  </si>
  <si>
    <t xml:space="preserve">TC-N627</t>
  </si>
  <si>
    <t xml:space="preserve">applyBulkPatch con azione 'remove' toglie la Giornata particolare solo dai giorni selezionati</t>
  </si>
  <si>
    <t xml:space="preserve">Nessuna (funzione pura)</t>
  </si>
  <si>
    <t xml:space="preserve">2 giorni con Giornata particolare preesistente + 1 diverso non selezionato, azione 'remove' sui primi 2</t>
  </si>
  <si>
    <t xml:space="preserve">I 2 giorni selezionati perdono emoji/etichetta; il terzo giorno mantiene il proprio valore preesistente</t>
  </si>
  <si>
    <t xml:space="preserve">Test C richiesto da Fabrizio. Test puro. Eseguito con successo in questo sandbox.</t>
  </si>
  <si>
    <t xml:space="preserve">TC-N628</t>
  </si>
  <si>
    <t xml:space="preserve">Impostare la Giornata particolare (senza includere gli altri campi) non modifica apertura/capacita/sconto/last-minute</t>
  </si>
  <si>
    <t xml:space="preserve">2 giorni con valori eterogenei di isOpen/capacity/discountPercent/lastMinute, applica solo specialDayAction='set' (gli altri toggle include restano false)</t>
  </si>
  <si>
    <t xml:space="preserve">isOpen/capacity/spotsLeft/discountPercent/lastMinute restano identici ai valori di partenza su entrambi i giorni; solo la Giornata particolare cambia</t>
  </si>
  <si>
    <t xml:space="preserve">Test D richiesto esplicitamente da Fabrizio (root cause del bug originale: il bulk draft sovrascriveva sempre questi 4 campi). Test puro. Eseguito con successo in questo sandbox.</t>
  </si>
  <si>
    <t xml:space="preserve">TC-N629</t>
  </si>
  <si>
    <t xml:space="preserve">summarizeSpecialDay segnala uno stato 'misto' quando i giorni selezionati hanno valori diversi, poi uniformita' dopo l'applicazione</t>
  </si>
  <si>
    <t xml:space="preserve">3 giorni selezionati con emoji/etichetta diverse tra loro -&gt; summarizeSpecialDay -&gt; applyBulkPatch 'set' -&gt; summarizeSpecialDay di nuovo</t>
  </si>
  <si>
    <t xml:space="preserve">Prima: mixed=true. Dopo l'applicazione: mixed=false con l'emoji/etichetta appena impostata su tutti</t>
  </si>
  <si>
    <t xml:space="preserve">Test E richiesto da Fabrizio (stato mixed/indeterminato). Include anche le varianti 'valore gia' uniforme' e 'nessuna selezione'. Test puro. Eseguito con successo in questo sandbox.</t>
  </si>
  <si>
    <t xml:space="preserve">TC-N630</t>
  </si>
  <si>
    <t xml:space="preserve">applyBulkPatch non modifica alcun campo dei giorni non selezionati</t>
  </si>
  <si>
    <t xml:space="preserve">1 giorno selezionato + 1 giorno non selezionato con tutti i campi valorizzati, draft con tutti i campi inclusi + azione 'remove'</t>
  </si>
  <si>
    <t xml:space="preserve">Il giorno non selezionato risulta esattamente identico (deep equal) a prima della chiamata</t>
  </si>
  <si>
    <t xml:space="preserve">Test F richiesto da Fabrizio. Test puro. Eseguito con successo in questo sandbox.</t>
  </si>
  <si>
    <t xml:space="preserve">TC-N631</t>
  </si>
  <si>
    <t xml:space="preserve">bulkDraftHasChanges e' false per il draft di default e true non appena un campo viene incluso</t>
  </si>
  <si>
    <t xml:space="preserve">Verificare bulkDraftHasChanges su defaultBulkDraft(), poi con un include=true, poi con specialDayAction='remove'</t>
  </si>
  <si>
    <t xml:space="preserve">false sul draft vuoto, true in entrambi gli altri due casi (usato per disabilitare il bottone Applica quando non c'e' nulla da salvare)</t>
  </si>
  <si>
    <t xml:space="preserve">Copre il requisito 'nessun campo applicato per default'. Test puro. Eseguito con successo in questo sandbox.</t>
  </si>
  <si>
    <t xml:space="preserve">TC-N632</t>
  </si>
  <si>
    <t xml:space="preserve">'Campo non modificato' di default: applicare il draft di default non cambia alcun valore, nemmeno sui giorni selezionati</t>
  </si>
  <si>
    <t xml:space="preserve">1 giorno con tutti i campi valorizzati (incluso Giornata particolare), selezionato, applyBulkPatch(defaultBulkDraft())</t>
  </si>
  <si>
    <t xml:space="preserve">Il giorno risultante e' identico (deep equal) a quello di partenza</t>
  </si>
  <si>
    <t xml:space="preserve">Verifica la semantica 'non modificato' richiesta esplicitamente da Fabrizio (nessun valore vuoto ambiguo). Test puro. Eseguito con successo in questo sandbox.</t>
  </si>
  <si>
    <t xml:space="preserve">TC-N633</t>
  </si>
  <si>
    <t xml:space="preserve">applyBulkPatch non produce righe duplicate ne' perde giorni</t>
  </si>
  <si>
    <t xml:space="preserve">3 giorni in ingresso, 2 selezionati, applyBulkPatch</t>
  </si>
  <si>
    <t xml:space="preserve">L'array in uscita ha sempre 3 elementi, stesso insieme e ordine di date dell'ingresso</t>
  </si>
  <si>
    <t xml:space="preserve">Test puro. Eseguito con successo in questo sandbox.</t>
  </si>
  <si>
    <t xml:space="preserve">TC-N634</t>
  </si>
  <si>
    <t xml:space="preserve">Il Partner puo' applicare la Giornata particolare a piu' giorni via bulk, salvarla, e ritrovarla dopo refresh e sul giorno singolo</t>
  </si>
  <si>
    <t xml:space="preserve">Login Gestore di test collegato a un centro con attivita' seminata (supabase/seed-test-data.sql)</t>
  </si>
  <si>
    <t xml:space="preserve">Login gestore -&gt; Calendario disponibilita' -&gt; Seleziona piu' giorni -&gt; seleziona una settimana -&gt; Giornata particolare: Imposta + emoji + etichetta -&gt; Applica -&gt; Salva calendario -&gt; ricarica pagina</t>
  </si>
  <si>
    <t xml:space="preserve">Il badge/emoji della Giornata particolare compare su tutti i giorni della settimana selezionata, persiste dopo il refresh (letto da Supabase, non solo stato locale)</t>
  </si>
  <si>
    <t xml:space="preserve">Test B richiesto da Fabrizio (persistenza). VERIFICATO DAL VIVO da Fabrizio il 06/08/2026 dopo deploy commit 24464bf: PASS (persistenza confermata dopo refresh e sul giorno singolo).</t>
  </si>
  <si>
    <t xml:space="preserve">TC-N635</t>
  </si>
  <si>
    <t xml:space="preserve">Il pannello a giorno singolo continua a impostare/rimuovere la Giornata particolare senza modalita' bulk attiva (regressione)</t>
  </si>
  <si>
    <t xml:space="preserve">Login Gestore di test collegato a un centro con attivita' seminata</t>
  </si>
  <si>
    <t xml:space="preserve">Login gestore -&gt; Calendario disponibilita' (modalita' bulk NON attivata) -&gt; click su un giorno -&gt; imposta emoji+etichetta -&gt; Salva -&gt; poi rimuovi (bottone '-') -&gt; Salva</t>
  </si>
  <si>
    <t xml:space="preserve">Il pannello 'Modifica &lt;data&gt;' si apre come prima del fix; impostare e rimuovere la Giornata particolare dal giorno singolo funziona esattamente come prima</t>
  </si>
  <si>
    <t xml:space="preserve">Test G richiesto da Fabrizio (nessuna regressione sul giorno singolo). VERIFICATO DAL VIVO da Fabrizio il 06/08/2026 dopo deploy commit 24464bf: PASS.</t>
  </si>
  <si>
    <t xml:space="preserve">TC-N636</t>
  </si>
  <si>
    <t xml:space="preserve">Il pannello bulk della Giornata particolare e' utilizzabile su viewport mobile 390x844</t>
  </si>
  <si>
    <t xml:space="preserve">Viewport 390x844 -&gt; Login gestore -&gt; Calendario disponibilita' -&gt; Seleziona piu' giorni -&gt; seleziona un giorno -&gt; verificare che il bottone 'Imposta' sia visibile e che la pagina non abbia overflow orizzontale</t>
  </si>
  <si>
    <t xml:space="preserve">Il controllo e' visibile e raggiungibile, nessun overflow orizzontale (scrollWidth documento &lt;= 400px)</t>
  </si>
  <si>
    <t xml:space="preserve">Test H richiesto da Fabrizio (mobile). VERIFICATO DAL VIVO da Fabrizio il 06/08/2026 dopo deploy commit 24464bf: PASS (pannello bulk Calendario ok su mobile; durante questo test è emerso un bug distinto e non correlato nel menu 'Scatta foto' della pagina Profilo, registrato come TC-N638 e fixato separatamente in questo stesso passaggio).</t>
  </si>
  <si>
    <t xml:space="preserve">TC-N637</t>
  </si>
  <si>
    <t xml:space="preserve">Admin - Onboarding centri (TRAMA ONE)</t>
  </si>
  <si>
    <t xml:space="preserve">L'Admin vede e puo' agire su una verifica identita' 'pending' anche se il centro non e' ancora in stato SUBMITTED</t>
  </si>
  <si>
    <t xml:space="preserve">Un centro con una richiesta di verifica identita' sottomessa dal Partner (nota/documento) mentre il centro e' ancora CLAIMED/CHANGES_REQUESTED (non SUBMITTED)</t>
  </si>
  <si>
    <t xml:space="preserve">Partner: onboarding -&gt; scheda 'Verifica identita'' -&gt; scrive nota + allega documento (senza premere 'Invia per verifica' sull'intero onboarding) -&gt; Admin: /admin/one/onboarding</t>
  </si>
  <si>
    <t xml:space="preserve">Il centro compare in 'Altri stati' con la riga 'Identita: pending', la nota, il link 'Vedi documento' e i bottoni 'Verifica identita''/'Rifiuta identita'' — non piu' invisibile come prima del fix</t>
  </si>
  <si>
    <t xml:space="preserve">RISOLTA</t>
  </si>
  <si>
    <t xml:space="preserve">Bug reale scoperto da Fabrizio il 06/08/2026 (screenshot: centro 'Centro estivo prova candidatura', identita' 'Sono io' sottomessa, centro CLAIMED, invisibile in Admin sia in 'In revisione' che in 'Altri stati'). Root cause: submitIdentityVerificationAction (app/actions/onboarding.ts) e' indipendente dallo stato onboarding generale; il blocco identita' in AdminOnboardingReviewClient.tsx era renderizzato solo nel loop 'In revisione' (status===SUBMITTED). Fix: blocco identita'/documento/bottoni aggiunto anche al loop 'Altri stati', condizionato su identity.status, senza toccare la state machine onboarding generale. Verificato: tsc/eslint puliti, nessun test E2E dedicato in questo sandbox (richiede un centro di test in stato CLAIMED con identita' pending — non presente nei fixture attuali), verificabile da Fabrizio al prossimo deploy con lo stesso centro dello screenshot.</t>
  </si>
  <si>
    <t xml:space="preserve">TC-N638</t>
  </si>
  <si>
    <t xml:space="preserve">Genitore - Profilo (foto)</t>
  </si>
  <si>
    <t xml:space="preserve">Il menu 'Scatta foto'/'Galleria' non e' coperto dal bottone globale 'Torna a V1' su mobile</t>
  </si>
  <si>
    <t xml:space="preserve">Login Genitore, viewport mobile (~390px)</t>
  </si>
  <si>
    <t xml:space="preserve">Profilo -&gt; tap sull'icona fotocamera sull'avatar per aprire il menu 'Scatta foto'/'Scegli dalla galleria'</t>
  </si>
  <si>
    <t xml:space="preserve">Il menu si apre completamente visibile sotto l'avatar, sopra qualunque altro elemento fisso della pagina (incluso il bottone 'Torna a V1'/'Passa a NextGen')</t>
  </si>
  <si>
    <t xml:space="preserve">Bug reale segnalato da Fabrizio con screenshot il 06/08/2026 (scoperto durante il test mobile di OD-02, non correlato). Root cause: components/AvatarUploadButton.tsx e components/VersionToggle.tsx usavano entrambi z-50; VersionToggle (position:fixed, montato dopo nel DOM radice in app/layout.tsx) vinceva a parita' di z-index e copriva il menu quando le due zone si sovrapponevano in alto sullo schermo. Fix: z-index del menu portato a z-[60] (sopra il toggle). Verificato: tsc/eslint puliti. Fix puramente CSS (z-index), non testabile in modo significativo senza screenshot/visual regression — verificabile da Fabrizio al prossimo deploy sullo stesso screenshot. AGGIORNAMENTO 06/08/2026 (stesso giorno): il fix z-index non copriva questo caso — Fabrizio ha rimandato un secondo screenshot che mostra il menu tagliato da un overflow-hidden DIVERSO (DecorativeIntroCard, wrapper della pagina Profilo NEXTGEN attorno a ProfileHeaderClient), non dal bottone Torna a V1. Root cause: qualunque antenato con overflow-hidden può tagliare un menu absolute. Fix definitivo: il menu è ora un React portal su document.body (position:fixed, coordinate da getBoundingClientRect), immune per costruzione a overflow/z-index di QUALUNQUE antenato presente o futuro. Si chiude su scroll/resize per evitare posizione stale.</t>
  </si>
  <si>
    <t xml:space="preserve">TC-N639</t>
  </si>
  <si>
    <t xml:space="preserve">Genitore - Prenotazioni NEXTGEN-native</t>
  </si>
  <si>
    <t xml:space="preserve">/nextgen/prenotazioni mostra il guscio NEXTGEN (bottom nav con 'Prenotazioni' attiva) e il logo TRAMA nell'header, non lo shell LEGACY</t>
  </si>
  <si>
    <t xml:space="preserve">Login Genitore di test (account reale su deploy con Supabase configurato)</t>
  </si>
  <si>
    <t xml:space="preserve">Login genitore -&gt; naviga a /nextgen/prenotazioni</t>
  </si>
  <si>
    <t xml:space="preserve">Il contenuto di 'Le mie prenotazioni' e' visibile; la bottom nav e' quella NEXTGEN (5 voci) con 'Prenotazioni' evidenziata come voce attiva (trama-violet); il logo TRAMA compare accanto al titolo nell'header (PageHeader#showBrandIcon)</t>
  </si>
  <si>
    <t xml:space="preserve">Chiude il gap segnalato da Fabrizio ('le prenotazioni vanno ancora sul vecchio schema'): nuova rotta app/nextgen/prenotazioni/page.tsx che monta lo STESSO PrenotazioniClient (contenuto invariato, gia' TRAMA-current) sotto il guscio NEXTGEN invece di quello LEGACY. Non eseguito in questo sandbox (Playwright senza dipendenze browser di sistema, limitazione nota) -- verificabile da Fabrizio al prossimo deploy.</t>
  </si>
  <si>
    <t xml:space="preserve">TC-N640</t>
  </si>
  <si>
    <t xml:space="preserve">Il link 'Prenotazioni' dal Planner/Home/Profilo NEXTGEN porta a /nextgen/prenotazioni, non piu' a /prenotazioni (LEGACY)</t>
  </si>
  <si>
    <t xml:space="preserve">Login Genitore di test</t>
  </si>
  <si>
    <t xml:space="preserve">Login genitore -&gt; /nextgen/profile -&gt; tap su 'Le mie prenotazioni'</t>
  </si>
  <si>
    <t xml:space="preserve">L'URL finale e' /nextgen/prenotazioni (non /prenotazioni)</t>
  </si>
  <si>
    <t xml:space="preserve">Verifica dei 6 link interni aggiornati (NextgenBottomNav, PlannerClient x2, ProfileNextgenClient, HomeDashboardClient, lib/nextgen/reminders.ts x2). Non eseguito in questo sandbox, stessa limitazione di TC-N639.</t>
  </si>
  <si>
    <t xml:space="preserve">TC-N641</t>
  </si>
  <si>
    <t xml:space="preserve">areaLabelFromPath riconosce /nextgen/prenotazioni come 'Le mie prenotazioni' (segnalazioni BETA)</t>
  </si>
  <si>
    <t xml:space="preserve">areaLabelFromPath('/nextgen/prenotazioni')</t>
  </si>
  <si>
    <t xml:space="preserve">Ritorna 'Le mie prenotazioni' (stessa etichetta della vecchia rotta LEGACY sottostante)</t>
  </si>
  <si>
    <t xml:space="preserve">Test puro [no browser]. Eseguito con successo in questo sandbox (1 passed).</t>
  </si>
  <si>
    <t xml:space="preserve">TC-N642</t>
  </si>
  <si>
    <t xml:space="preserve">Genitore - Gruppi Scopri/Inviti</t>
  </si>
  <si>
    <t xml:space="preserve">Creare un gruppo, attivare 'Visibile in Scopri' (toggle, solo creatore) e verificare che is_public resti true dopo un refresh</t>
  </si>
  <si>
    <t xml:space="preserve">Login genitore -&gt; Gruppi -&gt; + Nuovo -&gt; crea '[TEST] Gruppo Scopri Inviti' -&gt; nella scheda gruppo attiva il toggle 'Visibile in Scopri' -&gt; ricarica la pagina</t>
  </si>
  <si>
    <t xml:space="preserve">Il toggle resta acceso (aria-checked=true) dopo il refresh -- prova che toggleGroupVisibilityAction ha scritto davvero is_public=true su Supabase (migration_25), non solo stato locale</t>
  </si>
  <si>
    <t xml:space="preserve">Chiude il gap 'visibilita gruppi' segnalato da Fabrizio nell'analisi approfondita del 24/08/2026. Non eseguito in questo sandbox (Playwright senza dipendenze browser di sistema) -- verificabile da Fabrizio dopo aver applicato migration_25 e deployato.</t>
  </si>
  <si>
    <t xml:space="preserve">TC-N643</t>
  </si>
  <si>
    <t xml:space="preserve">Invitare la propria email a un proprio gruppo viene rifiutato ('Non puoi invitare te stesso')</t>
  </si>
  <si>
    <t xml:space="preserve">Login Genitore di test; gruppo creato in TC-N642 (serial)</t>
  </si>
  <si>
    <t xml:space="preserve">Nella scheda gruppo, sezione 'Invita per email' -&gt; inserisce la propria email (TEST_PARENT_EMAIL) -&gt; Invita</t>
  </si>
  <si>
    <t xml:space="preserve">Messaggio d'errore 'Non puoi invitare te stesso', nessuna riga creata in group_invites</t>
  </si>
  <si>
    <t xml:space="preserve">Verifica di inviteToGroupAction. Non eseguito in questo sandbox, stessa limitazione di TC-N642.</t>
  </si>
  <si>
    <t xml:space="preserve">TC-N644</t>
  </si>
  <si>
    <t xml:space="preserve">Invitare un'email valida crea group_invites; un secondo invito alla stessa email sullo stesso gruppo viene rifiutato come duplicato</t>
  </si>
  <si>
    <t xml:space="preserve">Invita email-test-unica@example.com -&gt; verifica messaggio di conferma -&gt; ripete l'invito alla STESSA email sullo stesso gruppo</t>
  </si>
  <si>
    <t xml:space="preserve">Primo invito: 'Invito creato'/'Invito inviato via email'. Secondo invito: 'Questa email e' gia' stata invitata a questo gruppo' (query su group_invites status pending/sent, nessuna riga duplicata)</t>
  </si>
  <si>
    <t xml:space="preserve">Verifica anti-duplicati di inviteToGroupAction. Non eseguito in questo sandbox, stessa limitazione di TC-N642.</t>
  </si>
  <si>
    <t xml:space="preserve">TC-N645</t>
  </si>
  <si>
    <t xml:space="preserve">Genitore - Rimandi legacy dentro NEXTGEN (task #528)</t>
  </si>
  <si>
    <t xml:space="preserve">/nextgen/preferiti mostra il guscio NEXTGEN (bottom nav, logo TRAMA) e la lista preferiti reale, non piu' la pagina LEGACY</t>
  </si>
  <si>
    <t xml:space="preserve">Login genitore -&gt; naviga a /nextgen/preferiti</t>
  </si>
  <si>
    <t xml:space="preserve">Il titolo 'Preferiti' e la lista reale sono visibili; bottom nav NEXTGEN (link a /nextgen/planner e /nextgen/prenotazioni) e logo TRAMA nell'header presenti</t>
  </si>
  <si>
    <t xml:space="preserve">Chiude uno degli 8 rimandi legacy individuati dall'audit richiesto da Fabrizio ("nel profilo, sotto impostazioni, ci sono ancora rimandi al legacy"). Nuova rotta app/nextgen/preferiti/page.tsx che monta components/PreferitiView.tsx (estratto dalla pagina LEGACY, stessa query getFavoriteActivitiesForParent, nessun comportamento cambiato). La rotta LEGACY /preferiti resta intatta e invariata. Non eseguito in questo sandbox (Playwright senza dipendenze browser di sistema) -- verificabile da Fabrizio al prossimo deploy.</t>
  </si>
  <si>
    <t xml:space="preserve">TC-N646</t>
  </si>
  <si>
    <t xml:space="preserve">/nextgen/presenze mostra il guscio NEXTGEN e il report presenze reale, non piu' la pagina LEGACY</t>
  </si>
  <si>
    <t xml:space="preserve">Login genitore -&gt; naviga a /nextgen/presenze</t>
  </si>
  <si>
    <t xml:space="preserve">Il titolo 'Le presenze' e il report reale (grafico andamento, riepilogo per bambino) sono visibili sotto il guscio NEXTGEN</t>
  </si>
  <si>
    <t xml:space="preserve">Stesso pattern di TC-N645: app/nextgen/presenze/page.tsx monta components/PresenzeView.tsx (estratto da app/(main)/presenze/page.tsx, stessa query getAttendanceReportForParent). LEGACY /presenze intatta. Non eseguito in questo sandbox, stessa limitazione.</t>
  </si>
  <si>
    <t xml:space="preserve">TC-N647</t>
  </si>
  <si>
    <t xml:space="preserve">/nextgen/richieste mostra il guscio NEXTGEN e le richieste reali, non piu' la pagina LEGACY</t>
  </si>
  <si>
    <t xml:space="preserve">Login genitore -&gt; naviga a /nextgen/richieste</t>
  </si>
  <si>
    <t xml:space="preserve">Il titolo 'Le mie richieste' e la lista reale (RichiesteGenitoreClient) sono visibili sotto il guscio NEXTGEN</t>
  </si>
  <si>
    <t xml:space="preserve">Stesso pattern: app/nextgen/richieste/page.tsx monta components/RichiesteView.tsx (estratto da app/(main)/richieste/page.tsx, stessa query getInquiriesForParent). LEGACY /richieste intatta. Non eseguito in questo sandbox, stessa limitazione.</t>
  </si>
  <si>
    <t xml:space="preserve">TC-N648</t>
  </si>
  <si>
    <t xml:space="preserve">/nextgen/center-leads mostra il guscio NEXTGEN e i suggerimenti centro reali, non piu' la pagina LEGACY</t>
  </si>
  <si>
    <t xml:space="preserve">Login genitore -&gt; naviga a /nextgen/center-leads</t>
  </si>
  <si>
    <t xml:space="preserve">Il titolo 'I tuoi suggerimenti' e la lista reale sono visibili sotto il guscio NEXTGEN</t>
  </si>
  <si>
    <t xml:space="preserve">Stesso pattern: app/nextgen/center-leads/page.tsx monta components/CenterLeadsView.tsx (estratto da app/(main)/center-leads/page.tsx, stessa query getMyCenterLeads). LEGACY /center-leads intatta. Non eseguito in questo sandbox, stessa limitazione.</t>
  </si>
  <si>
    <t xml:space="preserve">TC-N649</t>
  </si>
  <si>
    <t xml:space="preserve">/nextgen/profile/impostazioni/sicurezza mostra il guscio NEXTGEN, non piu' la pagina LEGACY</t>
  </si>
  <si>
    <t xml:space="preserve">Login genitore -&gt; /nextgen/profile/impostazioni -&gt; tap su 'Sicurezza'</t>
  </si>
  <si>
    <t xml:space="preserve">L'URL finale e' /nextgen/profile/impostazioni/sicurezza; il titolo 'Sicurezza' e ProfileSecuritySection sono visibili sotto il guscio NEXTGEN</t>
  </si>
  <si>
    <t xml:space="preserve">Stesso pattern: app/nextgen/profile/impostazioni/sicurezza/page.tsx monta components/SicurezzaView.tsx (estratto da app/(main)/profile/sicurezza/page.tsx). LEGACY /profile/sicurezza intatta (resta condivisa/raggiungibile anche da chi arriva da li'). Non eseguito in questo sandbox, stessa limitazione.</t>
  </si>
  <si>
    <t xml:space="preserve">TC-N650</t>
  </si>
  <si>
    <t xml:space="preserve">/nextgen/profile/impostazioni/preferenze mostra il guscio NEXTGEN, non piu' la pagina LEGACY</t>
  </si>
  <si>
    <t xml:space="preserve">Login genitore -&gt; /nextgen/profile/impostazioni -&gt; tap su 'Preferenze'</t>
  </si>
  <si>
    <t xml:space="preserve">L'URL finale e' /nextgen/profile/impostazioni/preferenze; il titolo 'Preferenze' e ProfilePreferencesSection sono visibili sotto il guscio NEXTGEN</t>
  </si>
  <si>
    <t xml:space="preserve">Stesso pattern: app/nextgen/profile/impostazioni/preferenze/page.tsx monta components/PreferenzeView.tsx (estratto da app/(main)/profile/preferenze/page.tsx). LEGACY /profile/preferenze intatta. Non eseguito in questo sandbox, stessa limitazione.</t>
  </si>
  <si>
    <t xml:space="preserve">TC-N651</t>
  </si>
  <si>
    <t xml:space="preserve">/nextgen/profile/impostazioni/privacy mostra il guscio NEXTGEN, non piu' la pagina LEGACY</t>
  </si>
  <si>
    <t xml:space="preserve">Login genitore -&gt; /nextgen/profile/impostazioni -&gt; tap su 'Privacy e account'</t>
  </si>
  <si>
    <t xml:space="preserve">L'URL finale e' /nextgen/profile/impostazioni/privacy; il titolo 'Privacy e account' e ProfilePrivacySection sono visibili sotto il guscio NEXTGEN</t>
  </si>
  <si>
    <t xml:space="preserve">Stesso pattern: app/nextgen/profile/impostazioni/privacy/page.tsx monta components/PrivacyView.tsx (estratto da app/(main)/profile/privacy/page.tsx). La pagina non ha backHref fisso (bugfix preesistente, raggiungibile sia da LEGACY che da NEXTGEN): PageHeader ricade su router.back(). LEGACY /profile/privacy intatta. Non eseguito in questo sandbox, stessa limitazione.</t>
  </si>
  <si>
    <t xml:space="preserve">TC-N652</t>
  </si>
  <si>
    <t xml:space="preserve">/nextgen/groups mostra il guscio NEXTGEN, non piu' il layout LEGACY (caso piu' grave dell'audit: '/groups' e' una voce primaria del BottomNav LEGACY)</t>
  </si>
  <si>
    <t xml:space="preserve">Login genitore -&gt; naviga a /nextgen/groups -&gt; verifica bottom nav/logo NEXTGEN -&gt; tap sulla freccia 'Indietro'</t>
  </si>
  <si>
    <t xml:space="preserve">Il titolo 'Gruppi &amp; Community' e la lista reale sono visibili sotto il guscio NEXTGEN (non il BottomNav LEGACY a 5 voci con 'Gruppi'); la freccia 'Indietro' riporta a /nextgen/planner</t>
  </si>
  <si>
    <t xml:space="preserve">Il gap piu' severo trovato dall'audit: prima un genitore NEXTGEN che entrava in Gruppi finiva interamente dentro app/(main)/layout.tsx (BottomNav LEGACY diverso), non solo mancava un'icona. Fix: components/GroupsClient.tsx esteso con prop opzionali basePath/backHref/showBrandIcon (default invariati per LEGACY, che continua a usare /groups senza back-arrow dalla bottom nav); nuova app/nextgen/groups/page.tsx passa basePath="/nextgen/groups", backHref="/nextgen/planner", showBrandIcon. LEGACY /groups intatta e comportamentalmente invariata. Non eseguito in questo sandbox, stessa limitazione.</t>
  </si>
  <si>
    <t xml:space="preserve">TC-N653</t>
  </si>
  <si>
    <t xml:space="preserve">Creare un gruppo da /nextgen/groups resta dentro NEXTGEN; il link 'Gruppi' nella scheda dettaglio riporta a /nextgen/groups, non a /groups (LEGACY)</t>
  </si>
  <si>
    <t xml:space="preserve">Da /nextgen/groups -&gt; '+ Nuovo' -&gt; inserisce nome -&gt; 'Crea gruppo'</t>
  </si>
  <si>
    <t xml:space="preserve">L'URL finale e' /nextgen/groups/{id} (non /groups/{id}); il link 'Gruppi' in alto ha href="/nextgen/groups"</t>
  </si>
  <si>
    <t xml:space="preserve">Verifica che basePath si propaghi anche al redirect post-creazione (handleCreate in GroupsClient.tsx) e che components/GroupDetailClient.tsx (prop backHref, default "/groups" per LEGACY invariato) riceva backHref="/nextgen/groups" dalla nuova app/nextgen/groups/[id]/page.tsx (stessa logica server-side di app/(main)/groups/[id]/page.tsx). Non eseguito in questo sandbox, stessa limitazione.</t>
  </si>
  <si>
    <t xml:space="preserve">TC-N654</t>
  </si>
  <si>
    <t xml:space="preserve">Dal Profilo NEXTGEN, 'Preferiti'/'Le presenze'/'I tuoi suggerimenti'/'Le mie richieste' portano tutti a rotte /nextgen/*, non piu' alle rotte LEGACY</t>
  </si>
  <si>
    <t xml:space="preserve">Login genitore -&gt; /nextgen/profile -&gt; ispeziona gli href delle 4 HubCard 'Attivita''/'Supporto'</t>
  </si>
  <si>
    <t xml:space="preserve">Gli href sono rispettivamente /nextgen/preferiti, /nextgen/presenze, /nextgen/center-leads, /nextgen/richieste (prima: /preferiti, /presenze, /center-leads, /richieste)</t>
  </si>
  <si>
    <t xml:space="preserve">4 dei 8 href individuati dall'audit Grep su app/nextgen/**, tutti in app/nextgen/profile/ProfileNextgenClient.tsx. Non eseguito in questo sandbox, stessa limitazione.</t>
  </si>
  <si>
    <t xml:space="preserve">TC-N655</t>
  </si>
  <si>
    <t xml:space="preserve">Da Impostazioni NEXTGEN, 'Sicurezza'/'Preferenze'/'Privacy e account' portano tutti a rotte /nextgen/profile/impostazioni/*, non piu' alle rotte LEGACY</t>
  </si>
  <si>
    <t xml:space="preserve">Login genitore -&gt; /nextgen/profile/impostazioni -&gt; ispeziona gli href delle 3 HubCard</t>
  </si>
  <si>
    <t xml:space="preserve">Gli href sono rispettivamente /nextgen/profile/impostazioni/sicurezza, /nextgen/profile/impostazioni/preferenze, /nextgen/profile/impostazioni/privacy (prima: /profile/sicurezza, /profile/preferenze, /profile/privacy)</t>
  </si>
  <si>
    <t xml:space="preserve">3 degli 8 href individuati dall'audit, in app/nextgen/profile/impostazioni/ImpostazioniHubClient.tsx. Non eseguito in questo sandbox, stessa limitazione.</t>
  </si>
  <si>
    <t xml:space="preserve">TC-N656</t>
  </si>
  <si>
    <t xml:space="preserve">Dal Planner NEXTGEN (scheda Gruppi), 'I tuoi Gruppi sconto' -&gt; 'Vedi tutti'/'Scopri come' porta a /nextgen/groups, non a /groups (LEGACY)</t>
  </si>
  <si>
    <t xml:space="preserve">Login genitore -&gt; /nextgen/planner -&gt; tab Gruppi -&gt; tap su 'Vedi tutti' (o 'Scopri come')</t>
  </si>
  <si>
    <t xml:space="preserve">L'URL finale e' /nextgen/groups (non /groups); anche le singole GroupCard puntano a /nextgen/groups/{id}</t>
  </si>
  <si>
    <t xml:space="preserve">Ultimo degli 8 href individuati, in components/nextgen/PlannerGroupsView.tsx (2 occorrenze: link 'Vedi tutti' e GroupCard interna). Non eseguito in questo sandbox, stessa limitazione.</t>
  </si>
  <si>
    <t xml:space="preserve">TC-N657</t>
  </si>
  <si>
    <t xml:space="preserve">Genitore - Rimandi legacy dentro NEXTGEN (task #528) [no browser]</t>
  </si>
  <si>
    <t xml:space="preserve">areaLabelFromPath riconosce tutte le nuove rotte /nextgen/* introdotte dal task #528 (segnalazioni BETA)</t>
  </si>
  <si>
    <t xml:space="preserve">areaLabelFromPath('/nextgen/preferiti'), ('/nextgen/presenze'), ('/nextgen/richieste'), ('/nextgen/center-leads'), ('/nextgen/groups'), ('/nextgen/groups/abc'), ('/nextgen/profile/impostazioni/sicurezza'|'preferenze'|'privacy')</t>
  </si>
  <si>
    <t xml:space="preserve">Ritorna rispettivamente 'Preferiti', 'Presenze', 'Le mie richieste', 'I tuoi suggerimenti', 'Gruppi' (x2), 'Profilo · Impostazioni' (x3, gia' coperto dal prefisso esistente)</t>
  </si>
  <si>
    <t xml:space="preserve">TC-085b</t>
  </si>
  <si>
    <t xml:space="preserve">Classificazione centro test/demo in elenco</t>
  </si>
  <si>
    <t xml:space="preserve">Un centro con nome/slug che somiglia a test/demo (es. '[TEST] Centro BuddyKids') mostra un badge 'Test/demo' visibile, senza query SQL</t>
  </si>
  <si>
    <t xml:space="preserve">Automatizzato in tests/admin/gestione.spec.ts (TC-085b, richiede deploy live). Requisito esplicito Fabrizio (gate PRE-MICRO-PILOT R-01).</t>
  </si>
  <si>
    <t xml:space="preserve">LEGAL-01</t>
  </si>
  <si>
    <t xml:space="preserve">Legal Gate - Privacy/Termini [no browser]</t>
  </si>
  <si>
    <t xml:space="preserve">deriveDocumentStatus: published_at NULL -&gt; draft</t>
  </si>
  <si>
    <t xml:space="preserve">deriveDocumentStatus(doc con published_at=null, [doc])</t>
  </si>
  <si>
    <t xml:space="preserve">Ritorna 'draft'</t>
  </si>
  <si>
    <t xml:space="preserve">PASS AUTOMATED</t>
  </si>
  <si>
    <t xml:space="preserve">#573</t>
  </si>
  <si>
    <t xml:space="preserve">Test puro [no browser], tests/one/legal-gate.spec.ts. Eseguito con successo in questo sandbox.</t>
  </si>
  <si>
    <t xml:space="preserve">LEGAL-02</t>
  </si>
  <si>
    <t xml:space="preserve">deriveDocumentStatus: unica riga pubblicata -&gt; published</t>
  </si>
  <si>
    <t xml:space="preserve">deriveDocumentStatus(doc pubblicato, [doc])</t>
  </si>
  <si>
    <t xml:space="preserve">Ritorna 'published'</t>
  </si>
  <si>
    <t xml:space="preserve">Test puro [no browser]. Eseguito con successo.</t>
  </si>
  <si>
    <t xml:space="preserve">LEGAL-03</t>
  </si>
  <si>
    <t xml:space="preserve">deriveDocumentStatus: riga precedente -&gt; superseded</t>
  </si>
  <si>
    <t xml:space="preserve">deriveDocumentStatus(riga vecchia, [vecchia, nuova])</t>
  </si>
  <si>
    <t xml:space="preserve">La riga vecchia ritorna 'superseded', la nuova 'published'</t>
  </si>
  <si>
    <t xml:space="preserve">LEGAL-04</t>
  </si>
  <si>
    <t xml:space="preserve">Legal Gate - Feature Flag [no browser]</t>
  </si>
  <si>
    <t xml:space="preserve">Registry: LEGAL_TERMS_GATE esiste con defaultValue=false</t>
  </si>
  <si>
    <t xml:space="preserve">Nessuna (lettura registry statico)</t>
  </si>
  <si>
    <t xml:space="preserve">isKnownFlag('LEGAL_TERMS_GATE'), FEATURE_FLAG_REGISTRY.LEGAL_TERMS_GATE.defaultValue</t>
  </si>
  <si>
    <t xml:space="preserve">true / false</t>
  </si>
  <si>
    <t xml:space="preserve">#566</t>
  </si>
  <si>
    <t xml:space="preserve">Test puro [no browser]. Eseguito con successo — garantisce che il flag resti spento di default.</t>
  </si>
  <si>
    <t xml:space="preserve">LEGAL-05</t>
  </si>
  <si>
    <t xml:space="preserve">Registry: allowedScopes coerenti</t>
  </si>
  <si>
    <t xml:space="preserve">getFlagDefinition('LEGAL_TERMS_GATE').allowedScopes</t>
  </si>
  <si>
    <t xml:space="preserve">Include almeno global/environment/user/role/cohort</t>
  </si>
  <si>
    <t xml:space="preserve">LEGAL-06</t>
  </si>
  <si>
    <t xml:space="preserve">evaluateFlag: nessun override -&gt; default (false)</t>
  </si>
  <si>
    <t xml:space="preserve">evaluateFlag('LEGAL_TERMS_GATE', {}, [])</t>
  </si>
  <si>
    <t xml:space="preserve">false</t>
  </si>
  <si>
    <t xml:space="preserve">Test puro [no browser]. Conferma lo stato di produzione oggi (nessun override globale scritto).</t>
  </si>
  <si>
    <t xml:space="preserve">LEGAL-07</t>
  </si>
  <si>
    <t xml:space="preserve">evaluateFlag: override scope=user enabled=true -&gt; true</t>
  </si>
  <si>
    <t xml:space="preserve">evaluateFlag con override user:userId enabled=true</t>
  </si>
  <si>
    <t xml:space="preserve">true</t>
  </si>
  <si>
    <t xml:space="preserve">Test puro [no browser]. Verifica che l'attivazione per un singolo account di test funzionerebbe.</t>
  </si>
  <si>
    <t xml:space="preserve">LEGAL-08</t>
  </si>
  <si>
    <t xml:space="preserve">evaluateFlag: override scope=global enabled=false esplicito -&gt; false</t>
  </si>
  <si>
    <t xml:space="preserve">evaluateFlag con override global enabled=false</t>
  </si>
  <si>
    <t xml:space="preserve">false (nessuna sorpresa)</t>
  </si>
  <si>
    <t xml:space="preserve">LEGAL-09</t>
  </si>
  <si>
    <t xml:space="preserve">Legal Gate - Route pubbliche</t>
  </si>
  <si>
    <t xml:space="preserve">/terms raggiungibile senza login</t>
  </si>
  <si>
    <t xml:space="preserve">Nessuna (route pubblica)</t>
  </si>
  <si>
    <t xml:space="preserve">goto /terms senza sessione</t>
  </si>
  <si>
    <t xml:space="preserve">Heading 'Termini di Servizio' visibile, testo 'Documento in preparazione' o versione (0 documenti PUBLISHED oggi)</t>
  </si>
  <si>
    <t xml:space="preserve">REQUIRES LIVE DEPLOY</t>
  </si>
  <si>
    <t xml:space="preserve">#569</t>
  </si>
  <si>
    <t xml:space="preserve">Richiede deploy live (test.skip(!isRealDeployment)). Non eseguibile in questo sandbox.</t>
  </si>
  <si>
    <t xml:space="preserve">LEGAL-10</t>
  </si>
  <si>
    <t xml:space="preserve">/privacy raggiungibile senza login</t>
  </si>
  <si>
    <t xml:space="preserve">goto /privacy senza sessione</t>
  </si>
  <si>
    <t xml:space="preserve">Heading 'Informativa Privacy' visibile, testo 'Documento in preparazione' o versione</t>
  </si>
  <si>
    <t xml:space="preserve">LEGAL-11</t>
  </si>
  <si>
    <t xml:space="preserve">Legal Gate - Signup</t>
  </si>
  <si>
    <t xml:space="preserve">Signup Parent: nessun checkbox Termini/Privacy/Marketing con gate OFF</t>
  </si>
  <si>
    <t xml:space="preserve">goto /auth/login -&gt; Registrati</t>
  </si>
  <si>
    <t xml:space="preserve">Nessun testo 'Termini di servizio'/'comunicazioni commerciali' visibile (LEGAL_TERMS_GATE risolve false)</t>
  </si>
  <si>
    <t xml:space="preserve">#568</t>
  </si>
  <si>
    <t xml:space="preserve">Richiede deploy live. Regressione: verifica che il gate OFF non alteri il signup esistente.</t>
  </si>
  <si>
    <t xml:space="preserve">LEGAL-12</t>
  </si>
  <si>
    <t xml:space="preserve">Signup Parent: messaggio post-submit invariato con gate OFF</t>
  </si>
  <si>
    <t xml:space="preserve">goto /auth/login -&gt; Registrati -&gt; verifica UI form</t>
  </si>
  <si>
    <t xml:space="preserve">Bottone 'Registrati' visibile, nessuna regressione testuale</t>
  </si>
  <si>
    <t xml:space="preserve">Richiede deploy live. Copertura equivalente via LEGAL-06 (evaluateFlag false).</t>
  </si>
  <si>
    <t xml:space="preserve">LEGAL-13</t>
  </si>
  <si>
    <t xml:space="preserve">Legal Gate - Creazione bambino</t>
  </si>
  <si>
    <t xml:space="preserve">AddKidForm: nessun checkbox dichiarazione genitoriale con gate OFF</t>
  </si>
  <si>
    <t xml:space="preserve">Login Parent reale</t>
  </si>
  <si>
    <t xml:space="preserve">Login Parent -&gt; Profilo -&gt; Bambini -&gt; Aggiungi bambino</t>
  </si>
  <si>
    <t xml:space="preserve">Nessun checkbox dichiarazione genitoriale visibile (LEGAL_TERMS_GATE risolve false)</t>
  </si>
  <si>
    <t xml:space="preserve">PASS STATIC</t>
  </si>
  <si>
    <t xml:space="preserve">#570</t>
  </si>
  <si>
    <t xml:space="preserve">Richiede login Parent reale + navigazione. Copertura equivalente gia' garantita da LEGAL-06 + revisione statica del gating.</t>
  </si>
  <si>
    <t xml:space="preserve">LEGAL-14</t>
  </si>
  <si>
    <t xml:space="preserve">Legal Gate - Marketing consent</t>
  </si>
  <si>
    <t xml:space="preserve">Impostazioni: updateMarketingConsentAction aggiorna ancora il consenso (regressione)</t>
  </si>
  <si>
    <t xml:space="preserve">Login Parent -&gt; Impostazioni Privacy -&gt; toggle consenso marketing</t>
  </si>
  <si>
    <t xml:space="preserve">profiles.marketing_consent aggiornato, nessuna regressione visibile (estensione consent_events invisibile lato UI)</t>
  </si>
  <si>
    <t xml:space="preserve">#567</t>
  </si>
  <si>
    <t xml:space="preserve">Copertura di regressione equivalente gia' garantita dalla suite Impostazioni Privacy esistente.</t>
  </si>
  <si>
    <t xml:space="preserve">LEGAL-15</t>
  </si>
  <si>
    <t xml:space="preserve">Legal Gate - RLS</t>
  </si>
  <si>
    <t xml:space="preserve">legal_documents: SELECT anonimo scoperto a solo CURRENT PUBLISHED (migration_29)</t>
  </si>
  <si>
    <t xml:space="preserve">Verifica read-only via Supabase MCP live (MIGRATION_29 LIVE POST-CHECK, task #605, 25/08/2026) — non piu' il baseline migration_27</t>
  </si>
  <si>
    <t xml:space="preserve">Transazione con ROLLBACK: insert 3 righe test (DRAFT/SUPERSEDED/CURRENT) -&gt; set local role anon -&gt; SELECT -&gt; rollback (nessun dato persistito)</t>
  </si>
  <si>
    <t xml:space="preserve">anon vede SOLO la riga CURRENT PUBLISHED (1 riga); DRAFT e SUPERSEDED invisibili; nessun errore 42P17 (ricorsione migration_28 risolta)</t>
  </si>
  <si>
    <t xml:space="preserve">#572</t>
  </si>
  <si>
    <t xml:space="preserve">Verificato LIVE il 25/08/2026 con query dirette in transazione (BEGIN...ROLLBACK, nessuna fixture persistita) contro il progetto Supabase eagsgfxunwyyxwwilldy — non un test Playwright automatizzato, ma un'esecuzione SQL reale (piu' forte di una semplice lettura di pg_policies). STORIA: migration_27 dava 'to authenticated' soltanto (nessun anon) -&gt; migration_28 introduceva un anon SELECT ma con bug di ricorsione (42P17, MAI applicato in produzione con successo) -&gt; migration_29 (LIVE) risolve la ricorsione e scopre l'accesso anonimo al solo documento CURRENT PUBLISHED per document_type in ('terms','privacy_notice').</t>
  </si>
  <si>
    <t xml:space="preserve">LEGAL-16</t>
  </si>
  <si>
    <t xml:space="preserve">parental_declarations: INSERT rifiuta un kid_id non del genitore</t>
  </si>
  <si>
    <t xml:space="preserve">Verifica read-only via Supabase MCP (POST-CHECK migration_27)</t>
  </si>
  <si>
    <t xml:space="preserve">Lettura policy live: WITH CHECK auth.uid()=parent_user_id AND EXISTS kids.parent_id=parent_user_id</t>
  </si>
  <si>
    <t xml:space="preserve">Struttura della policy verificata coerente con il requisito (verificato)</t>
  </si>
  <si>
    <t xml:space="preserve">Verifica STATICA (lettura policy), non un test Playwright eseguito. Prova comportamentale reale richiederebbe 2 account Parent di test con bambini reciprocamente noti (fixture TEST-marked non create) — deferita a Fabrizio o a una futura estensione E2E.</t>
  </si>
  <si>
    <t xml:space="preserve">TC-N658</t>
  </si>
  <si>
    <t xml:space="preserve">Genitore - Modifica prenotazione Giorni spot (add/remove)</t>
  </si>
  <si>
    <t xml:space="preserve">Segnalazione Fabrizio 25/08/2026 ('Modifica prenotazione... perche' non da opzioni?'): il genitore puo' aggiungere e rimuovere giorni singoli da una prenotazione a Giorni spot gia' effettuata, non solo annullarla</t>
  </si>
  <si>
    <t xml:space="preserve">Login parent; prenotazione a Giorni spot esistente (creata via TC-N501/TC-N500), fuori dalla finestra di preavviso del centro</t>
  </si>
  <si>
    <t xml:space="preserve">Da /prenotazioni apri 'Modifica' sulla prenotazione a giorni -&gt; osserva la griglia Lun-Ven interattiva -&gt; aggiungi un giorno disponibile -&gt; 'Salva modifiche'</t>
  </si>
  <si>
    <t xml:space="preserve">L'avviso 'La modifica delle date non e' ancora supportata' e' sparito; la griglia mostra i giorni gia' prenotati come 'Incluso' e permette di aggiungerne/rimuoverne; dopo il salvataggio il totale e i giorni prenotati (booking_days) riflettono la nuova selezione, con prezzo congelato sui giorni mantenuti e prezzo fresco sui giorni nuovi</t>
  </si>
  <si>
    <t xml:space="preserve">#602-604</t>
  </si>
  <si>
    <t xml:space="preserve">Test automatizzato: tests/genitori/giorni-spot.spec.ts, TC-N658 (gated su isRealDeployment + dati STEP 7 seed-test-data.sql). Nuova server action updateBookingDaysAction (app/actions/bookings.ts) + editor in ModificaPrenotazioneClient.tsx. Rimozione rilascia capacita' se gia' decrementata; aggiunta richiede disponibilita' residua sul giorno. Nessuna granularita' aggiuntiva sulla finestra di cancellazione (stesso gate singolo gia' usato per le settimane, vedi checkCancellationWindowForDays).</t>
  </si>
  <si>
    <t xml:space="preserve">LEGAL-17</t>
  </si>
  <si>
    <t xml:space="preserve">Legal Gate - Existing users [no browser]</t>
  </si>
  <si>
    <t xml:space="preserve">requiresLegalAcceptanceBeforeAccess: tabella di verita' completa (4 casi)</t>
  </si>
  <si>
    <t xml:space="preserve">requiresLegalAcceptanceBeforeAccess(gateEnabled, hasAccepted) per le 4 combinazioni booleane</t>
  </si>
  <si>
    <t xml:space="preserve">true SOLO quando gate=true E hasAccepted=false; false negli altri 3 casi (fail-closed, mai un blocco a sorpresa quando il gate e' OFF)</t>
  </si>
  <si>
    <t xml:space="preserve">#579</t>
  </si>
  <si>
    <t xml:space="preserve">Test puro [no browser], tests/one/legal-gate.spec.ts. Eseguito con successo in questo sandbox (npx playwright test tests/one/legal-gate.spec.ts, 25/08/2026).</t>
  </si>
  <si>
    <t xml:space="preserve">LEGAL-18</t>
  </si>
  <si>
    <t xml:space="preserve">Legal Gate - Marketing consent [no browser]</t>
  </si>
  <si>
    <t xml:space="preserve">shouldRecordMarketingConsentAtSignup: checkbox NON spuntato -&gt; nessuna scrittura di consenso</t>
  </si>
  <si>
    <t xml:space="preserve">shouldRecordMarketingConsentAtSignup(false)</t>
  </si>
  <si>
    <t xml:space="preserve">false (nessun evento 'withdrawn' generato per qualcosa mai concesso)</t>
  </si>
  <si>
    <t xml:space="preserve">#581</t>
  </si>
  <si>
    <t xml:space="preserve">Test puro [no browser]. Eseguito con successo in questo sandbox.</t>
  </si>
  <si>
    <t xml:space="preserve">LEGAL-19</t>
  </si>
  <si>
    <t xml:space="preserve">shouldRecordMarketingConsentAtSignup: checkbox spuntato -&gt; genera esattamente un consenso 'accepted'</t>
  </si>
  <si>
    <t xml:space="preserve">shouldRecordMarketingConsentAtSignup(true)</t>
  </si>
  <si>
    <t xml:space="preserve">LEGAL-20</t>
  </si>
  <si>
    <t xml:space="preserve">Legal Gate - Public route hardening</t>
  </si>
  <si>
    <t xml:space="preserve">anonymous public legal route (/privacy, /terms) non usa service-role</t>
  </si>
  <si>
    <t xml:space="preserve">Codice: lib/legal/gate.ts#resolvePublishedDocumentForPublicRoute</t>
  </si>
  <si>
    <t xml:space="preserve">Revisione statica del codice dopo la remediation task #607 (25/08/2026): la funzione ora chiama createClient() (chiave anon, RLS attiva), non piu' createServiceClient()</t>
  </si>
  <si>
    <t xml:space="preserve">Nessun import/uso di createServiceClient()/SUPABASE_SERVICE_ROLE_KEY nel percorso di lettura di /privacy e /terms; la richiesta anonima viaggia come ruolo 'anon', soggetta a migration_29</t>
  </si>
  <si>
    <t xml:space="preserve">#607</t>
  </si>
  <si>
    <t xml:space="preserve">Verificato per lettura diretta del file (non un test automatizzato dedicato): resolvePublishedDocumentForPublicRoute in lib/legal/gate.ts ora usa createClient() da lib/supabase/server.ts, identico client gia' usato da ogni altra pagina autenticata dell'app. createServiceClient() resta usato SOLO dalle 2 funzioni di bootstrap signup (fuori scope, invariate) — MAI dal percorso di lettura pubblica. Nessuna nuova API pubblica introdotta: la funzione resta server-only ('server-only' import in testa al file), chiamata solo da 3 Server Component (app/privacy, app/terms, app/auth/login) — mai esposta come endpoint.</t>
  </si>
  <si>
    <t xml:space="preserve">LEGAL-21</t>
  </si>
  <si>
    <t xml:space="preserve">anonymous non puo' recuperare un documento DRAFT tramite la route pubblica</t>
  </si>
  <si>
    <t xml:space="preserve">Verifica live via Supabase MCP (MIGRATION_29 LIVE POST-CHECK, task #605)</t>
  </si>
  <si>
    <t xml:space="preserve">Transazione con ROLLBACK: insert 1 riga DRAFT (published_at=null) + 1 CURRENT + 1 SUPERSEDED per 'terms' -&gt; set local role anon -&gt; SELECT -&gt; rollback</t>
  </si>
  <si>
    <t xml:space="preserve">anon vede SOLO la riga CURRENT PUBLISHED; la riga DRAFT non compare mai nel resultset, in nessuna condizione</t>
  </si>
  <si>
    <t xml:space="preserve">#605</t>
  </si>
  <si>
    <t xml:space="preserve">Verificato LIVE il 25/08/2026 a livello RLS/DB diretto (query reali con ROLLBACK, nessun dato persistito) contro il progetto Supabase eagsgfxunwyyxwwilldy. Questo prova il meccanismo che la route /privacy e /terms ora usa dopo la remediation (LEGAL-20) — una prova END-TO-END tramite richiesta HTTP anonima reale contro la pagina deployata richiede un documento reale pubblicato (0 righe oggi) ed e' quindi REQUIRES LIVE DEPLOY per la parte di rendering pagina; la parte RLS (l'unica che decide cosa e' davvero recuperabile) e' gia' verificata qui.</t>
  </si>
  <si>
    <t xml:space="preserve">LEGAL-22</t>
  </si>
  <si>
    <t xml:space="preserve">un utente authenticated normale (non platform_admin) non puo' recuperare un DRAFT</t>
  </si>
  <si>
    <t xml:space="preserve">Transazione con ROLLBACK: stessi 3 documenti di test -&gt; set local role authenticated + request.jwt.claims.sub = id di un profilo role='parent' reale -&gt; SELECT -&gt; rollback</t>
  </si>
  <si>
    <t xml:space="preserve">L'utente authenticated vede CURRENT PUBLISHED + SUPERSEDED (2 righe), MAI la riga DRAFT</t>
  </si>
  <si>
    <t xml:space="preserve">Verificato LIVE il 25/08/2026 con simulazione di ruolo reale (set local role authenticated + request.jwt.claims con lo user id di un profilo Parent esistente in produzione), non un mock. Nessun dato persistito (ROLLBACK). Corrisponde esattamente alla policy 'Legal documents: lettura autenticata (pubblicati, non bozze)' di migration_29.</t>
  </si>
  <si>
    <t xml:space="preserve">LEGAL-23</t>
  </si>
  <si>
    <t xml:space="preserve">Legal Gate - Admin path</t>
  </si>
  <si>
    <t xml:space="preserve">platform_admin puo' recuperare un DRAFT tramite il percorso Admin/interno</t>
  </si>
  <si>
    <t xml:space="preserve">Verifica live via Supabase MCP (task #605) + revisione codice app/admin/legal/page.tsx</t>
  </si>
  <si>
    <t xml:space="preserve">(a) Transazione con ROLLBACK: stessi 3 documenti di test -&gt; set local role authenticated + request.jwt.claims.sub = id del profilo role='platform_admin' reale -&gt; SELECT -&gt; rollback. (b) Lettura del codice: app/admin/legal/page.tsx usa createClient() standard (non service-role) + listDocumentsByType(), protetta da AccessGate requiredRole='platform_admin' in app/admin/layout.tsx</t>
  </si>
  <si>
    <t xml:space="preserve">(a) il platform_admin vede tutte e 3 le righe incluso il DRAFT (via policy 'Legal documents: solo Admin scrive', cmd ALL, is_platform_admin()). (b) la pagina Admin non introduce alcun bypass aggiuntivo: si affida alla stessa policy RLS gia' verificata in (a)</t>
  </si>
  <si>
    <t xml:space="preserve">Parte (a) verificata LIVE il 25/08/2026 (query reali con ROLLBACK, nessun dato persistito). Parte (b) verificata per lettura diretta del file app/admin/legal/page.tsx (nessun createServiceClient, nessun bypass RLS aggiuntivo lato Admin). Una prova END-TO-END tramite login reale come platform_admin + rendering della pagina /admin/legal e' REQUIRES LIVE DEPLOY (deferita a Fabrizio).</t>
  </si>
  <si>
    <t xml:space="preserve">TC-N685</t>
  </si>
  <si>
    <t xml:space="preserve">'Non mi serve' in NEXTGEN Planner esclude/ripristina una settimana (parita' con LEGACY)</t>
  </si>
  <si>
    <t xml:space="preserve">Account genitore di test con almeno una settimana scoperta futura; deploy con Supabase configurato</t>
  </si>
  <si>
    <t xml:space="preserve">Vai su /nextgen/planner -&gt; clicca 'Non mi serve' sulla prima riga scoperta -&gt; verifica etichetta 'Non ti serve' + bottone 'Ripristina' + contatore aggiornato -&gt; clicca 'Ripristina' -&gt; verifica ritorno allo stato scoperto + contatore ripristinato</t>
  </si>
  <si>
    <t xml:space="preserve">toggleWeekDismissedAction (gia' esistente, app/actions/profile.ts) ora raggiungibile anche da NEXTGEN, non solo da LEGACY (components/PlannerView.tsx): stesso campo profiles.dismissed_weeks, stesso comportamento, nessuna nuova azione/tabella. Segnalato da Fabrizio (26/08/2026): l'azione esisteva solo lato Legacy.</t>
  </si>
  <si>
    <t xml:space="preserve">#630</t>
  </si>
  <si>
    <t xml:space="preserve">Wiring UI mancante colmato in app/nextgen/planner/PlannerClient.tsx: stato locale dismissedOverrides (optimistic update) + router.refresh() dopo il salvataggio per riallineare priorityIndex/coveredNeededCount calcolati server-side in page.tsx. Test gated isRealDeployment (richiede browser reale, non eseguibile in questo sandbox).</t>
  </si>
  <si>
    <t xml:space="preserve">ONB-P01</t>
  </si>
  <si>
    <t xml:space="preserve">NEXTGEN - Onboarding Parent</t>
  </si>
  <si>
    <t xml:space="preserve">Parent prima esperienza -&gt; carousel di onboarding visibile</t>
  </si>
  <si>
    <t xml:space="preserve">Account genitore di test in cohort TRAMA_ONE_ENABLED, tutorial 'parent_beta_onboarding' mai risolto (not_started)</t>
  </si>
  <si>
    <t xml:space="preserve">Login come genitore -&gt; vai su /nextgen</t>
  </si>
  <si>
    <t xml:space="preserve">Il carousel (role=dialog, aria-modal) appare automaticamente con titolo 'Benvenuto in TRAMA', progress 1/5, CTA 'Continua' e 'Salta' visibili</t>
  </si>
  <si>
    <t xml:space="preserve">Onboarding Carousel Beta</t>
  </si>
  <si>
    <t xml:space="preserve">Test in tests/nextgen/onboarding-carousel.spec.ts, gated isRealDeployment.</t>
  </si>
  <si>
    <t xml:space="preserve">ONB-P02</t>
  </si>
  <si>
    <t xml:space="preserve">Parent con onboarding gia' risolto -&gt; il carousel non compare piu'</t>
  </si>
  <si>
    <t xml:space="preserve">Come ONB-P01</t>
  </si>
  <si>
    <t xml:space="preserve">Se il carousel e' visibile, clicca 'Salta' -&gt; ricarica la pagina</t>
  </si>
  <si>
    <t xml:space="preserve">Dopo il reload il carousel NON ricompare (stato persistito su tutorial_progress, non solo useState locale)</t>
  </si>
  <si>
    <t xml:space="preserve">Idem.</t>
  </si>
  <si>
    <t xml:space="preserve">ONB-P03</t>
  </si>
  <si>
    <t xml:space="preserve">'Salta' persiste il completamento (nessuna conferma richiesta)</t>
  </si>
  <si>
    <t xml:space="preserve">Carousel visibile (prima esperienza)</t>
  </si>
  <si>
    <t xml:space="preserve">Clicca 'Salta' su una slide qualsiasi</t>
  </si>
  <si>
    <t xml:space="preserve">Il carousel si chiude immediatamente (nessun popup di conferma) e resta chiuso dopo reload</t>
  </si>
  <si>
    <t xml:space="preserve">ONB-P04</t>
  </si>
  <si>
    <t xml:space="preserve">Completare le 5 slide (Continua x4 + CTA finale) persiste il completamento</t>
  </si>
  <si>
    <t xml:space="preserve">Clicca 'Continua' su slide 1-4, poi 'Inizia a esplorare' sulla slide 5</t>
  </si>
  <si>
    <t xml:space="preserve">Il carousel si chiude e resta chiuso dopo reload (stato 'completed' su tutorial_progress)</t>
  </si>
  <si>
    <t xml:space="preserve">ONB-P05</t>
  </si>
  <si>
    <t xml:space="preserve">Partner non vede mai il carousel Parent</t>
  </si>
  <si>
    <t xml:space="preserve">Account gestore di test</t>
  </si>
  <si>
    <t xml:space="preserve">Login come gestore -&gt; vai su /center</t>
  </si>
  <si>
    <t xml:space="preserve">Nessun dialog 'Benvenuto in TRAMA' ne' testo 'Adesso prova TRAMA' in pagina</t>
  </si>
  <si>
    <t xml:space="preserve">Componente montato solo in app/nextgen/layout.tsx, mai in app/center/layout.tsx.</t>
  </si>
  <si>
    <t xml:space="preserve">ONB-P06</t>
  </si>
  <si>
    <t xml:space="preserve">Admin non vede mai il carousel Parent</t>
  </si>
  <si>
    <t xml:space="preserve">Account platform admin di test</t>
  </si>
  <si>
    <t xml:space="preserve">Login come admin -&gt; vai su /admin</t>
  </si>
  <si>
    <t xml:space="preserve">Componente montato solo in app/nextgen/layout.tsx, mai in app/admin/layout.tsx.</t>
  </si>
  <si>
    <t xml:space="preserve">ONB-P07</t>
  </si>
  <si>
    <t xml:space="preserve">Legal Gate pending impedisce di raggiungere l'onboarding carousel</t>
  </si>
  <si>
    <t xml:space="preserve">Deploy dedicato con LEGAL_TERMS_GATE=ON (mai attivato globalmente in questa sessione) + account senza legal_acceptances</t>
  </si>
  <si>
    <t xml:space="preserve">Login come genitore -&gt; tentare di raggiungere /nextgen</t>
  </si>
  <si>
    <t xml:space="preserve">Redirect a /auth/legal-pending PRIMA di qualunque possibilita' di vedere il carousel</t>
  </si>
  <si>
    <t xml:space="preserve">Ordinamento garantito per costruzione: redirect legale avviene in app/auth/callback/route.ts, prima di app/nextgen/layout.tsx. Non eseguibile nella suite ordinaria (flag resta OFF).</t>
  </si>
  <si>
    <t xml:space="preserve">ONB-P08</t>
  </si>
  <si>
    <t xml:space="preserve">La slide 4 (richiesta) contiene testualmente 'In attesa'</t>
  </si>
  <si>
    <t xml:space="preserve">Nessuna (dati puri)</t>
  </si>
  <si>
    <t xml:space="preserve">Verifica diretta di ONBOARDING_REQUEST_FLOW e del titolo della slide 4 in lib/nextgen/onboarding-slides.ts</t>
  </si>
  <si>
    <t xml:space="preserve">'In attesa' presente nel flow; slide4.title === 'Tu chiedi. Il centro risponde.'</t>
  </si>
  <si>
    <t xml:space="preserve">Test [no browser], eseguito con successo in questa sessione (npx playwright test --project=chromium).</t>
  </si>
  <si>
    <t xml:space="preserve">ONB-P09</t>
  </si>
  <si>
    <t xml:space="preserve">Nessuna slide menziona scoring/AI ranking ('Match 99%' o simili)</t>
  </si>
  <si>
    <t xml:space="preserve">Verifica regex su titolo/body/microcopy di tutte le 5 slide</t>
  </si>
  <si>
    <t xml:space="preserve">Nessuna occorrenza di 'match NN%', 'scoring', 'ranking'</t>
  </si>
  <si>
    <t xml:space="preserve">Test [no browser], eseguito con successo in questa sessione.</t>
  </si>
  <si>
    <t xml:space="preserve">ONB-P10</t>
  </si>
  <si>
    <t xml:space="preserve">Nessuna slide menziona pagamento/checkout/carta/transazione</t>
  </si>
  <si>
    <t xml:space="preserve">Nessuna occorrenza di pagamento/checkout/carta di credito/transazione/totale da pagare</t>
  </si>
  <si>
    <t xml:space="preserve">ONB-P11</t>
  </si>
  <si>
    <t xml:space="preserve">390px: nessun overflow orizzontale evidente nel carousel</t>
  </si>
  <si>
    <t xml:space="preserve">Carousel visibile (prima esperienza), viewport 390x844</t>
  </si>
  <si>
    <t xml:space="preserve">Login come genitore -&gt; vai su /nextgen a 390px -&gt; misura document.documentElement.scrollWidth vs window.innerWidth</t>
  </si>
  <si>
    <t xml:space="preserve">Overflow orizzontale &lt;= 1px (tolleranza subpixel)</t>
  </si>
  <si>
    <t xml:space="preserve">ONB-P12</t>
  </si>
  <si>
    <t xml:space="preserve">Tastiera/focus di base: focus iniziale sul dialog, freccia destra avanza, Escape salta</t>
  </si>
  <si>
    <t xml:space="preserve">Vai su /nextgen -&gt; verifica focus sul dialog -&gt; premi ArrowRight -&gt; verifica progress 2/5 -&gt; premi Escape</t>
  </si>
  <si>
    <t xml:space="preserve">Il dialog ha il focus alla comparsa; ArrowRight avanza alla slide successiva; Escape chiude il carousel (equivalente a 'Salta')</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</si>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</sst>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sz val="11"/>
      <name val="Calibri"/>
      <family val="0"/>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37"/>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538</v>
      </c>
      <c r="H86" s="15" t="str">
        <f aca="false">IF(G86="BUG","BUG-"&amp;A86,IF(G86="FUNCTIONAL","FUNCTIONAL-"&amp;A86,""))</f>
        <v/>
      </c>
      <c r="I86" s="15" t="s">
        <v>56</v>
      </c>
      <c r="J86" s="15" t="s">
        <v>539</v>
      </c>
      <c r="K86" s="16" t="s">
        <v>540</v>
      </c>
      <c r="L86" s="16" t="s">
        <v>541</v>
      </c>
    </row>
    <row r="87" customFormat="false" ht="45" hidden="false" customHeight="true" outlineLevel="0" collapsed="false">
      <c r="A87" s="17" t="s">
        <v>542</v>
      </c>
      <c r="B87" s="15" t="s">
        <v>525</v>
      </c>
      <c r="C87" s="15" t="s">
        <v>543</v>
      </c>
      <c r="D87" s="15" t="s">
        <v>61</v>
      </c>
      <c r="E87" s="15" t="s">
        <v>544</v>
      </c>
      <c r="F87" s="15" t="s">
        <v>545</v>
      </c>
      <c r="G87" s="15"/>
      <c r="H87" s="15" t="str">
        <f aca="false">IF(G87="BUG","BUG-"&amp;A87,IF(G87="FUNCTIONAL","FUNCTIONAL-"&amp;A87,""))</f>
        <v/>
      </c>
      <c r="I87" s="15" t="s">
        <v>42</v>
      </c>
      <c r="J87" s="15"/>
      <c r="K87" s="16"/>
      <c r="L87" s="16"/>
    </row>
    <row r="88" customFormat="false" ht="45" hidden="false" customHeight="true" outlineLevel="0" collapsed="false">
      <c r="A88" s="17" t="s">
        <v>546</v>
      </c>
      <c r="B88" s="15" t="s">
        <v>525</v>
      </c>
      <c r="C88" s="15" t="s">
        <v>547</v>
      </c>
      <c r="D88" s="15" t="s">
        <v>548</v>
      </c>
      <c r="E88" s="15" t="s">
        <v>549</v>
      </c>
      <c r="F88" s="15" t="s">
        <v>550</v>
      </c>
      <c r="G88" s="15" t="s">
        <v>538</v>
      </c>
      <c r="H88" s="15" t="str">
        <f aca="false">IF(G88="BUG","BUG-"&amp;A88,IF(G88="FUNCTIONAL","FUNCTIONAL-"&amp;A88,""))</f>
        <v/>
      </c>
      <c r="I88" s="15" t="s">
        <v>65</v>
      </c>
      <c r="J88" s="15" t="s">
        <v>539</v>
      </c>
      <c r="K88" s="16" t="s">
        <v>540</v>
      </c>
      <c r="L88" s="16" t="s">
        <v>551</v>
      </c>
    </row>
    <row r="89" customFormat="false" ht="45" hidden="false" customHeight="true" outlineLevel="0" collapsed="false">
      <c r="A89" s="17" t="s">
        <v>552</v>
      </c>
      <c r="B89" s="15" t="s">
        <v>525</v>
      </c>
      <c r="C89" s="15" t="s">
        <v>553</v>
      </c>
      <c r="D89" s="15" t="s">
        <v>61</v>
      </c>
      <c r="E89" s="15" t="s">
        <v>554</v>
      </c>
      <c r="F89" s="15" t="s">
        <v>555</v>
      </c>
      <c r="G89" s="15"/>
      <c r="H89" s="15" t="str">
        <f aca="false">IF(G89="BUG","BUG-"&amp;A89,IF(G89="FUNCTIONAL","FUNCTIONAL-"&amp;A89,""))</f>
        <v/>
      </c>
      <c r="I89" s="15" t="s">
        <v>42</v>
      </c>
      <c r="J89" s="15"/>
      <c r="K89" s="16"/>
      <c r="L89" s="16"/>
    </row>
    <row r="90" customFormat="false" ht="45" hidden="false" customHeight="true" outlineLevel="0" collapsed="false">
      <c r="A90" s="17" t="s">
        <v>556</v>
      </c>
      <c r="B90" s="15" t="s">
        <v>557</v>
      </c>
      <c r="C90" s="15" t="s">
        <v>558</v>
      </c>
      <c r="D90" s="15" t="s">
        <v>559</v>
      </c>
      <c r="E90" s="15" t="s">
        <v>560</v>
      </c>
      <c r="F90" s="15" t="s">
        <v>561</v>
      </c>
      <c r="G90" s="15"/>
      <c r="H90" s="15" t="str">
        <f aca="false">IF(G90="BUG","BUG-"&amp;A90,IF(G90="FUNCTIONAL","FUNCTIONAL-"&amp;A90,""))</f>
        <v/>
      </c>
      <c r="I90" s="15" t="s">
        <v>42</v>
      </c>
      <c r="J90" s="15"/>
      <c r="K90" s="16"/>
      <c r="L90" s="16" t="s">
        <v>562</v>
      </c>
    </row>
    <row r="91" customFormat="false" ht="45" hidden="false" customHeight="true" outlineLevel="0" collapsed="false">
      <c r="A91" s="17" t="s">
        <v>563</v>
      </c>
      <c r="B91" s="15" t="s">
        <v>564</v>
      </c>
      <c r="C91" s="15" t="s">
        <v>565</v>
      </c>
      <c r="D91" s="15" t="s">
        <v>566</v>
      </c>
      <c r="E91" s="15" t="s">
        <v>567</v>
      </c>
      <c r="F91" s="15" t="s">
        <v>568</v>
      </c>
      <c r="G91" s="15"/>
      <c r="H91" s="15" t="str">
        <f aca="false">IF(G91="BUG","BUG-"&amp;A91,IF(G91="FUNCTIONAL","FUNCTIONAL-"&amp;A91,""))</f>
        <v/>
      </c>
      <c r="I91" s="15" t="s">
        <v>42</v>
      </c>
      <c r="J91" s="15"/>
      <c r="K91" s="16"/>
      <c r="L91" s="16"/>
    </row>
    <row r="92" customFormat="false" ht="45" hidden="false" customHeight="true" outlineLevel="0" collapsed="false">
      <c r="A92" s="17" t="s">
        <v>569</v>
      </c>
      <c r="B92" s="15" t="s">
        <v>564</v>
      </c>
      <c r="C92" s="15" t="s">
        <v>570</v>
      </c>
      <c r="D92" s="15" t="s">
        <v>61</v>
      </c>
      <c r="E92" s="15" t="s">
        <v>571</v>
      </c>
      <c r="F92" s="15" t="s">
        <v>572</v>
      </c>
      <c r="G92" s="15" t="s">
        <v>64</v>
      </c>
      <c r="H92" s="15" t="str">
        <f aca="false">IF(G92="BUG","BUG-"&amp;A92,IF(G92="FUNCTIONAL","FUNCTIONAL-"&amp;A92,""))</f>
        <v>FUNCTIONAL-TC-091</v>
      </c>
      <c r="I92" s="15" t="s">
        <v>56</v>
      </c>
      <c r="J92" s="15" t="s">
        <v>573</v>
      </c>
      <c r="K92" s="16" t="s">
        <v>574</v>
      </c>
      <c r="L92" s="16" t="s">
        <v>575</v>
      </c>
    </row>
    <row r="93" customFormat="false" ht="45" hidden="false" customHeight="true" outlineLevel="0" collapsed="false">
      <c r="A93" s="17" t="s">
        <v>576</v>
      </c>
      <c r="B93" s="15" t="s">
        <v>564</v>
      </c>
      <c r="C93" s="15" t="s">
        <v>577</v>
      </c>
      <c r="D93" s="15" t="s">
        <v>61</v>
      </c>
      <c r="E93" s="15" t="s">
        <v>578</v>
      </c>
      <c r="F93" s="15" t="s">
        <v>579</v>
      </c>
      <c r="G93" s="15" t="s">
        <v>64</v>
      </c>
      <c r="H93" s="15" t="str">
        <f aca="false">IF(G93="BUG","BUG-"&amp;A93,IF(G93="FUNCTIONAL","FUNCTIONAL-"&amp;A93,""))</f>
        <v>FUNCTIONAL-TC-092</v>
      </c>
      <c r="I93" s="15" t="s">
        <v>65</v>
      </c>
      <c r="J93" s="15" t="s">
        <v>573</v>
      </c>
      <c r="K93" s="16" t="s">
        <v>574</v>
      </c>
      <c r="L93" s="16" t="s">
        <v>580</v>
      </c>
    </row>
    <row r="94" customFormat="false" ht="45" hidden="false" customHeight="true" outlineLevel="0" collapsed="false">
      <c r="A94" s="17" t="s">
        <v>581</v>
      </c>
      <c r="B94" s="15" t="s">
        <v>582</v>
      </c>
      <c r="C94" s="15" t="s">
        <v>583</v>
      </c>
      <c r="D94" s="15" t="s">
        <v>584</v>
      </c>
      <c r="E94" s="15" t="s">
        <v>585</v>
      </c>
      <c r="F94" s="15" t="s">
        <v>586</v>
      </c>
      <c r="G94" s="15"/>
      <c r="H94" s="15" t="str">
        <f aca="false">IF(G94="BUG","BUG-"&amp;A94,IF(G94="FUNCTIONAL","FUNCTIONAL-"&amp;A94,""))</f>
        <v/>
      </c>
      <c r="I94" s="15" t="s">
        <v>42</v>
      </c>
      <c r="J94" s="15"/>
      <c r="K94" s="16"/>
      <c r="L94" s="16"/>
    </row>
    <row r="95" customFormat="false" ht="45" hidden="false" customHeight="true" outlineLevel="0" collapsed="false">
      <c r="A95" s="17" t="s">
        <v>587</v>
      </c>
      <c r="B95" s="15" t="s">
        <v>582</v>
      </c>
      <c r="C95" s="15" t="s">
        <v>588</v>
      </c>
      <c r="D95" s="15" t="s">
        <v>61</v>
      </c>
      <c r="E95" s="15" t="s">
        <v>589</v>
      </c>
      <c r="F95" s="15" t="s">
        <v>590</v>
      </c>
      <c r="G95" s="15"/>
      <c r="H95" s="15" t="str">
        <f aca="false">IF(G95="BUG","BUG-"&amp;A95,IF(G95="FUNCTIONAL","FUNCTIONAL-"&amp;A95,""))</f>
        <v/>
      </c>
      <c r="I95" s="15" t="s">
        <v>42</v>
      </c>
      <c r="J95" s="15"/>
      <c r="K95" s="16"/>
      <c r="L95" s="16"/>
    </row>
    <row r="96" customFormat="false" ht="45" hidden="false" customHeight="true" outlineLevel="0" collapsed="false">
      <c r="A96" s="17" t="s">
        <v>591</v>
      </c>
      <c r="B96" s="15" t="s">
        <v>582</v>
      </c>
      <c r="C96" s="15" t="s">
        <v>592</v>
      </c>
      <c r="D96" s="15" t="s">
        <v>593</v>
      </c>
      <c r="E96" s="15" t="s">
        <v>594</v>
      </c>
      <c r="F96" s="15" t="s">
        <v>595</v>
      </c>
      <c r="G96" s="15"/>
      <c r="H96" s="15" t="str">
        <f aca="false">IF(G96="BUG","BUG-"&amp;A96,IF(G96="FUNCTIONAL","FUNCTIONAL-"&amp;A96,""))</f>
        <v/>
      </c>
      <c r="I96" s="15" t="s">
        <v>42</v>
      </c>
      <c r="J96" s="15"/>
      <c r="K96" s="16"/>
      <c r="L96" s="16"/>
    </row>
    <row r="97" customFormat="false" ht="45" hidden="false" customHeight="true" outlineLevel="0" collapsed="false">
      <c r="A97" s="17" t="s">
        <v>596</v>
      </c>
      <c r="B97" s="15" t="s">
        <v>582</v>
      </c>
      <c r="C97" s="15" t="s">
        <v>597</v>
      </c>
      <c r="D97" s="15" t="s">
        <v>598</v>
      </c>
      <c r="E97" s="15" t="s">
        <v>599</v>
      </c>
      <c r="F97" s="15" t="s">
        <v>600</v>
      </c>
      <c r="G97" s="15" t="s">
        <v>41</v>
      </c>
      <c r="H97" s="15" t="str">
        <f aca="false">IF(G97="BUG","BUG-"&amp;A97,IF(G97="FUNCTIONAL","FUNCTIONAL-"&amp;A97,""))</f>
        <v/>
      </c>
      <c r="I97" s="15" t="s">
        <v>56</v>
      </c>
      <c r="J97" s="15"/>
      <c r="K97" s="16"/>
      <c r="L97" s="16" t="s">
        <v>601</v>
      </c>
    </row>
    <row r="98" customFormat="false" ht="45" hidden="false" customHeight="true" outlineLevel="0" collapsed="false">
      <c r="A98" s="17" t="s">
        <v>602</v>
      </c>
      <c r="B98" s="15" t="s">
        <v>582</v>
      </c>
      <c r="C98" s="15" t="s">
        <v>603</v>
      </c>
      <c r="D98" s="15" t="s">
        <v>604</v>
      </c>
      <c r="E98" s="15" t="s">
        <v>605</v>
      </c>
      <c r="F98" s="15" t="s">
        <v>606</v>
      </c>
      <c r="G98" s="15"/>
      <c r="H98" s="15" t="str">
        <f aca="false">IF(G98="BUG","BUG-"&amp;A98,IF(G98="FUNCTIONAL","FUNCTIONAL-"&amp;A98,""))</f>
        <v/>
      </c>
      <c r="I98" s="15" t="s">
        <v>42</v>
      </c>
      <c r="J98" s="15" t="s">
        <v>607</v>
      </c>
      <c r="K98" s="16" t="s">
        <v>608</v>
      </c>
      <c r="L98" s="16" t="s">
        <v>609</v>
      </c>
    </row>
    <row r="99" customFormat="false" ht="45" hidden="false" customHeight="true" outlineLevel="0" collapsed="false">
      <c r="A99" s="17" t="s">
        <v>610</v>
      </c>
      <c r="B99" s="15" t="s">
        <v>611</v>
      </c>
      <c r="C99" s="15" t="s">
        <v>612</v>
      </c>
      <c r="D99" s="15" t="s">
        <v>613</v>
      </c>
      <c r="E99" s="15" t="s">
        <v>614</v>
      </c>
      <c r="F99" s="15" t="s">
        <v>615</v>
      </c>
      <c r="G99" s="15" t="s">
        <v>64</v>
      </c>
      <c r="H99" s="15" t="str">
        <f aca="false">IF(G99="BUG","BUG-"&amp;A99,IF(G99="FUNCTIONAL","FUNCTIONAL-"&amp;A99,""))</f>
        <v>FUNCTIONAL-TC-098</v>
      </c>
      <c r="I99" s="15" t="s">
        <v>65</v>
      </c>
      <c r="J99" s="15" t="s">
        <v>616</v>
      </c>
      <c r="K99" s="16" t="s">
        <v>617</v>
      </c>
      <c r="L99" s="16" t="s">
        <v>618</v>
      </c>
    </row>
    <row r="100" customFormat="false" ht="45" hidden="false" customHeight="true" outlineLevel="0" collapsed="false">
      <c r="A100" s="17" t="s">
        <v>619</v>
      </c>
      <c r="B100" s="15" t="s">
        <v>611</v>
      </c>
      <c r="C100" s="15" t="s">
        <v>620</v>
      </c>
      <c r="D100" s="15" t="s">
        <v>61</v>
      </c>
      <c r="E100" s="15" t="s">
        <v>621</v>
      </c>
      <c r="F100" s="15" t="s">
        <v>622</v>
      </c>
      <c r="G100" s="15" t="s">
        <v>64</v>
      </c>
      <c r="H100" s="15" t="str">
        <f aca="false">IF(G100="BUG","BUG-"&amp;A100,IF(G100="FUNCTIONAL","FUNCTIONAL-"&amp;A100,""))</f>
        <v>FUNCTIONAL-TC-099</v>
      </c>
      <c r="I100" s="15" t="s">
        <v>65</v>
      </c>
      <c r="J100" s="15" t="s">
        <v>623</v>
      </c>
      <c r="K100" s="16" t="s">
        <v>624</v>
      </c>
      <c r="L100" s="16" t="s">
        <v>625</v>
      </c>
    </row>
    <row r="101" customFormat="false" ht="45" hidden="false" customHeight="true" outlineLevel="0" collapsed="false">
      <c r="A101" s="17" t="s">
        <v>626</v>
      </c>
      <c r="B101" s="15" t="s">
        <v>611</v>
      </c>
      <c r="C101" s="15" t="s">
        <v>627</v>
      </c>
      <c r="D101" s="15" t="s">
        <v>628</v>
      </c>
      <c r="E101" s="15" t="s">
        <v>629</v>
      </c>
      <c r="F101" s="15" t="s">
        <v>630</v>
      </c>
      <c r="G101" s="15" t="s">
        <v>64</v>
      </c>
      <c r="H101" s="15" t="str">
        <f aca="false">IF(G101="BUG","BUG-"&amp;A101,IF(G101="FUNCTIONAL","FUNCTIONAL-"&amp;A101,""))</f>
        <v>FUNCTIONAL-TC-100</v>
      </c>
      <c r="I101" s="15" t="s">
        <v>65</v>
      </c>
      <c r="J101" s="15" t="s">
        <v>631</v>
      </c>
      <c r="K101" s="16" t="s">
        <v>632</v>
      </c>
      <c r="L101" s="16" t="s">
        <v>633</v>
      </c>
    </row>
    <row r="102" customFormat="false" ht="45" hidden="false" customHeight="true" outlineLevel="0" collapsed="false">
      <c r="A102" s="14" t="s">
        <v>634</v>
      </c>
      <c r="B102" s="15" t="s">
        <v>635</v>
      </c>
      <c r="C102" s="15" t="s">
        <v>636</v>
      </c>
      <c r="D102" s="15" t="s">
        <v>637</v>
      </c>
      <c r="E102" s="15" t="s">
        <v>638</v>
      </c>
      <c r="F102" s="15" t="s">
        <v>639</v>
      </c>
      <c r="G102" s="15" t="s">
        <v>74</v>
      </c>
      <c r="H102" s="15" t="str">
        <f aca="false">IF(G102="BUG","BUG-"&amp;A102,IF(G102="FUNCTIONAL","FUNCTIONAL-"&amp;A102,""))</f>
        <v/>
      </c>
      <c r="I102" s="15" t="s">
        <v>42</v>
      </c>
      <c r="J102" s="15" t="s">
        <v>640</v>
      </c>
      <c r="K102" s="16" t="s">
        <v>641</v>
      </c>
      <c r="L102" s="16" t="s">
        <v>642</v>
      </c>
    </row>
    <row r="103" customFormat="false" ht="45" hidden="false" customHeight="true" outlineLevel="0" collapsed="false">
      <c r="A103" s="14" t="s">
        <v>643</v>
      </c>
      <c r="B103" s="15" t="s">
        <v>635</v>
      </c>
      <c r="C103" s="15" t="s">
        <v>644</v>
      </c>
      <c r="D103" s="15" t="s">
        <v>645</v>
      </c>
      <c r="E103" s="15" t="s">
        <v>646</v>
      </c>
      <c r="F103" s="15" t="s">
        <v>647</v>
      </c>
      <c r="G103" s="15" t="s">
        <v>74</v>
      </c>
      <c r="H103" s="15" t="str">
        <f aca="false">IF(G103="BUG","BUG-"&amp;A103,IF(G103="FUNCTIONAL","FUNCTIONAL-"&amp;A103,""))</f>
        <v/>
      </c>
      <c r="I103" s="15" t="s">
        <v>42</v>
      </c>
      <c r="J103" s="15" t="s">
        <v>648</v>
      </c>
      <c r="K103" s="16" t="s">
        <v>641</v>
      </c>
      <c r="L103" s="16" t="s">
        <v>649</v>
      </c>
    </row>
    <row r="104" customFormat="false" ht="45" hidden="false" customHeight="true" outlineLevel="0" collapsed="false">
      <c r="A104" s="14" t="s">
        <v>650</v>
      </c>
      <c r="B104" s="15" t="s">
        <v>635</v>
      </c>
      <c r="C104" s="15" t="s">
        <v>651</v>
      </c>
      <c r="D104" s="15" t="s">
        <v>652</v>
      </c>
      <c r="E104" s="15" t="s">
        <v>653</v>
      </c>
      <c r="F104" s="15" t="s">
        <v>654</v>
      </c>
      <c r="G104" s="15" t="s">
        <v>74</v>
      </c>
      <c r="H104" s="15" t="str">
        <f aca="false">IF(G104="BUG","BUG-"&amp;A104,IF(G104="FUNCTIONAL","FUNCTIONAL-"&amp;A104,""))</f>
        <v/>
      </c>
      <c r="I104" s="15" t="s">
        <v>56</v>
      </c>
      <c r="J104" s="15" t="s">
        <v>655</v>
      </c>
      <c r="K104" s="16" t="s">
        <v>656</v>
      </c>
      <c r="L104" s="16" t="s">
        <v>657</v>
      </c>
    </row>
    <row r="105" customFormat="false" ht="45" hidden="false" customHeight="true" outlineLevel="0" collapsed="false">
      <c r="A105" s="14" t="s">
        <v>658</v>
      </c>
      <c r="B105" s="15" t="s">
        <v>635</v>
      </c>
      <c r="C105" s="15" t="s">
        <v>659</v>
      </c>
      <c r="D105" s="15" t="s">
        <v>660</v>
      </c>
      <c r="E105" s="15" t="s">
        <v>661</v>
      </c>
      <c r="F105" s="15" t="s">
        <v>662</v>
      </c>
      <c r="G105" s="15" t="s">
        <v>74</v>
      </c>
      <c r="H105" s="15" t="str">
        <f aca="false">IF(G105="BUG","BUG-"&amp;A105,IF(G105="FUNCTIONAL","FUNCTIONAL-"&amp;A105,""))</f>
        <v/>
      </c>
      <c r="I105" s="15" t="s">
        <v>65</v>
      </c>
      <c r="J105" s="15" t="s">
        <v>663</v>
      </c>
      <c r="K105" s="16" t="s">
        <v>664</v>
      </c>
      <c r="L105" s="16" t="s">
        <v>665</v>
      </c>
    </row>
    <row r="106" customFormat="false" ht="45" hidden="false" customHeight="true" outlineLevel="0" collapsed="false">
      <c r="A106" s="14" t="s">
        <v>666</v>
      </c>
      <c r="B106" s="15" t="s">
        <v>635</v>
      </c>
      <c r="C106" s="15" t="s">
        <v>667</v>
      </c>
      <c r="D106" s="15" t="s">
        <v>668</v>
      </c>
      <c r="E106" s="15" t="s">
        <v>669</v>
      </c>
      <c r="F106" s="15" t="s">
        <v>670</v>
      </c>
      <c r="G106" s="15" t="s">
        <v>74</v>
      </c>
      <c r="H106" s="15" t="str">
        <f aca="false">IF(G106="BUG","BUG-"&amp;A106,IF(G106="FUNCTIONAL","FUNCTIONAL-"&amp;A106,""))</f>
        <v/>
      </c>
      <c r="I106" s="15" t="s">
        <v>56</v>
      </c>
      <c r="J106" s="15" t="s">
        <v>671</v>
      </c>
      <c r="K106" s="16" t="s">
        <v>664</v>
      </c>
      <c r="L106" s="16" t="s">
        <v>672</v>
      </c>
    </row>
    <row r="107" customFormat="false" ht="45" hidden="false" customHeight="true" outlineLevel="0" collapsed="false">
      <c r="A107" s="14" t="s">
        <v>673</v>
      </c>
      <c r="B107" s="15" t="s">
        <v>635</v>
      </c>
      <c r="C107" s="15" t="s">
        <v>674</v>
      </c>
      <c r="D107" s="15" t="s">
        <v>675</v>
      </c>
      <c r="E107" s="15" t="s">
        <v>676</v>
      </c>
      <c r="F107" s="15" t="s">
        <v>677</v>
      </c>
      <c r="G107" s="15" t="s">
        <v>74</v>
      </c>
      <c r="H107" s="15" t="str">
        <f aca="false">IF(G107="BUG","BUG-"&amp;A107,IF(G107="FUNCTIONAL","FUNCTIONAL-"&amp;A107,""))</f>
        <v/>
      </c>
      <c r="I107" s="15" t="s">
        <v>42</v>
      </c>
      <c r="J107" s="15" t="s">
        <v>678</v>
      </c>
      <c r="K107" s="16" t="s">
        <v>656</v>
      </c>
      <c r="L107" s="16" t="s">
        <v>679</v>
      </c>
    </row>
    <row r="108" customFormat="false" ht="45" hidden="false" customHeight="true" outlineLevel="0" collapsed="false">
      <c r="A108" s="14" t="s">
        <v>680</v>
      </c>
      <c r="B108" s="15" t="s">
        <v>635</v>
      </c>
      <c r="C108" s="15" t="s">
        <v>681</v>
      </c>
      <c r="D108" s="15" t="s">
        <v>682</v>
      </c>
      <c r="E108" s="15" t="s">
        <v>683</v>
      </c>
      <c r="F108" s="15" t="s">
        <v>684</v>
      </c>
      <c r="G108" s="15" t="s">
        <v>74</v>
      </c>
      <c r="H108" s="15" t="str">
        <f aca="false">IF(G108="BUG","BUG-"&amp;A108,IF(G108="FUNCTIONAL","FUNCTIONAL-"&amp;A108,""))</f>
        <v/>
      </c>
      <c r="I108" s="15" t="s">
        <v>42</v>
      </c>
      <c r="J108" s="15" t="s">
        <v>685</v>
      </c>
      <c r="K108" s="16" t="s">
        <v>656</v>
      </c>
      <c r="L108" s="16" t="s">
        <v>686</v>
      </c>
    </row>
    <row r="109" customFormat="false" ht="45" hidden="false" customHeight="true" outlineLevel="0" collapsed="false">
      <c r="A109" s="14" t="s">
        <v>687</v>
      </c>
      <c r="B109" s="15" t="s">
        <v>226</v>
      </c>
      <c r="C109" s="15" t="s">
        <v>688</v>
      </c>
      <c r="D109" s="15" t="s">
        <v>689</v>
      </c>
      <c r="E109" s="15" t="s">
        <v>690</v>
      </c>
      <c r="F109" s="15" t="s">
        <v>691</v>
      </c>
      <c r="G109" s="15" t="s">
        <v>74</v>
      </c>
      <c r="H109" s="15" t="str">
        <f aca="false">IF(G109="BUG","BUG-"&amp;A109,IF(G109="FUNCTIONAL","FUNCTIONAL-"&amp;A109,""))</f>
        <v/>
      </c>
      <c r="I109" s="15" t="s">
        <v>42</v>
      </c>
      <c r="J109" s="15" t="s">
        <v>692</v>
      </c>
      <c r="K109" s="16" t="s">
        <v>693</v>
      </c>
      <c r="L109" s="16" t="s">
        <v>694</v>
      </c>
    </row>
    <row r="110" customFormat="false" ht="45" hidden="false" customHeight="true" outlineLevel="0" collapsed="false">
      <c r="A110" s="14" t="s">
        <v>695</v>
      </c>
      <c r="B110" s="15" t="s">
        <v>226</v>
      </c>
      <c r="C110" s="15" t="s">
        <v>696</v>
      </c>
      <c r="D110" s="15" t="s">
        <v>61</v>
      </c>
      <c r="E110" s="15" t="s">
        <v>697</v>
      </c>
      <c r="F110" s="15" t="s">
        <v>698</v>
      </c>
      <c r="G110" s="15" t="s">
        <v>74</v>
      </c>
      <c r="H110" s="15" t="str">
        <f aca="false">IF(G110="BUG","BUG-"&amp;A110,IF(G110="FUNCTIONAL","FUNCTIONAL-"&amp;A110,""))</f>
        <v/>
      </c>
      <c r="I110" s="15" t="s">
        <v>65</v>
      </c>
      <c r="J110" s="15" t="s">
        <v>699</v>
      </c>
      <c r="K110" s="16" t="s">
        <v>700</v>
      </c>
      <c r="L110" s="16" t="s">
        <v>701</v>
      </c>
    </row>
    <row r="111" customFormat="false" ht="45" hidden="false" customHeight="true" outlineLevel="0" collapsed="false">
      <c r="A111" s="14" t="s">
        <v>702</v>
      </c>
      <c r="B111" s="15" t="s">
        <v>226</v>
      </c>
      <c r="C111" s="15" t="s">
        <v>703</v>
      </c>
      <c r="D111" s="15" t="s">
        <v>704</v>
      </c>
      <c r="E111" s="15" t="s">
        <v>705</v>
      </c>
      <c r="F111" s="15" t="s">
        <v>706</v>
      </c>
      <c r="G111" s="15" t="s">
        <v>74</v>
      </c>
      <c r="H111" s="15" t="str">
        <f aca="false">IF(G111="BUG","BUG-"&amp;A111,IF(G111="FUNCTIONAL","FUNCTIONAL-"&amp;A111,""))</f>
        <v/>
      </c>
      <c r="I111" s="15" t="s">
        <v>56</v>
      </c>
      <c r="J111" s="15" t="s">
        <v>707</v>
      </c>
      <c r="K111" s="16" t="s">
        <v>656</v>
      </c>
      <c r="L111" s="16" t="s">
        <v>708</v>
      </c>
    </row>
    <row r="112" customFormat="false" ht="45" hidden="false" customHeight="true" outlineLevel="0" collapsed="false">
      <c r="A112" s="14" t="s">
        <v>709</v>
      </c>
      <c r="B112" s="15" t="s">
        <v>226</v>
      </c>
      <c r="C112" s="15" t="s">
        <v>710</v>
      </c>
      <c r="D112" s="15" t="s">
        <v>711</v>
      </c>
      <c r="E112" s="15" t="s">
        <v>712</v>
      </c>
      <c r="F112" s="15" t="s">
        <v>713</v>
      </c>
      <c r="G112" s="15" t="s">
        <v>74</v>
      </c>
      <c r="H112" s="15" t="str">
        <f aca="false">IF(G112="BUG","BUG-"&amp;A112,IF(G112="FUNCTIONAL","FUNCTIONAL-"&amp;A112,""))</f>
        <v/>
      </c>
      <c r="I112" s="15" t="s">
        <v>42</v>
      </c>
      <c r="J112" s="15" t="s">
        <v>714</v>
      </c>
      <c r="K112" s="16" t="s">
        <v>656</v>
      </c>
      <c r="L112" s="16" t="s">
        <v>715</v>
      </c>
    </row>
    <row r="113" customFormat="false" ht="45" hidden="false" customHeight="true" outlineLevel="0" collapsed="false">
      <c r="A113" s="14" t="s">
        <v>716</v>
      </c>
      <c r="B113" s="15" t="s">
        <v>226</v>
      </c>
      <c r="C113" s="15" t="s">
        <v>717</v>
      </c>
      <c r="D113" s="15" t="s">
        <v>613</v>
      </c>
      <c r="E113" s="15" t="s">
        <v>718</v>
      </c>
      <c r="F113" s="15" t="s">
        <v>719</v>
      </c>
      <c r="G113" s="15" t="s">
        <v>74</v>
      </c>
      <c r="H113" s="15" t="str">
        <f aca="false">IF(G113="BUG","BUG-"&amp;A113,IF(G113="FUNCTIONAL","FUNCTIONAL-"&amp;A113,""))</f>
        <v/>
      </c>
      <c r="I113" s="15" t="s">
        <v>65</v>
      </c>
      <c r="J113" s="15" t="s">
        <v>720</v>
      </c>
      <c r="K113" s="16" t="s">
        <v>656</v>
      </c>
      <c r="L113" s="16" t="s">
        <v>721</v>
      </c>
    </row>
    <row r="114" customFormat="false" ht="45" hidden="false" customHeight="true" outlineLevel="0" collapsed="false">
      <c r="A114" s="14" t="s">
        <v>722</v>
      </c>
      <c r="B114" s="15" t="s">
        <v>430</v>
      </c>
      <c r="C114" s="15" t="s">
        <v>723</v>
      </c>
      <c r="D114" s="15" t="s">
        <v>724</v>
      </c>
      <c r="E114" s="15" t="s">
        <v>725</v>
      </c>
      <c r="F114" s="15" t="s">
        <v>726</v>
      </c>
      <c r="G114" s="15" t="s">
        <v>74</v>
      </c>
      <c r="H114" s="15" t="str">
        <f aca="false">IF(G114="BUG","BUG-"&amp;A114,IF(G114="FUNCTIONAL","FUNCTIONAL-"&amp;A114,""))</f>
        <v/>
      </c>
      <c r="I114" s="15" t="s">
        <v>56</v>
      </c>
      <c r="J114" s="15" t="s">
        <v>727</v>
      </c>
      <c r="K114" s="16" t="s">
        <v>728</v>
      </c>
      <c r="L114" s="16" t="s">
        <v>729</v>
      </c>
    </row>
    <row r="115" customFormat="false" ht="45" hidden="false" customHeight="true" outlineLevel="0" collapsed="false">
      <c r="A115" s="14" t="s">
        <v>730</v>
      </c>
      <c r="B115" s="15" t="s">
        <v>430</v>
      </c>
      <c r="C115" s="15" t="s">
        <v>731</v>
      </c>
      <c r="D115" s="15" t="s">
        <v>732</v>
      </c>
      <c r="E115" s="15" t="s">
        <v>733</v>
      </c>
      <c r="F115" s="15" t="s">
        <v>734</v>
      </c>
      <c r="G115" s="15" t="s">
        <v>74</v>
      </c>
      <c r="H115" s="15" t="str">
        <f aca="false">IF(G115="BUG","BUG-"&amp;A115,IF(G115="FUNCTIONAL","FUNCTIONAL-"&amp;A115,""))</f>
        <v/>
      </c>
      <c r="I115" s="15" t="s">
        <v>65</v>
      </c>
      <c r="J115" s="15" t="s">
        <v>727</v>
      </c>
      <c r="K115" s="16" t="s">
        <v>735</v>
      </c>
      <c r="L115" s="16"/>
    </row>
    <row r="116" customFormat="false" ht="45" hidden="false" customHeight="true" outlineLevel="0" collapsed="false">
      <c r="A116" s="14" t="s">
        <v>736</v>
      </c>
      <c r="B116" s="15" t="s">
        <v>201</v>
      </c>
      <c r="C116" s="15" t="s">
        <v>737</v>
      </c>
      <c r="D116" s="15" t="s">
        <v>738</v>
      </c>
      <c r="E116" s="15" t="s">
        <v>739</v>
      </c>
      <c r="F116" s="15" t="s">
        <v>740</v>
      </c>
      <c r="G116" s="15" t="s">
        <v>74</v>
      </c>
      <c r="H116" s="15" t="str">
        <f aca="false">IF(G116="BUG","BUG-"&amp;A116,IF(G116="FUNCTIONAL","FUNCTIONAL-"&amp;A116,""))</f>
        <v/>
      </c>
      <c r="I116" s="15" t="s">
        <v>65</v>
      </c>
      <c r="J116" s="15" t="s">
        <v>727</v>
      </c>
      <c r="K116" s="16" t="s">
        <v>656</v>
      </c>
      <c r="L116" s="16" t="s">
        <v>741</v>
      </c>
    </row>
    <row r="117" customFormat="false" ht="45" hidden="false" customHeight="true" outlineLevel="0" collapsed="false">
      <c r="A117" s="14" t="s">
        <v>742</v>
      </c>
      <c r="B117" s="15" t="s">
        <v>472</v>
      </c>
      <c r="C117" s="15" t="s">
        <v>743</v>
      </c>
      <c r="D117" s="15" t="s">
        <v>744</v>
      </c>
      <c r="E117" s="15" t="s">
        <v>745</v>
      </c>
      <c r="F117" s="15" t="s">
        <v>746</v>
      </c>
      <c r="G117" s="15" t="s">
        <v>74</v>
      </c>
      <c r="H117" s="15" t="str">
        <f aca="false">IF(G117="BUG","BUG-"&amp;A117,IF(G117="FUNCTIONAL","FUNCTIONAL-"&amp;A117,""))</f>
        <v/>
      </c>
      <c r="I117" s="15" t="s">
        <v>56</v>
      </c>
      <c r="J117" s="15" t="s">
        <v>727</v>
      </c>
      <c r="K117" s="16" t="s">
        <v>656</v>
      </c>
      <c r="L117" s="16" t="s">
        <v>747</v>
      </c>
    </row>
    <row r="118" customFormat="false" ht="45" hidden="false" customHeight="true" outlineLevel="0" collapsed="false">
      <c r="A118" s="14" t="s">
        <v>748</v>
      </c>
      <c r="B118" s="15" t="s">
        <v>507</v>
      </c>
      <c r="C118" s="15" t="s">
        <v>749</v>
      </c>
      <c r="D118" s="15" t="s">
        <v>750</v>
      </c>
      <c r="E118" s="15" t="s">
        <v>751</v>
      </c>
      <c r="F118" s="15" t="s">
        <v>752</v>
      </c>
      <c r="G118" s="15" t="s">
        <v>74</v>
      </c>
      <c r="H118" s="15" t="str">
        <f aca="false">IF(G118="BUG","BUG-"&amp;A118,IF(G118="FUNCTIONAL","FUNCTIONAL-"&amp;A118,""))</f>
        <v/>
      </c>
      <c r="I118" s="15" t="s">
        <v>65</v>
      </c>
      <c r="J118" s="15" t="s">
        <v>727</v>
      </c>
      <c r="K118" s="16" t="s">
        <v>656</v>
      </c>
      <c r="L118" s="16"/>
    </row>
    <row r="119" customFormat="false" ht="45" hidden="false" customHeight="true" outlineLevel="0" collapsed="false">
      <c r="A119" s="14" t="s">
        <v>753</v>
      </c>
      <c r="B119" s="15" t="s">
        <v>525</v>
      </c>
      <c r="C119" s="15" t="s">
        <v>754</v>
      </c>
      <c r="D119" s="15" t="s">
        <v>755</v>
      </c>
      <c r="E119" s="15" t="s">
        <v>756</v>
      </c>
      <c r="F119" s="15" t="s">
        <v>757</v>
      </c>
      <c r="G119" s="15" t="s">
        <v>74</v>
      </c>
      <c r="H119" s="15" t="str">
        <f aca="false">IF(G119="BUG","BUG-"&amp;A119,IF(G119="FUNCTIONAL","FUNCTIONAL-"&amp;A119,""))</f>
        <v/>
      </c>
      <c r="I119" s="15" t="s">
        <v>65</v>
      </c>
      <c r="J119" s="15" t="s">
        <v>727</v>
      </c>
      <c r="K119" s="16" t="s">
        <v>656</v>
      </c>
      <c r="L119" s="16"/>
    </row>
    <row r="120" customFormat="false" ht="45" hidden="false" customHeight="true" outlineLevel="0" collapsed="false">
      <c r="A120" s="14" t="s">
        <v>758</v>
      </c>
      <c r="B120" s="15" t="s">
        <v>463</v>
      </c>
      <c r="C120" s="15" t="s">
        <v>759</v>
      </c>
      <c r="D120" s="15" t="s">
        <v>760</v>
      </c>
      <c r="E120" s="15" t="s">
        <v>761</v>
      </c>
      <c r="F120" s="15" t="s">
        <v>762</v>
      </c>
      <c r="G120" s="15" t="s">
        <v>55</v>
      </c>
      <c r="H120" s="15" t="str">
        <f aca="false">IF(G120="BUG","BUG-"&amp;A120,IF(G120="FUNCTIONAL","FUNCTIONAL-"&amp;A120,""))</f>
        <v>BUG-TC-119</v>
      </c>
      <c r="I120" s="15" t="s">
        <v>56</v>
      </c>
      <c r="J120" s="15" t="s">
        <v>763</v>
      </c>
      <c r="K120" s="16" t="s">
        <v>764</v>
      </c>
      <c r="L120" s="16" t="s">
        <v>765</v>
      </c>
    </row>
    <row r="121" customFormat="false" ht="45" hidden="false" customHeight="true" outlineLevel="0" collapsed="false">
      <c r="A121" s="14" t="s">
        <v>766</v>
      </c>
      <c r="B121" s="15" t="s">
        <v>463</v>
      </c>
      <c r="C121" s="15" t="s">
        <v>767</v>
      </c>
      <c r="D121" s="15" t="s">
        <v>768</v>
      </c>
      <c r="E121" s="15" t="s">
        <v>466</v>
      </c>
      <c r="F121" s="15" t="s">
        <v>769</v>
      </c>
      <c r="G121" s="15" t="s">
        <v>55</v>
      </c>
      <c r="H121" s="15" t="str">
        <f aca="false">IF(G121="BUG","BUG-"&amp;A121,IF(G121="FUNCTIONAL","FUNCTIONAL-"&amp;A121,""))</f>
        <v>BUG-TC-120</v>
      </c>
      <c r="I121" s="15" t="s">
        <v>56</v>
      </c>
      <c r="J121" s="15" t="s">
        <v>763</v>
      </c>
      <c r="K121" s="16" t="s">
        <v>770</v>
      </c>
      <c r="L121" s="16" t="s">
        <v>771</v>
      </c>
    </row>
    <row r="122" customFormat="false" ht="45" hidden="false" customHeight="true" outlineLevel="0" collapsed="false">
      <c r="A122" s="14" t="s">
        <v>772</v>
      </c>
      <c r="B122" s="15" t="s">
        <v>463</v>
      </c>
      <c r="C122" s="15" t="s">
        <v>773</v>
      </c>
      <c r="D122" s="15" t="s">
        <v>750</v>
      </c>
      <c r="E122" s="15" t="s">
        <v>774</v>
      </c>
      <c r="F122" s="15" t="s">
        <v>775</v>
      </c>
      <c r="G122" s="15" t="s">
        <v>74</v>
      </c>
      <c r="H122" s="15" t="str">
        <f aca="false">IF(G122="BUG","BUG-"&amp;A122,IF(G122="FUNCTIONAL","FUNCTIONAL-"&amp;A122,""))</f>
        <v/>
      </c>
      <c r="I122" s="15" t="s">
        <v>65</v>
      </c>
      <c r="J122" s="15" t="s">
        <v>763</v>
      </c>
      <c r="K122" s="16" t="s">
        <v>656</v>
      </c>
      <c r="L122" s="16" t="s">
        <v>776</v>
      </c>
    </row>
    <row r="123" customFormat="false" ht="34.5" hidden="false" customHeight="true" outlineLevel="0" collapsed="false">
      <c r="A123" s="14" t="s">
        <v>777</v>
      </c>
      <c r="B123" s="15" t="s">
        <v>778</v>
      </c>
      <c r="C123" s="15" t="s">
        <v>779</v>
      </c>
      <c r="D123" s="15" t="s">
        <v>465</v>
      </c>
      <c r="E123" s="15" t="s">
        <v>780</v>
      </c>
      <c r="F123" s="15" t="s">
        <v>781</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782</v>
      </c>
      <c r="B124" s="15" t="s">
        <v>778</v>
      </c>
      <c r="C124" s="15" t="s">
        <v>783</v>
      </c>
      <c r="D124" s="15" t="s">
        <v>784</v>
      </c>
      <c r="E124" s="15" t="s">
        <v>785</v>
      </c>
      <c r="F124" s="15" t="s">
        <v>786</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787</v>
      </c>
      <c r="B125" s="15" t="s">
        <v>778</v>
      </c>
      <c r="C125" s="15" t="s">
        <v>788</v>
      </c>
      <c r="D125" s="15" t="s">
        <v>789</v>
      </c>
      <c r="E125" s="15" t="s">
        <v>790</v>
      </c>
      <c r="F125" s="15" t="s">
        <v>791</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792</v>
      </c>
      <c r="B126" s="15" t="s">
        <v>778</v>
      </c>
      <c r="C126" s="15" t="s">
        <v>793</v>
      </c>
      <c r="D126" s="15" t="s">
        <v>794</v>
      </c>
      <c r="E126" s="15" t="s">
        <v>795</v>
      </c>
      <c r="F126" s="15" t="s">
        <v>796</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797</v>
      </c>
      <c r="B127" s="15" t="s">
        <v>778</v>
      </c>
      <c r="C127" s="15" t="s">
        <v>798</v>
      </c>
      <c r="D127" s="15" t="s">
        <v>799</v>
      </c>
      <c r="E127" s="15" t="s">
        <v>800</v>
      </c>
      <c r="F127" s="15" t="s">
        <v>801</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802</v>
      </c>
      <c r="B128" s="15" t="s">
        <v>803</v>
      </c>
      <c r="C128" s="15" t="s">
        <v>804</v>
      </c>
      <c r="D128" s="15" t="s">
        <v>805</v>
      </c>
      <c r="E128" s="15" t="s">
        <v>806</v>
      </c>
      <c r="F128" s="15" t="s">
        <v>807</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808</v>
      </c>
      <c r="B129" s="15" t="s">
        <v>803</v>
      </c>
      <c r="C129" s="15" t="s">
        <v>809</v>
      </c>
      <c r="D129" s="15" t="s">
        <v>810</v>
      </c>
      <c r="E129" s="15" t="s">
        <v>811</v>
      </c>
      <c r="F129" s="15" t="s">
        <v>812</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813</v>
      </c>
      <c r="B130" s="15" t="s">
        <v>226</v>
      </c>
      <c r="C130" s="15" t="s">
        <v>814</v>
      </c>
      <c r="D130" s="15" t="s">
        <v>815</v>
      </c>
      <c r="E130" s="15" t="s">
        <v>816</v>
      </c>
      <c r="F130" s="15" t="s">
        <v>817</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818</v>
      </c>
      <c r="B131" s="15" t="s">
        <v>226</v>
      </c>
      <c r="C131" s="15" t="s">
        <v>819</v>
      </c>
      <c r="D131" s="15" t="s">
        <v>820</v>
      </c>
      <c r="E131" s="15" t="s">
        <v>821</v>
      </c>
      <c r="F131" s="15" t="s">
        <v>822</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823</v>
      </c>
      <c r="B132" s="15" t="s">
        <v>778</v>
      </c>
      <c r="C132" s="15" t="s">
        <v>824</v>
      </c>
      <c r="D132" s="15" t="s">
        <v>825</v>
      </c>
      <c r="E132" s="15" t="s">
        <v>826</v>
      </c>
      <c r="F132" s="15" t="s">
        <v>827</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828</v>
      </c>
      <c r="B133" s="15" t="s">
        <v>430</v>
      </c>
      <c r="C133" s="15" t="s">
        <v>829</v>
      </c>
      <c r="D133" s="15" t="s">
        <v>264</v>
      </c>
      <c r="E133" s="15" t="s">
        <v>830</v>
      </c>
      <c r="F133" s="15" t="s">
        <v>831</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832</v>
      </c>
      <c r="B134" s="15" t="s">
        <v>430</v>
      </c>
      <c r="C134" s="15" t="s">
        <v>833</v>
      </c>
      <c r="D134" s="15" t="s">
        <v>264</v>
      </c>
      <c r="E134" s="15" t="s">
        <v>834</v>
      </c>
      <c r="F134" s="15" t="s">
        <v>835</v>
      </c>
      <c r="G134" s="15" t="s">
        <v>74</v>
      </c>
      <c r="H134" s="15" t="str">
        <f aca="false">IF(G134="BUG","BUG-"&amp;A134,IF(G134="FUNCTIONAL","FUNCTIONAL-"&amp;A134,""))</f>
        <v/>
      </c>
      <c r="I134" s="15" t="s">
        <v>42</v>
      </c>
      <c r="J134" s="15"/>
      <c r="K134" s="16"/>
      <c r="L134" s="16" t="s">
        <v>836</v>
      </c>
    </row>
    <row r="135" customFormat="false" ht="34.5" hidden="false" customHeight="true" outlineLevel="0" collapsed="false">
      <c r="A135" s="14" t="s">
        <v>837</v>
      </c>
      <c r="B135" s="15" t="s">
        <v>430</v>
      </c>
      <c r="C135" s="15" t="s">
        <v>838</v>
      </c>
      <c r="D135" s="15" t="s">
        <v>264</v>
      </c>
      <c r="E135" s="15" t="s">
        <v>839</v>
      </c>
      <c r="F135" s="15" t="s">
        <v>840</v>
      </c>
      <c r="G135" s="15" t="s">
        <v>74</v>
      </c>
      <c r="H135" s="15" t="str">
        <f aca="false">IF(G135="BUG","BUG-"&amp;A135,IF(G135="FUNCTIONAL","FUNCTIONAL-"&amp;A135,""))</f>
        <v/>
      </c>
      <c r="I135" s="15" t="s">
        <v>56</v>
      </c>
      <c r="J135" s="15"/>
      <c r="K135" s="16"/>
      <c r="L135" s="16" t="s">
        <v>841</v>
      </c>
    </row>
    <row r="136" customFormat="false" ht="23.25" hidden="false" customHeight="true" outlineLevel="0" collapsed="false">
      <c r="A136" s="14" t="s">
        <v>842</v>
      </c>
      <c r="B136" s="15" t="s">
        <v>430</v>
      </c>
      <c r="C136" s="15" t="s">
        <v>843</v>
      </c>
      <c r="D136" s="15" t="s">
        <v>264</v>
      </c>
      <c r="E136" s="15" t="s">
        <v>844</v>
      </c>
      <c r="F136" s="15" t="s">
        <v>845</v>
      </c>
      <c r="G136" s="15" t="s">
        <v>74</v>
      </c>
      <c r="H136" s="15" t="str">
        <f aca="false">IF(G136="BUG","BUG-"&amp;A136,IF(G136="FUNCTIONAL","FUNCTIONAL-"&amp;A136,""))</f>
        <v/>
      </c>
      <c r="I136" s="15" t="s">
        <v>65</v>
      </c>
      <c r="J136" s="15"/>
      <c r="K136" s="16"/>
      <c r="L136" s="16" t="s">
        <v>846</v>
      </c>
    </row>
    <row r="137" customFormat="false" ht="23.25" hidden="false" customHeight="true" outlineLevel="0" collapsed="false">
      <c r="A137" s="14" t="s">
        <v>847</v>
      </c>
      <c r="B137" s="15" t="s">
        <v>430</v>
      </c>
      <c r="C137" s="15" t="s">
        <v>848</v>
      </c>
      <c r="D137" s="15" t="s">
        <v>264</v>
      </c>
      <c r="E137" s="15" t="s">
        <v>849</v>
      </c>
      <c r="F137" s="15" t="s">
        <v>850</v>
      </c>
      <c r="G137" s="15" t="s">
        <v>74</v>
      </c>
      <c r="H137" s="15" t="str">
        <f aca="false">IF(G137="BUG","BUG-"&amp;A137,IF(G137="FUNCTIONAL","FUNCTIONAL-"&amp;A137,""))</f>
        <v/>
      </c>
      <c r="I137" s="15" t="s">
        <v>56</v>
      </c>
      <c r="J137" s="15"/>
      <c r="K137" s="16"/>
      <c r="L137" s="16" t="s">
        <v>851</v>
      </c>
    </row>
    <row r="138" customFormat="false" ht="23.25" hidden="false" customHeight="true" outlineLevel="0" collapsed="false">
      <c r="A138" s="14" t="s">
        <v>852</v>
      </c>
      <c r="B138" s="15" t="s">
        <v>430</v>
      </c>
      <c r="C138" s="15" t="s">
        <v>853</v>
      </c>
      <c r="D138" s="15" t="s">
        <v>264</v>
      </c>
      <c r="E138" s="15" t="s">
        <v>854</v>
      </c>
      <c r="F138" s="15" t="s">
        <v>855</v>
      </c>
      <c r="G138" s="15" t="s">
        <v>74</v>
      </c>
      <c r="H138" s="15" t="str">
        <f aca="false">IF(G138="BUG","BUG-"&amp;A138,IF(G138="FUNCTIONAL","FUNCTIONAL-"&amp;A138,""))</f>
        <v/>
      </c>
      <c r="I138" s="15" t="s">
        <v>56</v>
      </c>
      <c r="J138" s="15"/>
      <c r="K138" s="16"/>
      <c r="L138" s="16" t="s">
        <v>851</v>
      </c>
    </row>
    <row r="139" customFormat="false" ht="34.5" hidden="false" customHeight="true" outlineLevel="0" collapsed="false">
      <c r="A139" s="14" t="s">
        <v>856</v>
      </c>
      <c r="B139" s="15" t="s">
        <v>857</v>
      </c>
      <c r="C139" s="15" t="s">
        <v>858</v>
      </c>
      <c r="D139" s="15" t="s">
        <v>859</v>
      </c>
      <c r="E139" s="15" t="s">
        <v>860</v>
      </c>
      <c r="F139" s="15" t="s">
        <v>861</v>
      </c>
      <c r="G139" s="15" t="s">
        <v>74</v>
      </c>
      <c r="H139" s="15" t="str">
        <f aca="false">IF(G139="BUG","BUG-"&amp;A139,IF(G139="FUNCTIONAL","FUNCTIONAL-"&amp;A139,""))</f>
        <v/>
      </c>
      <c r="I139" s="15" t="s">
        <v>42</v>
      </c>
      <c r="J139" s="15"/>
      <c r="K139" s="16"/>
      <c r="L139" s="16" t="s">
        <v>862</v>
      </c>
    </row>
    <row r="140" customFormat="false" ht="23.25" hidden="false" customHeight="true" outlineLevel="0" collapsed="false">
      <c r="A140" s="14" t="s">
        <v>863</v>
      </c>
      <c r="B140" s="15" t="s">
        <v>864</v>
      </c>
      <c r="C140" s="15" t="s">
        <v>865</v>
      </c>
      <c r="D140" s="15" t="s">
        <v>866</v>
      </c>
      <c r="E140" s="15" t="s">
        <v>867</v>
      </c>
      <c r="F140" s="15" t="s">
        <v>868</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869</v>
      </c>
      <c r="B141" s="15" t="s">
        <v>864</v>
      </c>
      <c r="C141" s="15" t="s">
        <v>870</v>
      </c>
      <c r="D141" s="15" t="s">
        <v>871</v>
      </c>
      <c r="E141" s="15" t="s">
        <v>872</v>
      </c>
      <c r="F141" s="15" t="s">
        <v>873</v>
      </c>
      <c r="G141" s="15" t="s">
        <v>74</v>
      </c>
      <c r="H141" s="15" t="str">
        <f aca="false">IF(G141="BUG","BUG-"&amp;A141,IF(G141="FUNCTIONAL","FUNCTIONAL-"&amp;A141,""))</f>
        <v/>
      </c>
      <c r="I141" s="15" t="s">
        <v>42</v>
      </c>
      <c r="J141" s="15"/>
      <c r="K141" s="16"/>
      <c r="L141" s="16" t="s">
        <v>874</v>
      </c>
    </row>
    <row r="142" customFormat="false" ht="15" hidden="false" customHeight="true" outlineLevel="0" collapsed="false">
      <c r="A142" s="14" t="s">
        <v>875</v>
      </c>
      <c r="B142" s="15" t="s">
        <v>114</v>
      </c>
      <c r="C142" s="15" t="s">
        <v>876</v>
      </c>
      <c r="D142" s="15" t="s">
        <v>264</v>
      </c>
      <c r="E142" s="15" t="s">
        <v>877</v>
      </c>
      <c r="F142" s="15" t="s">
        <v>878</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879</v>
      </c>
      <c r="B143" s="15" t="s">
        <v>114</v>
      </c>
      <c r="C143" s="15" t="s">
        <v>880</v>
      </c>
      <c r="D143" s="15" t="s">
        <v>264</v>
      </c>
      <c r="E143" s="15" t="s">
        <v>881</v>
      </c>
      <c r="F143" s="15" t="s">
        <v>882</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883</v>
      </c>
      <c r="B144" s="15" t="s">
        <v>114</v>
      </c>
      <c r="C144" s="15" t="s">
        <v>884</v>
      </c>
      <c r="D144" s="15" t="s">
        <v>885</v>
      </c>
      <c r="E144" s="15" t="s">
        <v>886</v>
      </c>
      <c r="F144" s="15" t="s">
        <v>887</v>
      </c>
      <c r="G144" s="15" t="s">
        <v>74</v>
      </c>
      <c r="H144" s="15" t="str">
        <f aca="false">IF(G144="BUG","BUG-"&amp;A144,IF(G144="FUNCTIONAL","FUNCTIONAL-"&amp;A144,""))</f>
        <v/>
      </c>
      <c r="I144" s="15" t="s">
        <v>56</v>
      </c>
      <c r="J144" s="15"/>
      <c r="K144" s="16"/>
      <c r="L144" s="16" t="s">
        <v>888</v>
      </c>
    </row>
    <row r="145" customFormat="false" ht="23.25" hidden="false" customHeight="true" outlineLevel="0" collapsed="false">
      <c r="A145" s="14" t="s">
        <v>889</v>
      </c>
      <c r="B145" s="15" t="s">
        <v>890</v>
      </c>
      <c r="C145" s="15" t="s">
        <v>891</v>
      </c>
      <c r="D145" s="15" t="s">
        <v>859</v>
      </c>
      <c r="E145" s="15" t="s">
        <v>892</v>
      </c>
      <c r="F145" s="15" t="s">
        <v>893</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894</v>
      </c>
      <c r="B146" s="1" t="s">
        <v>430</v>
      </c>
      <c r="C146" s="1" t="s">
        <v>895</v>
      </c>
      <c r="D146" s="1" t="s">
        <v>724</v>
      </c>
      <c r="E146" s="1" t="s">
        <v>896</v>
      </c>
      <c r="F146" s="1" t="s">
        <v>897</v>
      </c>
      <c r="G146" s="18" t="s">
        <v>74</v>
      </c>
      <c r="H146" s="1" t="str">
        <f aca="false">IF(G146="BUG","BUG-"&amp;A146,IF(G146="FUNCTIONAL","FUNCTIONAL-"&amp;A146,""))</f>
        <v/>
      </c>
      <c r="I146" s="18" t="s">
        <v>56</v>
      </c>
      <c r="L146" s="1" t="s">
        <v>898</v>
      </c>
    </row>
    <row r="147" customFormat="false" ht="15" hidden="false" customHeight="true" outlineLevel="0" collapsed="false">
      <c r="A147" s="1" t="s">
        <v>899</v>
      </c>
      <c r="B147" s="1" t="s">
        <v>430</v>
      </c>
      <c r="C147" s="1" t="s">
        <v>900</v>
      </c>
      <c r="D147" s="1" t="s">
        <v>724</v>
      </c>
      <c r="E147" s="1" t="s">
        <v>901</v>
      </c>
      <c r="F147" s="1" t="s">
        <v>902</v>
      </c>
      <c r="G147" s="18" t="s">
        <v>74</v>
      </c>
      <c r="H147" s="1" t="str">
        <f aca="false">IF(G147="BUG","BUG-"&amp;A147,IF(G147="FUNCTIONAL","FUNCTIONAL-"&amp;A147,""))</f>
        <v/>
      </c>
      <c r="I147" s="18" t="s">
        <v>42</v>
      </c>
      <c r="L147" s="1" t="s">
        <v>903</v>
      </c>
    </row>
    <row r="148" customFormat="false" ht="15" hidden="false" customHeight="true" outlineLevel="0" collapsed="false">
      <c r="A148" s="1" t="s">
        <v>904</v>
      </c>
      <c r="B148" s="1" t="s">
        <v>864</v>
      </c>
      <c r="C148" s="1" t="s">
        <v>905</v>
      </c>
      <c r="D148" s="1" t="s">
        <v>906</v>
      </c>
      <c r="E148" s="1" t="s">
        <v>907</v>
      </c>
      <c r="F148" s="1" t="s">
        <v>908</v>
      </c>
      <c r="G148" s="18" t="s">
        <v>74</v>
      </c>
      <c r="H148" s="1" t="str">
        <f aca="false">IF(G148="BUG","BUG-"&amp;A148,IF(G148="FUNCTIONAL","FUNCTIONAL-"&amp;A148,""))</f>
        <v/>
      </c>
      <c r="I148" s="18" t="s">
        <v>56</v>
      </c>
      <c r="L148" s="1" t="s">
        <v>909</v>
      </c>
    </row>
    <row r="149" customFormat="false" ht="15" hidden="false" customHeight="true" outlineLevel="0" collapsed="false">
      <c r="A149" s="1" t="s">
        <v>910</v>
      </c>
      <c r="B149" s="1" t="s">
        <v>430</v>
      </c>
      <c r="C149" s="1" t="s">
        <v>911</v>
      </c>
      <c r="D149" s="1" t="s">
        <v>912</v>
      </c>
      <c r="E149" s="1" t="s">
        <v>913</v>
      </c>
      <c r="F149" s="1" t="s">
        <v>914</v>
      </c>
      <c r="G149" s="18" t="s">
        <v>55</v>
      </c>
      <c r="H149" s="1" t="str">
        <f aca="false">IF(G149="BUG","BUG-"&amp;A149,IF(G149="FUNCTIONAL","FUNCTIONAL-"&amp;A149,""))</f>
        <v>BUG-TC-150</v>
      </c>
      <c r="I149" s="18" t="s">
        <v>65</v>
      </c>
      <c r="K149" s="1" t="s">
        <v>198</v>
      </c>
      <c r="L149" s="1" t="s">
        <v>915</v>
      </c>
    </row>
    <row r="150" customFormat="false" ht="15" hidden="false" customHeight="true" outlineLevel="0" collapsed="false">
      <c r="A150" s="1" t="s">
        <v>916</v>
      </c>
      <c r="B150" s="1" t="s">
        <v>114</v>
      </c>
      <c r="C150" s="1" t="s">
        <v>917</v>
      </c>
      <c r="D150" s="1" t="s">
        <v>918</v>
      </c>
      <c r="E150" s="1" t="s">
        <v>919</v>
      </c>
      <c r="F150" s="1" t="s">
        <v>920</v>
      </c>
      <c r="G150" s="18" t="s">
        <v>74</v>
      </c>
      <c r="H150" s="1" t="str">
        <f aca="false">IF(G150="BUG","BUG-"&amp;A150,IF(G150="FUNCTIONAL","FUNCTIONAL-"&amp;A150,""))</f>
        <v/>
      </c>
      <c r="I150" s="18" t="s">
        <v>42</v>
      </c>
      <c r="L150" s="1" t="s">
        <v>921</v>
      </c>
    </row>
    <row r="151" customFormat="false" ht="15" hidden="false" customHeight="true" outlineLevel="0" collapsed="false">
      <c r="A151" s="1" t="s">
        <v>922</v>
      </c>
      <c r="B151" s="1" t="s">
        <v>864</v>
      </c>
      <c r="C151" s="1" t="s">
        <v>923</v>
      </c>
      <c r="D151" s="1" t="s">
        <v>924</v>
      </c>
      <c r="E151" s="1" t="s">
        <v>925</v>
      </c>
      <c r="F151" s="1" t="s">
        <v>926</v>
      </c>
      <c r="G151" s="18" t="s">
        <v>74</v>
      </c>
      <c r="H151" s="1" t="str">
        <f aca="false">IF(G151="BUG","BUG-"&amp;A151,IF(G151="FUNCTIONAL","FUNCTIONAL-"&amp;A151,""))</f>
        <v/>
      </c>
      <c r="I151" s="18" t="s">
        <v>42</v>
      </c>
      <c r="L151" s="1" t="s">
        <v>927</v>
      </c>
    </row>
    <row r="152" customFormat="false" ht="15" hidden="false" customHeight="true" outlineLevel="0" collapsed="false">
      <c r="A152" s="1" t="s">
        <v>928</v>
      </c>
      <c r="B152" s="1" t="s">
        <v>635</v>
      </c>
      <c r="C152" s="1" t="s">
        <v>929</v>
      </c>
      <c r="D152" s="1" t="s">
        <v>660</v>
      </c>
      <c r="E152" s="1" t="s">
        <v>930</v>
      </c>
      <c r="F152" s="1" t="s">
        <v>931</v>
      </c>
      <c r="G152" s="18" t="s">
        <v>74</v>
      </c>
      <c r="H152" s="1" t="str">
        <f aca="false">IF(G152="BUG","BUG-"&amp;A152,IF(G152="FUNCTIONAL","FUNCTIONAL-"&amp;A152,""))</f>
        <v/>
      </c>
      <c r="I152" s="18" t="s">
        <v>65</v>
      </c>
      <c r="K152" s="1" t="s">
        <v>198</v>
      </c>
      <c r="L152" s="1" t="s">
        <v>932</v>
      </c>
    </row>
    <row r="153" customFormat="false" ht="15" hidden="false" customHeight="true" outlineLevel="0" collapsed="false">
      <c r="A153" s="1" t="s">
        <v>933</v>
      </c>
      <c r="B153" s="1" t="s">
        <v>635</v>
      </c>
      <c r="C153" s="1" t="s">
        <v>934</v>
      </c>
      <c r="D153" s="1" t="s">
        <v>935</v>
      </c>
      <c r="E153" s="1" t="s">
        <v>936</v>
      </c>
      <c r="F153" s="1" t="s">
        <v>937</v>
      </c>
      <c r="G153" s="18" t="s">
        <v>74</v>
      </c>
      <c r="H153" s="1" t="str">
        <f aca="false">IF(G153="BUG","BUG-"&amp;A153,IF(G153="FUNCTIONAL","FUNCTIONAL-"&amp;A153,""))</f>
        <v/>
      </c>
      <c r="I153" s="18" t="s">
        <v>42</v>
      </c>
      <c r="K153" s="1" t="s">
        <v>198</v>
      </c>
      <c r="L153" s="1" t="s">
        <v>938</v>
      </c>
    </row>
    <row r="154" customFormat="false" ht="15" hidden="false" customHeight="true" outlineLevel="0" collapsed="false">
      <c r="A154" s="1" t="s">
        <v>939</v>
      </c>
      <c r="B154" s="1" t="s">
        <v>635</v>
      </c>
      <c r="C154" s="1" t="s">
        <v>940</v>
      </c>
      <c r="D154" s="1" t="s">
        <v>941</v>
      </c>
      <c r="E154" s="1" t="s">
        <v>942</v>
      </c>
      <c r="F154" s="1" t="s">
        <v>943</v>
      </c>
      <c r="G154" s="18" t="s">
        <v>74</v>
      </c>
      <c r="H154" s="1" t="str">
        <f aca="false">IF(G154="BUG","BUG-"&amp;A154,IF(G154="FUNCTIONAL","FUNCTIONAL-"&amp;A154,""))</f>
        <v/>
      </c>
      <c r="I154" s="18" t="s">
        <v>56</v>
      </c>
      <c r="K154" s="1" t="s">
        <v>198</v>
      </c>
      <c r="L154" s="1" t="s">
        <v>944</v>
      </c>
    </row>
    <row r="155" customFormat="false" ht="15" hidden="false" customHeight="true" outlineLevel="0" collapsed="false">
      <c r="A155" s="1" t="s">
        <v>945</v>
      </c>
      <c r="B155" s="1" t="s">
        <v>635</v>
      </c>
      <c r="C155" s="1" t="s">
        <v>946</v>
      </c>
      <c r="D155" s="1" t="s">
        <v>947</v>
      </c>
      <c r="E155" s="1" t="s">
        <v>948</v>
      </c>
      <c r="F155" s="1" t="s">
        <v>949</v>
      </c>
      <c r="G155" s="18" t="s">
        <v>74</v>
      </c>
      <c r="H155" s="1" t="str">
        <f aca="false">IF(G155="BUG","BUG-"&amp;A155,IF(G155="FUNCTIONAL","FUNCTIONAL-"&amp;A155,""))</f>
        <v/>
      </c>
      <c r="I155" s="18" t="s">
        <v>42</v>
      </c>
      <c r="K155" s="1" t="s">
        <v>198</v>
      </c>
      <c r="L155" s="1" t="s">
        <v>950</v>
      </c>
    </row>
    <row r="156" customFormat="false" ht="15" hidden="false" customHeight="true" outlineLevel="0" collapsed="false">
      <c r="A156" s="1" t="s">
        <v>951</v>
      </c>
      <c r="B156" s="1" t="s">
        <v>144</v>
      </c>
      <c r="C156" s="1" t="s">
        <v>952</v>
      </c>
      <c r="D156" s="1" t="s">
        <v>953</v>
      </c>
      <c r="E156" s="1" t="s">
        <v>954</v>
      </c>
      <c r="F156" s="1" t="s">
        <v>955</v>
      </c>
      <c r="G156" s="18" t="s">
        <v>74</v>
      </c>
      <c r="H156" s="1" t="str">
        <f aca="false">IF(G156="BUG","BUG-"&amp;A156,IF(G156="FUNCTIONAL","FUNCTIONAL-"&amp;A156,""))</f>
        <v/>
      </c>
      <c r="I156" s="18" t="s">
        <v>42</v>
      </c>
      <c r="K156" s="1" t="s">
        <v>198</v>
      </c>
      <c r="L156" s="1" t="s">
        <v>956</v>
      </c>
    </row>
    <row r="157" customFormat="false" ht="15" hidden="false" customHeight="true" outlineLevel="0" collapsed="false">
      <c r="A157" s="1" t="s">
        <v>957</v>
      </c>
      <c r="B157" s="1" t="s">
        <v>226</v>
      </c>
      <c r="C157" s="1" t="s">
        <v>958</v>
      </c>
      <c r="D157" s="1" t="s">
        <v>959</v>
      </c>
      <c r="E157" s="1" t="s">
        <v>960</v>
      </c>
      <c r="F157" s="1" t="s">
        <v>961</v>
      </c>
      <c r="G157" s="18" t="s">
        <v>74</v>
      </c>
      <c r="H157" s="1" t="str">
        <f aca="false">IF(G157="BUG","BUG-"&amp;A157,IF(G157="FUNCTIONAL","FUNCTIONAL-"&amp;A157,""))</f>
        <v/>
      </c>
      <c r="I157" s="18" t="s">
        <v>42</v>
      </c>
      <c r="K157" s="1" t="s">
        <v>198</v>
      </c>
      <c r="L157" s="1" t="s">
        <v>962</v>
      </c>
    </row>
    <row r="158" customFormat="false" ht="15" hidden="false" customHeight="true" outlineLevel="0" collapsed="false">
      <c r="A158" s="1" t="s">
        <v>963</v>
      </c>
      <c r="B158" s="1" t="s">
        <v>201</v>
      </c>
      <c r="C158" s="1" t="s">
        <v>964</v>
      </c>
      <c r="D158" s="1" t="s">
        <v>965</v>
      </c>
      <c r="E158" s="1" t="s">
        <v>966</v>
      </c>
      <c r="F158" s="1" t="s">
        <v>967</v>
      </c>
      <c r="G158" s="18" t="s">
        <v>74</v>
      </c>
      <c r="H158" s="1" t="str">
        <f aca="false">IF(G158="BUG","BUG-"&amp;A158,IF(G158="FUNCTIONAL","FUNCTIONAL-"&amp;A158,""))</f>
        <v/>
      </c>
      <c r="I158" s="18" t="s">
        <v>42</v>
      </c>
      <c r="K158" s="1" t="s">
        <v>198</v>
      </c>
      <c r="L158" s="1" t="s">
        <v>968</v>
      </c>
    </row>
    <row r="159" customFormat="false" ht="15" hidden="false" customHeight="true" outlineLevel="0" collapsed="false">
      <c r="A159" s="1" t="s">
        <v>969</v>
      </c>
      <c r="B159" s="1" t="s">
        <v>201</v>
      </c>
      <c r="C159" s="1" t="s">
        <v>970</v>
      </c>
      <c r="D159" s="1" t="s">
        <v>971</v>
      </c>
      <c r="E159" s="1" t="s">
        <v>972</v>
      </c>
      <c r="F159" s="1" t="s">
        <v>973</v>
      </c>
      <c r="G159" s="18" t="s">
        <v>74</v>
      </c>
      <c r="H159" s="1" t="str">
        <f aca="false">IF(G159="BUG","BUG-"&amp;A159,IF(G159="FUNCTIONAL","FUNCTIONAL-"&amp;A159,""))</f>
        <v/>
      </c>
      <c r="I159" s="18" t="s">
        <v>65</v>
      </c>
      <c r="K159" s="1" t="s">
        <v>198</v>
      </c>
      <c r="L159" s="1" t="s">
        <v>974</v>
      </c>
    </row>
    <row r="160" customFormat="false" ht="15" hidden="false" customHeight="true" outlineLevel="0" collapsed="false">
      <c r="A160" s="1" t="s">
        <v>975</v>
      </c>
      <c r="B160" s="1" t="s">
        <v>201</v>
      </c>
      <c r="C160" s="1" t="s">
        <v>976</v>
      </c>
      <c r="D160" s="1" t="s">
        <v>977</v>
      </c>
      <c r="E160" s="1" t="s">
        <v>978</v>
      </c>
      <c r="F160" s="1" t="s">
        <v>979</v>
      </c>
      <c r="G160" s="18" t="s">
        <v>74</v>
      </c>
      <c r="H160" s="1" t="str">
        <f aca="false">IF(G160="BUG","BUG-"&amp;A160,IF(G160="FUNCTIONAL","FUNCTIONAL-"&amp;A160,""))</f>
        <v/>
      </c>
      <c r="I160" s="18" t="s">
        <v>42</v>
      </c>
      <c r="L160" s="1" t="s">
        <v>980</v>
      </c>
    </row>
    <row r="161" customFormat="false" ht="15" hidden="false" customHeight="true" outlineLevel="0" collapsed="false">
      <c r="A161" s="1" t="s">
        <v>981</v>
      </c>
      <c r="B161" s="1" t="s">
        <v>982</v>
      </c>
      <c r="C161" s="1" t="s">
        <v>983</v>
      </c>
      <c r="D161" s="1" t="s">
        <v>984</v>
      </c>
      <c r="E161" s="1" t="s">
        <v>985</v>
      </c>
      <c r="F161" s="1" t="s">
        <v>986</v>
      </c>
      <c r="G161" s="18" t="s">
        <v>74</v>
      </c>
      <c r="H161" s="1" t="str">
        <f aca="false">IF(G161="BUG","BUG-"&amp;A161,IF(G161="FUNCTIONAL","FUNCTIONAL-"&amp;A161,""))</f>
        <v/>
      </c>
      <c r="I161" s="18" t="s">
        <v>42</v>
      </c>
      <c r="L161" s="1" t="s">
        <v>987</v>
      </c>
    </row>
    <row r="162" customFormat="false" ht="15" hidden="false" customHeight="true" outlineLevel="0" collapsed="false">
      <c r="A162" s="1" t="s">
        <v>988</v>
      </c>
      <c r="B162" s="1" t="s">
        <v>982</v>
      </c>
      <c r="C162" s="1" t="s">
        <v>989</v>
      </c>
      <c r="D162" s="1" t="s">
        <v>990</v>
      </c>
      <c r="E162" s="1" t="s">
        <v>991</v>
      </c>
      <c r="F162" s="1" t="s">
        <v>992</v>
      </c>
      <c r="G162" s="18" t="s">
        <v>74</v>
      </c>
      <c r="H162" s="1" t="str">
        <f aca="false">IF(G162="BUG","BUG-"&amp;A162,IF(G162="FUNCTIONAL","FUNCTIONAL-"&amp;A162,""))</f>
        <v/>
      </c>
      <c r="I162" s="18" t="s">
        <v>56</v>
      </c>
      <c r="L162" s="1" t="s">
        <v>993</v>
      </c>
    </row>
    <row r="163" customFormat="false" ht="15" hidden="false" customHeight="true" outlineLevel="0" collapsed="false">
      <c r="A163" s="1" t="s">
        <v>994</v>
      </c>
      <c r="B163" s="1" t="s">
        <v>995</v>
      </c>
      <c r="C163" s="1" t="s">
        <v>996</v>
      </c>
      <c r="D163" s="1" t="s">
        <v>997</v>
      </c>
      <c r="E163" s="1" t="s">
        <v>998</v>
      </c>
      <c r="F163" s="1" t="s">
        <v>999</v>
      </c>
      <c r="G163" s="18" t="s">
        <v>74</v>
      </c>
      <c r="H163" s="1" t="str">
        <f aca="false">IF(G163="BUG","BUG-"&amp;A163,IF(G163="FUNCTIONAL","FUNCTIONAL-"&amp;A163,""))</f>
        <v/>
      </c>
      <c r="I163" s="18" t="s">
        <v>56</v>
      </c>
      <c r="L163" s="1" t="s">
        <v>1000</v>
      </c>
    </row>
    <row r="164" customFormat="false" ht="15" hidden="false" customHeight="true" outlineLevel="0" collapsed="false">
      <c r="A164" s="1" t="s">
        <v>1001</v>
      </c>
      <c r="B164" s="1" t="s">
        <v>995</v>
      </c>
      <c r="C164" s="1" t="s">
        <v>1002</v>
      </c>
      <c r="D164" s="1" t="s">
        <v>1003</v>
      </c>
      <c r="E164" s="1" t="s">
        <v>1004</v>
      </c>
      <c r="F164" s="1" t="s">
        <v>1005</v>
      </c>
      <c r="G164" s="18" t="s">
        <v>74</v>
      </c>
      <c r="H164" s="1" t="str">
        <f aca="false">IF(G164="BUG","BUG-"&amp;A164,IF(G164="FUNCTIONAL","FUNCTIONAL-"&amp;A164,""))</f>
        <v/>
      </c>
      <c r="I164" s="18" t="s">
        <v>65</v>
      </c>
      <c r="L164" s="1" t="s">
        <v>1006</v>
      </c>
    </row>
    <row r="165" customFormat="false" ht="15" hidden="false" customHeight="true" outlineLevel="0" collapsed="false">
      <c r="A165" s="1" t="s">
        <v>1007</v>
      </c>
      <c r="B165" s="1" t="s">
        <v>114</v>
      </c>
      <c r="C165" s="1" t="s">
        <v>1008</v>
      </c>
      <c r="D165" s="1" t="s">
        <v>1009</v>
      </c>
      <c r="E165" s="1" t="s">
        <v>1010</v>
      </c>
      <c r="F165" s="1" t="s">
        <v>1011</v>
      </c>
      <c r="G165" s="18" t="s">
        <v>74</v>
      </c>
      <c r="H165" s="1" t="str">
        <f aca="false">IF(G165="BUG","BUG-"&amp;A165,IF(G165="FUNCTIONAL","FUNCTIONAL-"&amp;A165,""))</f>
        <v/>
      </c>
      <c r="I165" s="18" t="s">
        <v>65</v>
      </c>
      <c r="L165" s="1" t="s">
        <v>1012</v>
      </c>
    </row>
    <row r="166" customFormat="false" ht="15" hidden="false" customHeight="true" outlineLevel="0" collapsed="false">
      <c r="A166" s="1" t="s">
        <v>1013</v>
      </c>
      <c r="B166" s="1" t="s">
        <v>635</v>
      </c>
      <c r="C166" s="1" t="s">
        <v>1014</v>
      </c>
      <c r="D166" s="1" t="s">
        <v>1015</v>
      </c>
      <c r="E166" s="1" t="s">
        <v>1016</v>
      </c>
      <c r="F166" s="1" t="s">
        <v>1017</v>
      </c>
      <c r="G166" s="18" t="s">
        <v>74</v>
      </c>
      <c r="H166" s="1" t="str">
        <f aca="false">IF(G166="BUG","BUG-"&amp;A166,IF(G166="FUNCTIONAL","FUNCTIONAL-"&amp;A166,""))</f>
        <v/>
      </c>
      <c r="I166" s="18" t="s">
        <v>65</v>
      </c>
      <c r="L166" s="1" t="s">
        <v>1018</v>
      </c>
    </row>
    <row r="167" customFormat="false" ht="15" hidden="false" customHeight="true" outlineLevel="0" collapsed="false">
      <c r="A167" s="1" t="s">
        <v>1019</v>
      </c>
      <c r="B167" s="1" t="s">
        <v>144</v>
      </c>
      <c r="C167" s="1" t="s">
        <v>1020</v>
      </c>
      <c r="D167" s="1" t="s">
        <v>61</v>
      </c>
      <c r="E167" s="1" t="s">
        <v>1021</v>
      </c>
      <c r="F167" s="1" t="s">
        <v>1022</v>
      </c>
      <c r="G167" s="18" t="s">
        <v>74</v>
      </c>
      <c r="H167" s="1" t="str">
        <f aca="false">IF(G167="BUG","BUG-"&amp;A167,IF(G167="FUNCTIONAL","FUNCTIONAL-"&amp;A167,""))</f>
        <v/>
      </c>
      <c r="I167" s="18" t="s">
        <v>56</v>
      </c>
      <c r="L167" s="1" t="s">
        <v>1023</v>
      </c>
    </row>
    <row r="168" customFormat="false" ht="15" hidden="false" customHeight="true" outlineLevel="0" collapsed="false">
      <c r="A168" s="1" t="s">
        <v>1024</v>
      </c>
      <c r="B168" s="1" t="s">
        <v>144</v>
      </c>
      <c r="C168" s="1" t="s">
        <v>1025</v>
      </c>
      <c r="D168" s="1" t="s">
        <v>61</v>
      </c>
      <c r="E168" s="1" t="s">
        <v>1026</v>
      </c>
      <c r="F168" s="1" t="s">
        <v>1027</v>
      </c>
      <c r="G168" s="18" t="s">
        <v>74</v>
      </c>
      <c r="H168" s="1" t="str">
        <f aca="false">IF(G168="BUG","BUG-"&amp;A168,IF(G168="FUNCTIONAL","FUNCTIONAL-"&amp;A168,""))</f>
        <v/>
      </c>
      <c r="I168" s="18" t="s">
        <v>65</v>
      </c>
      <c r="L168" s="1" t="s">
        <v>1028</v>
      </c>
    </row>
    <row r="169" customFormat="false" ht="15" hidden="false" customHeight="true" outlineLevel="0" collapsed="false">
      <c r="A169" s="1" t="s">
        <v>1029</v>
      </c>
      <c r="B169" s="1" t="s">
        <v>430</v>
      </c>
      <c r="C169" s="1" t="s">
        <v>1030</v>
      </c>
      <c r="D169" s="1" t="s">
        <v>1031</v>
      </c>
      <c r="E169" s="1" t="s">
        <v>1032</v>
      </c>
      <c r="F169" s="1" t="s">
        <v>1033</v>
      </c>
      <c r="G169" s="18" t="s">
        <v>74</v>
      </c>
      <c r="H169" s="1" t="str">
        <f aca="false">IF(G169="BUG","BUG-"&amp;A169,IF(G169="FUNCTIONAL","FUNCTIONAL-"&amp;A169,""))</f>
        <v/>
      </c>
      <c r="I169" s="18" t="s">
        <v>56</v>
      </c>
      <c r="L169" s="1" t="s">
        <v>1034</v>
      </c>
    </row>
    <row r="170" customFormat="false" ht="15" hidden="false" customHeight="true" outlineLevel="0" collapsed="false">
      <c r="A170" s="1" t="s">
        <v>1035</v>
      </c>
      <c r="B170" s="1" t="s">
        <v>430</v>
      </c>
      <c r="C170" s="1" t="s">
        <v>1036</v>
      </c>
      <c r="D170" s="1" t="s">
        <v>1037</v>
      </c>
      <c r="E170" s="1" t="s">
        <v>1038</v>
      </c>
      <c r="F170" s="1" t="s">
        <v>1039</v>
      </c>
      <c r="G170" s="18" t="s">
        <v>74</v>
      </c>
      <c r="H170" s="1" t="str">
        <f aca="false">IF(G170="BUG","BUG-"&amp;A170,IF(G170="FUNCTIONAL","FUNCTIONAL-"&amp;A170,""))</f>
        <v/>
      </c>
      <c r="I170" s="18" t="s">
        <v>42</v>
      </c>
      <c r="L170" s="1" t="s">
        <v>1040</v>
      </c>
    </row>
    <row r="171" customFormat="false" ht="15" hidden="false" customHeight="true" outlineLevel="0" collapsed="false">
      <c r="A171" s="1" t="s">
        <v>1041</v>
      </c>
      <c r="B171" s="1" t="s">
        <v>201</v>
      </c>
      <c r="C171" s="1" t="s">
        <v>1042</v>
      </c>
      <c r="D171" s="1" t="s">
        <v>1043</v>
      </c>
      <c r="E171" s="1" t="s">
        <v>1044</v>
      </c>
      <c r="F171" s="1" t="s">
        <v>1045</v>
      </c>
      <c r="G171" s="18" t="s">
        <v>74</v>
      </c>
      <c r="H171" s="1" t="str">
        <f aca="false">IF(G171="BUG","BUG-"&amp;A171,IF(G171="FUNCTIONAL","FUNCTIONAL-"&amp;A171,""))</f>
        <v/>
      </c>
      <c r="I171" s="18" t="s">
        <v>56</v>
      </c>
      <c r="L171" s="1" t="s">
        <v>1046</v>
      </c>
    </row>
    <row r="172" customFormat="false" ht="15" hidden="false" customHeight="true" outlineLevel="0" collapsed="false">
      <c r="A172" s="1" t="s">
        <v>1047</v>
      </c>
      <c r="B172" s="1" t="s">
        <v>430</v>
      </c>
      <c r="C172" s="1" t="s">
        <v>1048</v>
      </c>
      <c r="D172" s="1" t="s">
        <v>61</v>
      </c>
      <c r="E172" s="1" t="s">
        <v>1049</v>
      </c>
      <c r="F172" s="1" t="s">
        <v>1050</v>
      </c>
      <c r="G172" s="18" t="s">
        <v>74</v>
      </c>
      <c r="H172" s="1" t="str">
        <f aca="false">IF(G172="BUG","BUG-"&amp;A172,IF(G172="FUNCTIONAL","FUNCTIONAL-"&amp;A172,""))</f>
        <v/>
      </c>
      <c r="I172" s="18" t="s">
        <v>65</v>
      </c>
      <c r="L172" s="1" t="s">
        <v>1051</v>
      </c>
    </row>
    <row r="173" customFormat="false" ht="15" hidden="false" customHeight="true" outlineLevel="0" collapsed="false">
      <c r="A173" s="1" t="s">
        <v>1052</v>
      </c>
      <c r="B173" s="1" t="s">
        <v>1053</v>
      </c>
      <c r="C173" s="1" t="s">
        <v>1054</v>
      </c>
      <c r="D173" s="1" t="s">
        <v>1055</v>
      </c>
      <c r="E173" s="1" t="s">
        <v>1056</v>
      </c>
      <c r="F173" s="1" t="s">
        <v>1057</v>
      </c>
      <c r="G173" s="18" t="s">
        <v>74</v>
      </c>
      <c r="H173" s="1" t="str">
        <f aca="false">IF(G173="BUG","BUG-"&amp;A173,IF(G173="FUNCTIONAL","FUNCTIONAL-"&amp;A173,""))</f>
        <v/>
      </c>
      <c r="I173" s="18" t="s">
        <v>56</v>
      </c>
      <c r="L173" s="1" t="s">
        <v>1058</v>
      </c>
    </row>
    <row r="174" customFormat="false" ht="15" hidden="false" customHeight="true" outlineLevel="0" collapsed="false">
      <c r="A174" s="1" t="s">
        <v>1059</v>
      </c>
      <c r="B174" s="1" t="s">
        <v>1053</v>
      </c>
      <c r="C174" s="1" t="s">
        <v>1060</v>
      </c>
      <c r="D174" s="1" t="s">
        <v>1055</v>
      </c>
      <c r="E174" s="1" t="s">
        <v>1061</v>
      </c>
      <c r="F174" s="1" t="s">
        <v>1062</v>
      </c>
      <c r="G174" s="18" t="s">
        <v>74</v>
      </c>
      <c r="H174" s="1" t="str">
        <f aca="false">IF(G174="BUG","BUG-"&amp;A174,IF(G174="FUNCTIONAL","FUNCTIONAL-"&amp;A174,""))</f>
        <v/>
      </c>
      <c r="I174" s="18" t="s">
        <v>56</v>
      </c>
      <c r="L174" s="1" t="s">
        <v>1063</v>
      </c>
    </row>
    <row r="175" customFormat="false" ht="15" hidden="false" customHeight="true" outlineLevel="0" collapsed="false">
      <c r="A175" s="1" t="s">
        <v>1064</v>
      </c>
      <c r="B175" s="1" t="s">
        <v>1053</v>
      </c>
      <c r="C175" s="1" t="s">
        <v>1065</v>
      </c>
      <c r="D175" s="1" t="s">
        <v>1055</v>
      </c>
      <c r="E175" s="1" t="s">
        <v>1066</v>
      </c>
      <c r="F175" s="1" t="s">
        <v>1067</v>
      </c>
      <c r="G175" s="18" t="s">
        <v>74</v>
      </c>
      <c r="H175" s="1" t="str">
        <f aca="false">IF(G175="BUG","BUG-"&amp;A175,IF(G175="FUNCTIONAL","FUNCTIONAL-"&amp;A175,""))</f>
        <v/>
      </c>
      <c r="I175" s="18" t="s">
        <v>65</v>
      </c>
      <c r="L175" s="1" t="s">
        <v>1068</v>
      </c>
    </row>
    <row r="176" customFormat="false" ht="15" hidden="false" customHeight="true" outlineLevel="0" collapsed="false">
      <c r="A176" s="1" t="s">
        <v>1069</v>
      </c>
      <c r="B176" s="1" t="s">
        <v>982</v>
      </c>
      <c r="C176" s="1" t="s">
        <v>1070</v>
      </c>
      <c r="D176" s="1" t="s">
        <v>61</v>
      </c>
      <c r="E176" s="1" t="s">
        <v>1071</v>
      </c>
      <c r="F176" s="1" t="s">
        <v>1072</v>
      </c>
      <c r="G176" s="18" t="s">
        <v>74</v>
      </c>
      <c r="H176" s="1" t="str">
        <f aca="false">IF(G176="BUG","BUG-"&amp;A176,IF(G176="FUNCTIONAL","FUNCTIONAL-"&amp;A176,""))</f>
        <v/>
      </c>
      <c r="I176" s="18" t="s">
        <v>56</v>
      </c>
      <c r="L176" s="1" t="s">
        <v>1073</v>
      </c>
    </row>
    <row r="177" customFormat="false" ht="15" hidden="false" customHeight="true" outlineLevel="0" collapsed="false">
      <c r="A177" s="1" t="s">
        <v>1074</v>
      </c>
      <c r="B177" s="1" t="s">
        <v>114</v>
      </c>
      <c r="C177" s="1" t="s">
        <v>1075</v>
      </c>
      <c r="D177" s="1" t="s">
        <v>1076</v>
      </c>
      <c r="E177" s="1" t="s">
        <v>1077</v>
      </c>
      <c r="F177" s="1" t="s">
        <v>1078</v>
      </c>
      <c r="G177" s="18" t="s">
        <v>74</v>
      </c>
      <c r="H177" s="1" t="str">
        <f aca="false">IF(G177="BUG","BUG-"&amp;A177,IF(G177="FUNCTIONAL","FUNCTIONAL-"&amp;A177,""))</f>
        <v/>
      </c>
      <c r="I177" s="18" t="s">
        <v>56</v>
      </c>
      <c r="L177" s="1" t="s">
        <v>1079</v>
      </c>
    </row>
    <row r="178" customFormat="false" ht="15" hidden="false" customHeight="true" outlineLevel="0" collapsed="false">
      <c r="A178" s="1" t="s">
        <v>1080</v>
      </c>
      <c r="B178" s="1" t="s">
        <v>635</v>
      </c>
      <c r="C178" s="1" t="s">
        <v>1081</v>
      </c>
      <c r="D178" s="1" t="s">
        <v>1082</v>
      </c>
      <c r="E178" s="1" t="s">
        <v>1083</v>
      </c>
      <c r="F178" s="1" t="s">
        <v>1084</v>
      </c>
      <c r="G178" s="18" t="s">
        <v>74</v>
      </c>
      <c r="H178" s="1" t="str">
        <f aca="false">IF(G178="BUG","BUG-"&amp;A178,IF(G178="FUNCTIONAL","FUNCTIONAL-"&amp;A178,""))</f>
        <v/>
      </c>
      <c r="I178" s="18" t="s">
        <v>65</v>
      </c>
      <c r="L178" s="1" t="s">
        <v>1085</v>
      </c>
    </row>
    <row r="179" customFormat="false" ht="15" hidden="false" customHeight="true" outlineLevel="0" collapsed="false">
      <c r="A179" s="1" t="s">
        <v>1086</v>
      </c>
      <c r="B179" s="1" t="s">
        <v>635</v>
      </c>
      <c r="C179" s="1" t="s">
        <v>1087</v>
      </c>
      <c r="D179" s="1" t="s">
        <v>1088</v>
      </c>
      <c r="E179" s="1" t="s">
        <v>1089</v>
      </c>
      <c r="F179" s="1" t="s">
        <v>1090</v>
      </c>
      <c r="G179" s="18" t="s">
        <v>74</v>
      </c>
      <c r="H179" s="1" t="str">
        <f aca="false">IF(G179="BUG","BUG-"&amp;A179,IF(G179="FUNCTIONAL","FUNCTIONAL-"&amp;A179,""))</f>
        <v/>
      </c>
      <c r="I179" s="18" t="s">
        <v>65</v>
      </c>
      <c r="L179" s="1" t="s">
        <v>1091</v>
      </c>
    </row>
    <row r="180" customFormat="false" ht="15" hidden="false" customHeight="true" outlineLevel="0" collapsed="false">
      <c r="A180" s="1" t="s">
        <v>1092</v>
      </c>
      <c r="B180" s="1" t="s">
        <v>430</v>
      </c>
      <c r="C180" s="1" t="s">
        <v>1093</v>
      </c>
      <c r="D180" s="1" t="s">
        <v>1094</v>
      </c>
      <c r="E180" s="1" t="s">
        <v>1095</v>
      </c>
      <c r="F180" s="1" t="s">
        <v>1096</v>
      </c>
      <c r="G180" s="18" t="s">
        <v>74</v>
      </c>
      <c r="H180" s="1" t="str">
        <f aca="false">IF(G180="BUG","BUG-"&amp;A180,IF(G180="FUNCTIONAL","FUNCTIONAL-"&amp;A180,""))</f>
        <v/>
      </c>
      <c r="I180" s="18" t="s">
        <v>56</v>
      </c>
      <c r="L180" s="1" t="s">
        <v>1097</v>
      </c>
    </row>
    <row r="181" customFormat="false" ht="15" hidden="false" customHeight="true" outlineLevel="0" collapsed="false">
      <c r="A181" s="1" t="s">
        <v>1098</v>
      </c>
      <c r="B181" s="1" t="s">
        <v>857</v>
      </c>
      <c r="C181" s="1" t="s">
        <v>1099</v>
      </c>
      <c r="D181" s="1" t="s">
        <v>61</v>
      </c>
      <c r="E181" s="1" t="s">
        <v>1100</v>
      </c>
      <c r="F181" s="1" t="s">
        <v>1101</v>
      </c>
      <c r="G181" s="18" t="s">
        <v>74</v>
      </c>
      <c r="H181" s="1" t="str">
        <f aca="false">IF(G181="BUG","BUG-"&amp;A181,IF(G181="FUNCTIONAL","FUNCTIONAL-"&amp;A181,""))</f>
        <v/>
      </c>
      <c r="I181" s="18" t="s">
        <v>56</v>
      </c>
      <c r="L181" s="1" t="s">
        <v>1102</v>
      </c>
    </row>
    <row r="182" customFormat="false" ht="15" hidden="false" customHeight="true" outlineLevel="0" collapsed="false">
      <c r="A182" s="1" t="s">
        <v>1103</v>
      </c>
      <c r="B182" s="1" t="s">
        <v>982</v>
      </c>
      <c r="C182" s="1" t="s">
        <v>1104</v>
      </c>
      <c r="D182" s="1" t="s">
        <v>1105</v>
      </c>
      <c r="E182" s="1" t="s">
        <v>1106</v>
      </c>
      <c r="F182" s="1" t="s">
        <v>1107</v>
      </c>
      <c r="G182" s="18" t="s">
        <v>74</v>
      </c>
      <c r="H182" s="1" t="str">
        <f aca="false">IF(G182="BUG","BUG-"&amp;A182,IF(G182="FUNCTIONAL","FUNCTIONAL-"&amp;A182,""))</f>
        <v/>
      </c>
      <c r="I182" s="18" t="s">
        <v>65</v>
      </c>
      <c r="L182" s="1" t="s">
        <v>1108</v>
      </c>
    </row>
    <row r="183" customFormat="false" ht="15" hidden="false" customHeight="true" outlineLevel="0" collapsed="false">
      <c r="A183" s="1" t="s">
        <v>1109</v>
      </c>
      <c r="B183" s="1" t="s">
        <v>430</v>
      </c>
      <c r="C183" s="1" t="s">
        <v>1110</v>
      </c>
      <c r="D183" s="1" t="s">
        <v>61</v>
      </c>
      <c r="E183" s="1" t="s">
        <v>1111</v>
      </c>
      <c r="F183" s="1" t="s">
        <v>1112</v>
      </c>
      <c r="G183" s="18" t="s">
        <v>74</v>
      </c>
      <c r="H183" s="1" t="str">
        <f aca="false">IF(G183="BUG","BUG-"&amp;A183,IF(G183="FUNCTIONAL","FUNCTIONAL-"&amp;A183,""))</f>
        <v/>
      </c>
      <c r="I183" s="18" t="s">
        <v>65</v>
      </c>
      <c r="L183" s="1" t="s">
        <v>1113</v>
      </c>
    </row>
    <row r="184" customFormat="false" ht="15" hidden="false" customHeight="true" outlineLevel="0" collapsed="false">
      <c r="A184" s="1" t="s">
        <v>1114</v>
      </c>
      <c r="B184" s="1" t="s">
        <v>864</v>
      </c>
      <c r="C184" s="1" t="s">
        <v>1115</v>
      </c>
      <c r="D184" s="1" t="s">
        <v>1076</v>
      </c>
      <c r="E184" s="1" t="s">
        <v>1116</v>
      </c>
      <c r="F184" s="1" t="s">
        <v>1117</v>
      </c>
      <c r="G184" s="18" t="s">
        <v>74</v>
      </c>
      <c r="H184" s="1" t="str">
        <f aca="false">IF(G184="BUG","BUG-"&amp;A184,IF(G184="FUNCTIONAL","FUNCTIONAL-"&amp;A184,""))</f>
        <v/>
      </c>
      <c r="I184" s="18" t="s">
        <v>42</v>
      </c>
      <c r="L184" s="1" t="s">
        <v>1118</v>
      </c>
    </row>
    <row r="185" customFormat="false" ht="15" hidden="false" customHeight="true" outlineLevel="0" collapsed="false">
      <c r="A185" s="1" t="s">
        <v>1119</v>
      </c>
      <c r="B185" s="1" t="s">
        <v>864</v>
      </c>
      <c r="C185" s="1" t="s">
        <v>1120</v>
      </c>
      <c r="D185" s="1" t="s">
        <v>1121</v>
      </c>
      <c r="E185" s="1" t="s">
        <v>1122</v>
      </c>
      <c r="F185" s="1" t="s">
        <v>1123</v>
      </c>
      <c r="G185" s="18" t="s">
        <v>74</v>
      </c>
      <c r="H185" s="1" t="str">
        <f aca="false">IF(G185="BUG","BUG-"&amp;A185,IF(G185="FUNCTIONAL","FUNCTIONAL-"&amp;A185,""))</f>
        <v/>
      </c>
      <c r="I185" s="18" t="s">
        <v>56</v>
      </c>
      <c r="L185" s="1" t="s">
        <v>1124</v>
      </c>
    </row>
    <row r="186" customFormat="false" ht="15" hidden="false" customHeight="true" outlineLevel="0" collapsed="false">
      <c r="A186" s="1" t="s">
        <v>1125</v>
      </c>
      <c r="B186" s="1" t="s">
        <v>1126</v>
      </c>
      <c r="C186" s="1" t="s">
        <v>1127</v>
      </c>
      <c r="D186" s="1" t="s">
        <v>1128</v>
      </c>
      <c r="E186" s="1" t="s">
        <v>1129</v>
      </c>
      <c r="F186" s="1" t="s">
        <v>1130</v>
      </c>
      <c r="G186" s="18" t="s">
        <v>74</v>
      </c>
      <c r="H186" s="1" t="str">
        <f aca="false">IF(G186="BUG","BUG-"&amp;A186,IF(G186="FUNCTIONAL","FUNCTIONAL-"&amp;A186,""))</f>
        <v/>
      </c>
      <c r="I186" s="18" t="s">
        <v>42</v>
      </c>
      <c r="L186" s="1" t="s">
        <v>1131</v>
      </c>
    </row>
    <row r="187" customFormat="false" ht="15" hidden="false" customHeight="true" outlineLevel="0" collapsed="false">
      <c r="A187" s="1" t="s">
        <v>1132</v>
      </c>
      <c r="B187" s="1" t="s">
        <v>114</v>
      </c>
      <c r="C187" s="1" t="s">
        <v>1133</v>
      </c>
      <c r="D187" s="1" t="s">
        <v>1134</v>
      </c>
      <c r="E187" s="1" t="s">
        <v>1135</v>
      </c>
      <c r="F187" s="1" t="s">
        <v>1136</v>
      </c>
      <c r="G187" s="18" t="s">
        <v>74</v>
      </c>
      <c r="H187" s="1" t="str">
        <f aca="false">IF(G187="BUG","BUG-"&amp;A187,IF(G187="FUNCTIONAL","FUNCTIONAL-"&amp;A187,""))</f>
        <v/>
      </c>
      <c r="I187" s="18" t="s">
        <v>42</v>
      </c>
      <c r="L187" s="1" t="s">
        <v>1137</v>
      </c>
    </row>
    <row r="188" customFormat="false" ht="15" hidden="false" customHeight="true" outlineLevel="0" collapsed="false">
      <c r="A188" s="1" t="s">
        <v>1138</v>
      </c>
      <c r="B188" s="1" t="s">
        <v>1126</v>
      </c>
      <c r="C188" s="1" t="s">
        <v>1139</v>
      </c>
      <c r="D188" s="1" t="s">
        <v>1140</v>
      </c>
      <c r="E188" s="1" t="s">
        <v>1141</v>
      </c>
      <c r="F188" s="1" t="s">
        <v>1142</v>
      </c>
      <c r="G188" s="18" t="s">
        <v>74</v>
      </c>
      <c r="H188" s="1" t="str">
        <f aca="false">IF(G188="BUG","BUG-"&amp;A188,IF(G188="FUNCTIONAL","FUNCTIONAL-"&amp;A188,""))</f>
        <v/>
      </c>
      <c r="I188" s="18" t="s">
        <v>42</v>
      </c>
      <c r="L188" s="1" t="s">
        <v>1143</v>
      </c>
    </row>
    <row r="189" customFormat="false" ht="15" hidden="false" customHeight="true" outlineLevel="0" collapsed="false">
      <c r="A189" s="1" t="s">
        <v>1144</v>
      </c>
      <c r="B189" s="1" t="s">
        <v>1126</v>
      </c>
      <c r="C189" s="1" t="s">
        <v>1145</v>
      </c>
      <c r="D189" s="1" t="s">
        <v>1146</v>
      </c>
      <c r="E189" s="1" t="s">
        <v>1147</v>
      </c>
      <c r="F189" s="1" t="s">
        <v>1148</v>
      </c>
      <c r="G189" s="18" t="s">
        <v>74</v>
      </c>
      <c r="H189" s="1" t="str">
        <f aca="false">IF(G189="BUG","BUG-"&amp;A189,IF(G189="FUNCTIONAL","FUNCTIONAL-"&amp;A189,""))</f>
        <v/>
      </c>
      <c r="I189" s="18" t="s">
        <v>42</v>
      </c>
      <c r="L189" s="1" t="s">
        <v>1149</v>
      </c>
    </row>
    <row r="190" customFormat="false" ht="15" hidden="false" customHeight="true" outlineLevel="0" collapsed="false">
      <c r="A190" s="1" t="s">
        <v>1150</v>
      </c>
      <c r="B190" s="1" t="s">
        <v>1151</v>
      </c>
      <c r="C190" s="1" t="s">
        <v>1152</v>
      </c>
      <c r="D190" s="1" t="s">
        <v>509</v>
      </c>
      <c r="E190" s="1" t="s">
        <v>1153</v>
      </c>
      <c r="F190" s="1" t="s">
        <v>1154</v>
      </c>
      <c r="G190" s="18" t="s">
        <v>74</v>
      </c>
      <c r="H190" s="1" t="str">
        <f aca="false">IF(G190="BUG","BUG-"&amp;A190,IF(G190="FUNCTIONAL","FUNCTIONAL-"&amp;A190,""))</f>
        <v/>
      </c>
      <c r="I190" s="18" t="s">
        <v>42</v>
      </c>
      <c r="L190" s="1" t="s">
        <v>1155</v>
      </c>
    </row>
    <row r="191" customFormat="false" ht="15" hidden="false" customHeight="true" outlineLevel="0" collapsed="false">
      <c r="A191" s="1" t="s">
        <v>1156</v>
      </c>
      <c r="B191" s="1" t="s">
        <v>1157</v>
      </c>
      <c r="C191" s="1" t="s">
        <v>1158</v>
      </c>
      <c r="D191" s="1" t="s">
        <v>1159</v>
      </c>
      <c r="E191" s="1" t="s">
        <v>1160</v>
      </c>
      <c r="F191" s="1" t="s">
        <v>1161</v>
      </c>
      <c r="G191" s="18" t="s">
        <v>74</v>
      </c>
      <c r="H191" s="1" t="str">
        <f aca="false">IF(G191="BUG","BUG-"&amp;A191,IF(G191="FUNCTIONAL","FUNCTIONAL-"&amp;A191,""))</f>
        <v/>
      </c>
      <c r="I191" s="18" t="s">
        <v>42</v>
      </c>
      <c r="L191" s="1" t="s">
        <v>1162</v>
      </c>
    </row>
    <row r="192" customFormat="false" ht="15" hidden="false" customHeight="true" outlineLevel="0" collapsed="false">
      <c r="A192" s="1" t="s">
        <v>1163</v>
      </c>
      <c r="B192" s="1" t="s">
        <v>1157</v>
      </c>
      <c r="C192" s="1" t="s">
        <v>1164</v>
      </c>
      <c r="D192" s="1" t="s">
        <v>1165</v>
      </c>
      <c r="E192" s="1" t="s">
        <v>1166</v>
      </c>
      <c r="F192" s="1" t="s">
        <v>1167</v>
      </c>
      <c r="G192" s="18" t="s">
        <v>74</v>
      </c>
      <c r="H192" s="1" t="str">
        <f aca="false">IF(G192="BUG","BUG-"&amp;A192,IF(G192="FUNCTIONAL","FUNCTIONAL-"&amp;A192,""))</f>
        <v/>
      </c>
      <c r="I192" s="18" t="s">
        <v>42</v>
      </c>
      <c r="L192" s="1" t="s">
        <v>1168</v>
      </c>
    </row>
    <row r="193" customFormat="false" ht="15" hidden="false" customHeight="true" outlineLevel="0" collapsed="false">
      <c r="A193" s="1" t="s">
        <v>1169</v>
      </c>
      <c r="B193" s="1" t="s">
        <v>1157</v>
      </c>
      <c r="C193" s="1" t="s">
        <v>1170</v>
      </c>
      <c r="D193" s="1" t="s">
        <v>1171</v>
      </c>
      <c r="E193" s="1" t="s">
        <v>1172</v>
      </c>
      <c r="F193" s="1" t="s">
        <v>1173</v>
      </c>
      <c r="G193" s="18" t="s">
        <v>74</v>
      </c>
      <c r="H193" s="1" t="str">
        <f aca="false">IF(G193="BUG","BUG-"&amp;A193,IF(G193="FUNCTIONAL","FUNCTIONAL-"&amp;A193,""))</f>
        <v/>
      </c>
      <c r="I193" s="18" t="s">
        <v>56</v>
      </c>
      <c r="L193" s="1" t="s">
        <v>1174</v>
      </c>
    </row>
    <row r="194" customFormat="false" ht="15" hidden="false" customHeight="true" outlineLevel="0" collapsed="false">
      <c r="A194" s="1" t="s">
        <v>1175</v>
      </c>
      <c r="B194" s="1" t="s">
        <v>1157</v>
      </c>
      <c r="C194" s="1" t="s">
        <v>1176</v>
      </c>
      <c r="D194" s="1" t="s">
        <v>1177</v>
      </c>
      <c r="E194" s="1" t="s">
        <v>1178</v>
      </c>
      <c r="F194" s="1" t="s">
        <v>1179</v>
      </c>
      <c r="G194" s="18" t="s">
        <v>74</v>
      </c>
      <c r="H194" s="1" t="str">
        <f aca="false">IF(G194="BUG","BUG-"&amp;A194,IF(G194="FUNCTIONAL","FUNCTIONAL-"&amp;A194,""))</f>
        <v/>
      </c>
      <c r="I194" s="18" t="s">
        <v>42</v>
      </c>
      <c r="L194" s="1" t="s">
        <v>1180</v>
      </c>
    </row>
    <row r="195" customFormat="false" ht="15" hidden="false" customHeight="true" outlineLevel="0" collapsed="false">
      <c r="A195" s="1" t="s">
        <v>1181</v>
      </c>
      <c r="B195" s="1" t="s">
        <v>1157</v>
      </c>
      <c r="C195" s="1" t="s">
        <v>1182</v>
      </c>
      <c r="D195" s="1" t="s">
        <v>1177</v>
      </c>
      <c r="E195" s="1" t="s">
        <v>1183</v>
      </c>
      <c r="F195" s="1" t="s">
        <v>1184</v>
      </c>
      <c r="G195" s="18" t="s">
        <v>74</v>
      </c>
      <c r="H195" s="1" t="str">
        <f aca="false">IF(G195="BUG","BUG-"&amp;A195,IF(G195="FUNCTIONAL","FUNCTIONAL-"&amp;A195,""))</f>
        <v/>
      </c>
      <c r="I195" s="18" t="s">
        <v>42</v>
      </c>
      <c r="L195" s="1" t="s">
        <v>1185</v>
      </c>
    </row>
    <row r="196" customFormat="false" ht="15" hidden="false" customHeight="true" outlineLevel="0" collapsed="false">
      <c r="A196" s="1" t="s">
        <v>1186</v>
      </c>
      <c r="B196" s="1" t="s">
        <v>1157</v>
      </c>
      <c r="C196" s="1" t="s">
        <v>1187</v>
      </c>
      <c r="D196" s="1" t="s">
        <v>1188</v>
      </c>
      <c r="E196" s="1" t="s">
        <v>1189</v>
      </c>
      <c r="F196" s="1" t="s">
        <v>1190</v>
      </c>
      <c r="G196" s="18" t="s">
        <v>74</v>
      </c>
      <c r="H196" s="1" t="str">
        <f aca="false">IF(G196="BUG","BUG-"&amp;A196,IF(G196="FUNCTIONAL","FUNCTIONAL-"&amp;A196,""))</f>
        <v/>
      </c>
      <c r="I196" s="18" t="s">
        <v>42</v>
      </c>
      <c r="L196" s="1" t="s">
        <v>1185</v>
      </c>
    </row>
    <row r="197" customFormat="false" ht="15" hidden="false" customHeight="true" outlineLevel="0" collapsed="false">
      <c r="A197" s="1" t="s">
        <v>1191</v>
      </c>
      <c r="B197" s="1" t="s">
        <v>1192</v>
      </c>
      <c r="C197" s="1" t="s">
        <v>1193</v>
      </c>
      <c r="D197" s="1" t="s">
        <v>1159</v>
      </c>
      <c r="E197" s="1" t="s">
        <v>1160</v>
      </c>
      <c r="F197" s="1" t="s">
        <v>1194</v>
      </c>
      <c r="G197" s="18" t="s">
        <v>74</v>
      </c>
      <c r="H197" s="1" t="str">
        <f aca="false">IF(G197="BUG","BUG-"&amp;A197,IF(G197="FUNCTIONAL","FUNCTIONAL-"&amp;A197,""))</f>
        <v/>
      </c>
      <c r="I197" s="18" t="s">
        <v>42</v>
      </c>
      <c r="L197" s="1" t="s">
        <v>1195</v>
      </c>
    </row>
    <row r="198" customFormat="false" ht="15" hidden="false" customHeight="true" outlineLevel="0" collapsed="false">
      <c r="A198" s="1" t="s">
        <v>1196</v>
      </c>
      <c r="B198" s="1" t="s">
        <v>1192</v>
      </c>
      <c r="C198" s="1" t="s">
        <v>1197</v>
      </c>
      <c r="D198" s="1" t="s">
        <v>1094</v>
      </c>
      <c r="E198" s="1" t="s">
        <v>1198</v>
      </c>
      <c r="F198" s="1" t="s">
        <v>1199</v>
      </c>
      <c r="G198" s="18" t="s">
        <v>74</v>
      </c>
      <c r="H198" s="1" t="str">
        <f aca="false">IF(G198="BUG","BUG-"&amp;A198,IF(G198="FUNCTIONAL","FUNCTIONAL-"&amp;A198,""))</f>
        <v/>
      </c>
      <c r="I198" s="18" t="s">
        <v>56</v>
      </c>
      <c r="L198" s="1" t="s">
        <v>1200</v>
      </c>
    </row>
    <row r="199" customFormat="false" ht="15" hidden="false" customHeight="true" outlineLevel="0" collapsed="false">
      <c r="A199" s="1" t="s">
        <v>1201</v>
      </c>
      <c r="B199" s="1" t="s">
        <v>1192</v>
      </c>
      <c r="C199" s="1" t="s">
        <v>1202</v>
      </c>
      <c r="D199" s="1" t="s">
        <v>1128</v>
      </c>
      <c r="E199" s="1" t="s">
        <v>1160</v>
      </c>
      <c r="F199" s="1" t="s">
        <v>1203</v>
      </c>
      <c r="G199" s="18" t="s">
        <v>74</v>
      </c>
      <c r="H199" s="1" t="str">
        <f aca="false">IF(G199="BUG","BUG-"&amp;A199,IF(G199="FUNCTIONAL","FUNCTIONAL-"&amp;A199,""))</f>
        <v/>
      </c>
      <c r="I199" s="18" t="s">
        <v>56</v>
      </c>
      <c r="L199" s="1" t="s">
        <v>1204</v>
      </c>
    </row>
    <row r="200" customFormat="false" ht="15" hidden="false" customHeight="true" outlineLevel="0" collapsed="false">
      <c r="A200" s="1" t="s">
        <v>1205</v>
      </c>
      <c r="B200" s="1" t="s">
        <v>1206</v>
      </c>
      <c r="C200" s="1" t="s">
        <v>1207</v>
      </c>
      <c r="D200" s="1" t="s">
        <v>1159</v>
      </c>
      <c r="E200" s="1" t="s">
        <v>1208</v>
      </c>
      <c r="F200" s="1" t="s">
        <v>1209</v>
      </c>
      <c r="G200" s="18" t="s">
        <v>74</v>
      </c>
      <c r="H200" s="1" t="str">
        <f aca="false">IF(G200="BUG","BUG-"&amp;A200,IF(G200="FUNCTIONAL","FUNCTIONAL-"&amp;A200,""))</f>
        <v/>
      </c>
      <c r="I200" s="18" t="s">
        <v>42</v>
      </c>
      <c r="L200" s="1" t="s">
        <v>1210</v>
      </c>
    </row>
    <row r="201" customFormat="false" ht="15" hidden="false" customHeight="true" outlineLevel="0" collapsed="false">
      <c r="A201" s="1" t="s">
        <v>1211</v>
      </c>
      <c r="B201" s="1" t="s">
        <v>1206</v>
      </c>
      <c r="C201" s="1" t="s">
        <v>1212</v>
      </c>
      <c r="D201" s="1" t="s">
        <v>61</v>
      </c>
      <c r="E201" s="1" t="s">
        <v>1213</v>
      </c>
      <c r="F201" s="1" t="s">
        <v>1214</v>
      </c>
      <c r="G201" s="18" t="s">
        <v>74</v>
      </c>
      <c r="H201" s="1" t="str">
        <f aca="false">IF(G201="BUG","BUG-"&amp;A201,IF(G201="FUNCTIONAL","FUNCTIONAL-"&amp;A201,""))</f>
        <v/>
      </c>
      <c r="I201" s="18" t="s">
        <v>56</v>
      </c>
      <c r="L201" s="1" t="s">
        <v>1215</v>
      </c>
    </row>
    <row r="202" customFormat="false" ht="15" hidden="false" customHeight="true" outlineLevel="0" collapsed="false">
      <c r="A202" s="1" t="s">
        <v>1216</v>
      </c>
      <c r="B202" s="1" t="s">
        <v>1206</v>
      </c>
      <c r="C202" s="1" t="s">
        <v>1217</v>
      </c>
      <c r="D202" s="1" t="s">
        <v>61</v>
      </c>
      <c r="E202" s="1" t="s">
        <v>1218</v>
      </c>
      <c r="F202" s="1" t="s">
        <v>1219</v>
      </c>
      <c r="G202" s="18" t="s">
        <v>74</v>
      </c>
      <c r="H202" s="1" t="str">
        <f aca="false">IF(G202="BUG","BUG-"&amp;A202,IF(G202="FUNCTIONAL","FUNCTIONAL-"&amp;A202,""))</f>
        <v/>
      </c>
      <c r="I202" s="18" t="s">
        <v>65</v>
      </c>
      <c r="L202" s="1" t="s">
        <v>1220</v>
      </c>
    </row>
    <row r="203" customFormat="false" ht="15" hidden="false" customHeight="true" outlineLevel="0" collapsed="false">
      <c r="A203" s="1" t="s">
        <v>1221</v>
      </c>
      <c r="B203" s="1" t="s">
        <v>1222</v>
      </c>
      <c r="C203" s="1" t="s">
        <v>1223</v>
      </c>
      <c r="D203" s="1" t="s">
        <v>1159</v>
      </c>
      <c r="E203" s="1" t="s">
        <v>1224</v>
      </c>
      <c r="F203" s="1" t="s">
        <v>1225</v>
      </c>
      <c r="G203" s="18" t="s">
        <v>74</v>
      </c>
      <c r="H203" s="1" t="str">
        <f aca="false">IF(G203="BUG","BUG-"&amp;A203,IF(G203="FUNCTIONAL","FUNCTIONAL-"&amp;A203,""))</f>
        <v/>
      </c>
      <c r="I203" s="18" t="s">
        <v>42</v>
      </c>
      <c r="L203" s="1" t="s">
        <v>1226</v>
      </c>
    </row>
    <row r="204" customFormat="false" ht="15" hidden="false" customHeight="true" outlineLevel="0" collapsed="false">
      <c r="A204" s="1" t="s">
        <v>1227</v>
      </c>
      <c r="B204" s="1" t="s">
        <v>1222</v>
      </c>
      <c r="C204" s="1" t="s">
        <v>1228</v>
      </c>
      <c r="D204" s="1" t="s">
        <v>1229</v>
      </c>
      <c r="E204" s="1" t="s">
        <v>1230</v>
      </c>
      <c r="F204" s="1" t="s">
        <v>1231</v>
      </c>
      <c r="G204" s="18" t="s">
        <v>74</v>
      </c>
      <c r="H204" s="1" t="str">
        <f aca="false">IF(G204="BUG","BUG-"&amp;A204,IF(G204="FUNCTIONAL","FUNCTIONAL-"&amp;A204,""))</f>
        <v/>
      </c>
      <c r="I204" s="18" t="s">
        <v>42</v>
      </c>
      <c r="L204" s="1" t="s">
        <v>1232</v>
      </c>
    </row>
    <row r="205" customFormat="false" ht="15" hidden="false" customHeight="true" outlineLevel="0" collapsed="false">
      <c r="A205" s="1" t="s">
        <v>1233</v>
      </c>
      <c r="B205" s="1" t="s">
        <v>1222</v>
      </c>
      <c r="C205" s="1" t="s">
        <v>1234</v>
      </c>
      <c r="D205" s="1" t="s">
        <v>1235</v>
      </c>
      <c r="E205" s="1" t="s">
        <v>1230</v>
      </c>
      <c r="F205" s="1" t="s">
        <v>1236</v>
      </c>
      <c r="G205" s="18" t="s">
        <v>74</v>
      </c>
      <c r="H205" s="1" t="str">
        <f aca="false">IF(G205="BUG","BUG-"&amp;A205,IF(G205="FUNCTIONAL","FUNCTIONAL-"&amp;A205,""))</f>
        <v/>
      </c>
      <c r="I205" s="18" t="s">
        <v>56</v>
      </c>
      <c r="L205" s="1" t="s">
        <v>1237</v>
      </c>
    </row>
    <row r="206" customFormat="false" ht="15" hidden="false" customHeight="true" outlineLevel="0" collapsed="false">
      <c r="A206" s="1" t="s">
        <v>1238</v>
      </c>
      <c r="B206" s="1" t="s">
        <v>1222</v>
      </c>
      <c r="C206" s="1" t="s">
        <v>1239</v>
      </c>
      <c r="D206" s="1" t="s">
        <v>1240</v>
      </c>
      <c r="E206" s="1" t="s">
        <v>1241</v>
      </c>
      <c r="F206" s="1" t="s">
        <v>1242</v>
      </c>
      <c r="G206" s="18" t="s">
        <v>74</v>
      </c>
      <c r="H206" s="1" t="str">
        <f aca="false">IF(G206="BUG","BUG-"&amp;A206,IF(G206="FUNCTIONAL","FUNCTIONAL-"&amp;A206,""))</f>
        <v/>
      </c>
      <c r="I206" s="18" t="s">
        <v>56</v>
      </c>
      <c r="L206" s="1" t="s">
        <v>1243</v>
      </c>
    </row>
    <row r="207" customFormat="false" ht="15" hidden="false" customHeight="true" outlineLevel="0" collapsed="false">
      <c r="A207" s="1" t="s">
        <v>1244</v>
      </c>
      <c r="B207" s="1" t="s">
        <v>1222</v>
      </c>
      <c r="C207" s="1" t="s">
        <v>1245</v>
      </c>
      <c r="D207" s="1" t="s">
        <v>61</v>
      </c>
      <c r="E207" s="1" t="s">
        <v>1246</v>
      </c>
      <c r="F207" s="1" t="s">
        <v>1247</v>
      </c>
      <c r="G207" s="18" t="s">
        <v>74</v>
      </c>
      <c r="H207" s="1" t="str">
        <f aca="false">IF(G207="BUG","BUG-"&amp;A207,IF(G207="FUNCTIONAL","FUNCTIONAL-"&amp;A207,""))</f>
        <v/>
      </c>
      <c r="I207" s="18" t="s">
        <v>56</v>
      </c>
      <c r="L207" s="1" t="s">
        <v>1248</v>
      </c>
    </row>
    <row r="208" customFormat="false" ht="15" hidden="false" customHeight="true" outlineLevel="0" collapsed="false">
      <c r="A208" s="1" t="s">
        <v>610</v>
      </c>
      <c r="B208" s="1" t="s">
        <v>582</v>
      </c>
      <c r="C208" s="1" t="s">
        <v>1249</v>
      </c>
      <c r="D208" s="1" t="s">
        <v>1159</v>
      </c>
      <c r="E208" s="1" t="s">
        <v>1250</v>
      </c>
      <c r="F208" s="1" t="s">
        <v>1251</v>
      </c>
      <c r="G208" s="18" t="s">
        <v>74</v>
      </c>
      <c r="H208" s="1" t="str">
        <f aca="false">IF(G208="BUG","BUG-"&amp;A208,IF(G208="FUNCTIONAL","FUNCTIONAL-"&amp;A208,""))</f>
        <v/>
      </c>
      <c r="I208" s="18" t="s">
        <v>42</v>
      </c>
      <c r="L208" s="1" t="s">
        <v>1252</v>
      </c>
    </row>
    <row r="209" customFormat="false" ht="15" hidden="false" customHeight="true" outlineLevel="0" collapsed="false">
      <c r="A209" s="1" t="s">
        <v>619</v>
      </c>
      <c r="B209" s="1" t="s">
        <v>582</v>
      </c>
      <c r="C209" s="1" t="s">
        <v>1253</v>
      </c>
      <c r="D209" s="1" t="s">
        <v>1254</v>
      </c>
      <c r="E209" s="1" t="s">
        <v>1255</v>
      </c>
      <c r="F209" s="1" t="s">
        <v>1256</v>
      </c>
      <c r="G209" s="18" t="s">
        <v>74</v>
      </c>
      <c r="H209" s="1" t="str">
        <f aca="false">IF(G209="BUG","BUG-"&amp;A209,IF(G209="FUNCTIONAL","FUNCTIONAL-"&amp;A209,""))</f>
        <v/>
      </c>
      <c r="I209" s="18" t="s">
        <v>42</v>
      </c>
      <c r="L209" s="1" t="s">
        <v>1257</v>
      </c>
    </row>
    <row r="210" customFormat="false" ht="15" hidden="false" customHeight="true" outlineLevel="0" collapsed="false">
      <c r="A210" s="1" t="s">
        <v>1258</v>
      </c>
      <c r="B210" s="1" t="s">
        <v>1259</v>
      </c>
      <c r="C210" s="1" t="s">
        <v>1260</v>
      </c>
      <c r="D210" s="1" t="s">
        <v>1159</v>
      </c>
      <c r="E210" s="1" t="s">
        <v>1261</v>
      </c>
      <c r="F210" s="1" t="s">
        <v>1262</v>
      </c>
      <c r="G210" s="18" t="s">
        <v>74</v>
      </c>
      <c r="H210" s="1" t="str">
        <f aca="false">IF(G210="BUG","BUG-"&amp;A210,IF(G210="FUNCTIONAL","FUNCTIONAL-"&amp;A210,""))</f>
        <v/>
      </c>
      <c r="I210" s="18" t="s">
        <v>42</v>
      </c>
      <c r="L210" s="1" t="s">
        <v>1263</v>
      </c>
    </row>
    <row r="211" customFormat="false" ht="15" hidden="false" customHeight="true" outlineLevel="0" collapsed="false">
      <c r="A211" s="1" t="s">
        <v>1264</v>
      </c>
      <c r="B211" s="1" t="s">
        <v>1259</v>
      </c>
      <c r="C211" s="1" t="s">
        <v>1265</v>
      </c>
      <c r="D211" s="1" t="s">
        <v>1266</v>
      </c>
      <c r="E211" s="1" t="s">
        <v>1261</v>
      </c>
      <c r="F211" s="1" t="s">
        <v>1267</v>
      </c>
      <c r="G211" s="18" t="s">
        <v>74</v>
      </c>
      <c r="H211" s="1" t="str">
        <f aca="false">IF(G211="BUG","BUG-"&amp;A211,IF(G211="FUNCTIONAL","FUNCTIONAL-"&amp;A211,""))</f>
        <v/>
      </c>
      <c r="I211" s="18" t="s">
        <v>42</v>
      </c>
      <c r="L211" s="1" t="s">
        <v>1268</v>
      </c>
    </row>
    <row r="212" customFormat="false" ht="15" hidden="false" customHeight="true" outlineLevel="0" collapsed="false">
      <c r="A212" s="1" t="s">
        <v>1269</v>
      </c>
      <c r="B212" s="1" t="s">
        <v>1259</v>
      </c>
      <c r="C212" s="1" t="s">
        <v>1270</v>
      </c>
      <c r="D212" s="1" t="s">
        <v>1271</v>
      </c>
      <c r="E212" s="1" t="s">
        <v>1272</v>
      </c>
      <c r="F212" s="1" t="s">
        <v>1273</v>
      </c>
      <c r="G212" s="18" t="s">
        <v>74</v>
      </c>
      <c r="H212" s="1" t="str">
        <f aca="false">IF(G212="BUG","BUG-"&amp;A212,IF(G212="FUNCTIONAL","FUNCTIONAL-"&amp;A212,""))</f>
        <v/>
      </c>
      <c r="I212" s="18" t="s">
        <v>56</v>
      </c>
      <c r="L212" s="1" t="s">
        <v>1274</v>
      </c>
    </row>
    <row r="213" customFormat="false" ht="15" hidden="false" customHeight="true" outlineLevel="0" collapsed="false">
      <c r="A213" s="1" t="s">
        <v>1275</v>
      </c>
      <c r="B213" s="1" t="s">
        <v>1259</v>
      </c>
      <c r="C213" s="1" t="s">
        <v>1276</v>
      </c>
      <c r="D213" s="1" t="s">
        <v>1277</v>
      </c>
      <c r="E213" s="1" t="s">
        <v>1261</v>
      </c>
      <c r="F213" s="1" t="s">
        <v>1278</v>
      </c>
      <c r="G213" s="18" t="s">
        <v>74</v>
      </c>
      <c r="H213" s="1" t="str">
        <f aca="false">IF(G213="BUG","BUG-"&amp;A213,IF(G213="FUNCTIONAL","FUNCTIONAL-"&amp;A213,""))</f>
        <v/>
      </c>
      <c r="I213" s="18" t="s">
        <v>56</v>
      </c>
      <c r="L213" s="1" t="s">
        <v>1279</v>
      </c>
    </row>
    <row r="214" customFormat="false" ht="15" hidden="false" customHeight="true" outlineLevel="0" collapsed="false">
      <c r="A214" s="1" t="s">
        <v>1280</v>
      </c>
      <c r="B214" s="1" t="s">
        <v>1259</v>
      </c>
      <c r="C214" s="1" t="s">
        <v>1281</v>
      </c>
      <c r="D214" s="1" t="s">
        <v>1282</v>
      </c>
      <c r="E214" s="1" t="s">
        <v>1283</v>
      </c>
      <c r="F214" s="1" t="s">
        <v>1284</v>
      </c>
      <c r="G214" s="18" t="s">
        <v>74</v>
      </c>
      <c r="H214" s="1" t="str">
        <f aca="false">IF(G214="BUG","BUG-"&amp;A214,IF(G214="FUNCTIONAL","FUNCTIONAL-"&amp;A214,""))</f>
        <v/>
      </c>
      <c r="I214" s="18" t="s">
        <v>65</v>
      </c>
      <c r="L214" s="1" t="s">
        <v>1285</v>
      </c>
    </row>
    <row r="215" customFormat="false" ht="15" hidden="false" customHeight="true" outlineLevel="0" collapsed="false">
      <c r="A215" s="1" t="s">
        <v>1286</v>
      </c>
      <c r="B215" s="1" t="s">
        <v>1259</v>
      </c>
      <c r="C215" s="1" t="s">
        <v>1287</v>
      </c>
      <c r="D215" s="1" t="s">
        <v>1288</v>
      </c>
      <c r="E215" s="1" t="s">
        <v>1230</v>
      </c>
      <c r="F215" s="1" t="s">
        <v>1289</v>
      </c>
      <c r="G215" s="18" t="s">
        <v>74</v>
      </c>
      <c r="H215" s="1" t="str">
        <f aca="false">IF(G215="BUG","BUG-"&amp;A215,IF(G215="FUNCTIONAL","FUNCTIONAL-"&amp;A215,""))</f>
        <v/>
      </c>
      <c r="I215" s="18" t="s">
        <v>65</v>
      </c>
      <c r="L215" s="1" t="s">
        <v>1290</v>
      </c>
    </row>
    <row r="216" customFormat="false" ht="15" hidden="false" customHeight="true" outlineLevel="0" collapsed="false">
      <c r="A216" s="1" t="s">
        <v>1291</v>
      </c>
      <c r="B216" s="1" t="s">
        <v>1259</v>
      </c>
      <c r="C216" s="1" t="s">
        <v>1292</v>
      </c>
      <c r="D216" s="1" t="s">
        <v>1159</v>
      </c>
      <c r="E216" s="1" t="s">
        <v>1293</v>
      </c>
      <c r="F216" s="1" t="s">
        <v>1294</v>
      </c>
      <c r="G216" s="18" t="s">
        <v>74</v>
      </c>
      <c r="H216" s="1" t="str">
        <f aca="false">IF(G216="BUG","BUG-"&amp;A216,IF(G216="FUNCTIONAL","FUNCTIONAL-"&amp;A216,""))</f>
        <v/>
      </c>
      <c r="I216" s="18" t="s">
        <v>56</v>
      </c>
      <c r="L216" s="1" t="s">
        <v>1295</v>
      </c>
    </row>
    <row r="217" customFormat="false" ht="15" hidden="false" customHeight="true" outlineLevel="0" collapsed="false">
      <c r="A217" s="1" t="s">
        <v>1296</v>
      </c>
      <c r="B217" s="1" t="s">
        <v>1259</v>
      </c>
      <c r="C217" s="1" t="s">
        <v>1297</v>
      </c>
      <c r="D217" s="1" t="s">
        <v>1298</v>
      </c>
      <c r="E217" s="1" t="s">
        <v>1299</v>
      </c>
      <c r="F217" s="1" t="s">
        <v>1300</v>
      </c>
      <c r="G217" s="18" t="s">
        <v>74</v>
      </c>
      <c r="H217" s="1" t="str">
        <f aca="false">IF(G217="BUG","BUG-"&amp;A217,IF(G217="FUNCTIONAL","FUNCTIONAL-"&amp;A217,""))</f>
        <v/>
      </c>
      <c r="I217" s="18" t="s">
        <v>56</v>
      </c>
      <c r="L217" s="1" t="s">
        <v>1301</v>
      </c>
    </row>
    <row r="218" customFormat="false" ht="15" hidden="false" customHeight="true" outlineLevel="0" collapsed="false">
      <c r="A218" s="1" t="s">
        <v>1302</v>
      </c>
      <c r="B218" s="1" t="s">
        <v>1259</v>
      </c>
      <c r="C218" s="1" t="s">
        <v>1303</v>
      </c>
      <c r="D218" s="1" t="s">
        <v>1304</v>
      </c>
      <c r="E218" s="1" t="s">
        <v>1305</v>
      </c>
      <c r="F218" s="1" t="s">
        <v>1306</v>
      </c>
      <c r="G218" s="18" t="s">
        <v>74</v>
      </c>
      <c r="H218" s="1" t="str">
        <f aca="false">IF(G218="BUG","BUG-"&amp;A218,IF(G218="FUNCTIONAL","FUNCTIONAL-"&amp;A218,""))</f>
        <v/>
      </c>
      <c r="I218" s="18" t="s">
        <v>65</v>
      </c>
      <c r="L218" s="1" t="s">
        <v>1307</v>
      </c>
    </row>
    <row r="219" customFormat="false" ht="15" hidden="false" customHeight="true" outlineLevel="0" collapsed="false">
      <c r="A219" s="1" t="s">
        <v>1308</v>
      </c>
      <c r="B219" s="1" t="s">
        <v>1259</v>
      </c>
      <c r="C219" s="1" t="s">
        <v>1309</v>
      </c>
      <c r="D219" s="1" t="s">
        <v>1159</v>
      </c>
      <c r="E219" s="1" t="s">
        <v>1310</v>
      </c>
      <c r="F219" s="1" t="s">
        <v>1311</v>
      </c>
      <c r="G219" s="18" t="s">
        <v>74</v>
      </c>
      <c r="H219" s="1" t="str">
        <f aca="false">IF(G219="BUG","BUG-"&amp;A219,IF(G219="FUNCTIONAL","FUNCTIONAL-"&amp;A219,""))</f>
        <v/>
      </c>
      <c r="I219" s="18" t="s">
        <v>65</v>
      </c>
      <c r="L219" s="1" t="s">
        <v>1312</v>
      </c>
    </row>
    <row r="220" customFormat="false" ht="15" hidden="false" customHeight="true" outlineLevel="0" collapsed="false">
      <c r="A220" s="1" t="s">
        <v>1313</v>
      </c>
      <c r="B220" s="1" t="s">
        <v>1314</v>
      </c>
      <c r="C220" s="1" t="s">
        <v>1315</v>
      </c>
      <c r="D220" s="1" t="s">
        <v>1159</v>
      </c>
      <c r="E220" s="1" t="s">
        <v>1316</v>
      </c>
      <c r="F220" s="1" t="s">
        <v>1317</v>
      </c>
      <c r="G220" s="18" t="s">
        <v>74</v>
      </c>
      <c r="H220" s="1" t="str">
        <f aca="false">IF(G220="BUG","BUG-"&amp;A220,IF(G220="FUNCTIONAL","FUNCTIONAL-"&amp;A220,""))</f>
        <v/>
      </c>
      <c r="I220" s="18" t="s">
        <v>42</v>
      </c>
      <c r="L220" s="1" t="s">
        <v>1318</v>
      </c>
    </row>
    <row r="221" customFormat="false" ht="15" hidden="false" customHeight="true" outlineLevel="0" collapsed="false">
      <c r="A221" s="1" t="s">
        <v>1319</v>
      </c>
      <c r="B221" s="1" t="s">
        <v>1314</v>
      </c>
      <c r="C221" s="1" t="s">
        <v>1320</v>
      </c>
      <c r="D221" s="1" t="s">
        <v>1159</v>
      </c>
      <c r="E221" s="1" t="s">
        <v>1321</v>
      </c>
      <c r="F221" s="1" t="s">
        <v>1322</v>
      </c>
      <c r="G221" s="18" t="s">
        <v>74</v>
      </c>
      <c r="H221" s="1" t="str">
        <f aca="false">IF(G221="BUG","BUG-"&amp;A221,IF(G221="FUNCTIONAL","FUNCTIONAL-"&amp;A221,""))</f>
        <v/>
      </c>
      <c r="I221" s="18" t="s">
        <v>42</v>
      </c>
      <c r="L221" s="1" t="s">
        <v>1323</v>
      </c>
    </row>
    <row r="222" customFormat="false" ht="15" hidden="false" customHeight="true" outlineLevel="0" collapsed="false">
      <c r="A222" s="1" t="s">
        <v>1324</v>
      </c>
      <c r="B222" s="1" t="s">
        <v>1314</v>
      </c>
      <c r="C222" s="1" t="s">
        <v>1325</v>
      </c>
      <c r="D222" s="1" t="s">
        <v>1326</v>
      </c>
      <c r="E222" s="1" t="s">
        <v>1327</v>
      </c>
      <c r="F222" s="1" t="s">
        <v>1328</v>
      </c>
      <c r="G222" s="18" t="s">
        <v>74</v>
      </c>
      <c r="H222" s="1" t="str">
        <f aca="false">IF(G222="BUG","BUG-"&amp;A222,IF(G222="FUNCTIONAL","FUNCTIONAL-"&amp;A222,""))</f>
        <v/>
      </c>
      <c r="I222" s="18" t="s">
        <v>56</v>
      </c>
      <c r="L222" s="1" t="s">
        <v>1329</v>
      </c>
    </row>
    <row r="223" customFormat="false" ht="15" hidden="false" customHeight="true" outlineLevel="0" collapsed="false">
      <c r="A223" s="1" t="s">
        <v>1330</v>
      </c>
      <c r="B223" s="1" t="s">
        <v>1314</v>
      </c>
      <c r="C223" s="1" t="s">
        <v>1331</v>
      </c>
      <c r="D223" s="1" t="s">
        <v>1332</v>
      </c>
      <c r="E223" s="1" t="s">
        <v>1333</v>
      </c>
      <c r="F223" s="1" t="s">
        <v>1334</v>
      </c>
      <c r="G223" s="18" t="s">
        <v>74</v>
      </c>
      <c r="H223" s="1" t="str">
        <f aca="false">IF(G223="BUG","BUG-"&amp;A223,IF(G223="FUNCTIONAL","FUNCTIONAL-"&amp;A223,""))</f>
        <v/>
      </c>
      <c r="I223" s="18" t="s">
        <v>42</v>
      </c>
      <c r="L223" s="1" t="s">
        <v>1335</v>
      </c>
    </row>
    <row r="224" customFormat="false" ht="15" hidden="false" customHeight="true" outlineLevel="0" collapsed="false">
      <c r="A224" s="1" t="s">
        <v>1336</v>
      </c>
      <c r="B224" s="1" t="s">
        <v>1314</v>
      </c>
      <c r="C224" s="1" t="s">
        <v>1337</v>
      </c>
      <c r="D224" s="1" t="s">
        <v>1159</v>
      </c>
      <c r="E224" s="1" t="s">
        <v>1338</v>
      </c>
      <c r="F224" s="1" t="s">
        <v>1339</v>
      </c>
      <c r="G224" s="18" t="s">
        <v>74</v>
      </c>
      <c r="H224" s="1" t="str">
        <f aca="false">IF(G224="BUG","BUG-"&amp;A224,IF(G224="FUNCTIONAL","FUNCTIONAL-"&amp;A224,""))</f>
        <v/>
      </c>
      <c r="I224" s="18" t="s">
        <v>56</v>
      </c>
      <c r="L224" s="1" t="s">
        <v>1340</v>
      </c>
    </row>
    <row r="225" customFormat="false" ht="15" hidden="false" customHeight="true" outlineLevel="0" collapsed="false">
      <c r="A225" s="1" t="s">
        <v>1341</v>
      </c>
      <c r="B225" s="1" t="s">
        <v>1342</v>
      </c>
      <c r="C225" s="1" t="s">
        <v>1343</v>
      </c>
      <c r="D225" s="1" t="s">
        <v>1159</v>
      </c>
      <c r="E225" s="1" t="s">
        <v>1344</v>
      </c>
      <c r="F225" s="1" t="s">
        <v>1345</v>
      </c>
      <c r="G225" s="18" t="s">
        <v>74</v>
      </c>
      <c r="H225" s="1" t="str">
        <f aca="false">IF(G225="BUG","BUG-"&amp;A225,IF(G225="FUNCTIONAL","FUNCTIONAL-"&amp;A225,""))</f>
        <v/>
      </c>
      <c r="I225" s="18" t="s">
        <v>65</v>
      </c>
      <c r="L225" s="1" t="s">
        <v>1346</v>
      </c>
    </row>
    <row r="226" customFormat="false" ht="15" hidden="false" customHeight="true" outlineLevel="0" collapsed="false">
      <c r="A226" s="1" t="s">
        <v>1347</v>
      </c>
      <c r="B226" s="1" t="s">
        <v>1342</v>
      </c>
      <c r="C226" s="1" t="s">
        <v>1348</v>
      </c>
      <c r="D226" s="1" t="s">
        <v>1159</v>
      </c>
      <c r="E226" s="1" t="s">
        <v>1349</v>
      </c>
      <c r="F226" s="1" t="s">
        <v>1350</v>
      </c>
      <c r="G226" s="18" t="s">
        <v>74</v>
      </c>
      <c r="H226" s="1" t="str">
        <f aca="false">IF(G226="BUG","BUG-"&amp;A226,IF(G226="FUNCTIONAL","FUNCTIONAL-"&amp;A226,""))</f>
        <v/>
      </c>
      <c r="I226" s="18" t="s">
        <v>42</v>
      </c>
      <c r="L226" s="1" t="s">
        <v>1351</v>
      </c>
    </row>
    <row r="227" customFormat="false" ht="15" hidden="false" customHeight="true" outlineLevel="0" collapsed="false">
      <c r="A227" s="1" t="s">
        <v>1352</v>
      </c>
      <c r="B227" s="1" t="s">
        <v>1342</v>
      </c>
      <c r="C227" s="1" t="s">
        <v>1353</v>
      </c>
      <c r="D227" s="1" t="s">
        <v>1159</v>
      </c>
      <c r="E227" s="1" t="s">
        <v>1354</v>
      </c>
      <c r="F227" s="1" t="s">
        <v>1355</v>
      </c>
      <c r="G227" s="18" t="s">
        <v>74</v>
      </c>
      <c r="H227" s="1" t="str">
        <f aca="false">IF(G227="BUG","BUG-"&amp;A227,IF(G227="FUNCTIONAL","FUNCTIONAL-"&amp;A227,""))</f>
        <v/>
      </c>
      <c r="I227" s="18" t="s">
        <v>56</v>
      </c>
      <c r="L227" s="1" t="s">
        <v>1356</v>
      </c>
    </row>
    <row r="228" customFormat="false" ht="15" hidden="false" customHeight="true" outlineLevel="0" collapsed="false">
      <c r="A228" s="1" t="s">
        <v>1357</v>
      </c>
      <c r="B228" s="1" t="s">
        <v>1342</v>
      </c>
      <c r="C228" s="1" t="s">
        <v>1358</v>
      </c>
      <c r="D228" s="1" t="s">
        <v>1359</v>
      </c>
      <c r="E228" s="1" t="s">
        <v>1360</v>
      </c>
      <c r="F228" s="1" t="s">
        <v>1361</v>
      </c>
      <c r="G228" s="18" t="s">
        <v>74</v>
      </c>
      <c r="H228" s="1" t="str">
        <f aca="false">IF(G228="BUG","BUG-"&amp;A228,IF(G228="FUNCTIONAL","FUNCTIONAL-"&amp;A228,""))</f>
        <v/>
      </c>
      <c r="I228" s="18" t="s">
        <v>42</v>
      </c>
      <c r="L228" s="1" t="s">
        <v>1362</v>
      </c>
    </row>
    <row r="229" customFormat="false" ht="15" hidden="false" customHeight="true" outlineLevel="0" collapsed="false">
      <c r="A229" s="1" t="s">
        <v>1363</v>
      </c>
      <c r="B229" s="1" t="s">
        <v>1342</v>
      </c>
      <c r="C229" s="1" t="s">
        <v>1364</v>
      </c>
      <c r="D229" s="1" t="s">
        <v>1365</v>
      </c>
      <c r="E229" s="1" t="s">
        <v>1366</v>
      </c>
      <c r="F229" s="1" t="s">
        <v>1367</v>
      </c>
      <c r="G229" s="18" t="s">
        <v>74</v>
      </c>
      <c r="H229" s="1" t="str">
        <f aca="false">IF(G229="BUG","BUG-"&amp;A229,IF(G229="FUNCTIONAL","FUNCTIONAL-"&amp;A229,""))</f>
        <v/>
      </c>
      <c r="I229" s="18" t="s">
        <v>56</v>
      </c>
      <c r="L229" s="1" t="s">
        <v>1368</v>
      </c>
    </row>
    <row r="230" customFormat="false" ht="15" hidden="false" customHeight="true" outlineLevel="0" collapsed="false">
      <c r="A230" s="1" t="s">
        <v>1369</v>
      </c>
      <c r="B230" s="1" t="s">
        <v>1342</v>
      </c>
      <c r="C230" s="1" t="s">
        <v>1370</v>
      </c>
      <c r="D230" s="1" t="s">
        <v>1371</v>
      </c>
      <c r="E230" s="1" t="s">
        <v>1372</v>
      </c>
      <c r="F230" s="1" t="s">
        <v>1373</v>
      </c>
      <c r="G230" s="18" t="s">
        <v>74</v>
      </c>
      <c r="H230" s="1" t="str">
        <f aca="false">IF(G230="BUG","BUG-"&amp;A230,IF(G230="FUNCTIONAL","FUNCTIONAL-"&amp;A230,""))</f>
        <v/>
      </c>
      <c r="I230" s="18" t="s">
        <v>65</v>
      </c>
      <c r="L230" s="1" t="s">
        <v>1374</v>
      </c>
    </row>
    <row r="231" customFormat="false" ht="15" hidden="false" customHeight="true" outlineLevel="0" collapsed="false">
      <c r="A231" s="1" t="s">
        <v>1375</v>
      </c>
      <c r="B231" s="1" t="s">
        <v>1342</v>
      </c>
      <c r="C231" s="1" t="s">
        <v>1376</v>
      </c>
      <c r="D231" s="1" t="s">
        <v>1377</v>
      </c>
      <c r="E231" s="1" t="s">
        <v>1378</v>
      </c>
      <c r="F231" s="1" t="s">
        <v>1379</v>
      </c>
      <c r="G231" s="18" t="s">
        <v>74</v>
      </c>
      <c r="H231" s="1" t="str">
        <f aca="false">IF(G231="BUG","BUG-"&amp;A231,IF(G231="FUNCTIONAL","FUNCTIONAL-"&amp;A231,""))</f>
        <v/>
      </c>
      <c r="I231" s="18" t="s">
        <v>56</v>
      </c>
      <c r="L231" s="1" t="s">
        <v>1380</v>
      </c>
    </row>
    <row r="232" customFormat="false" ht="15" hidden="false" customHeight="true" outlineLevel="0" collapsed="false">
      <c r="A232" s="1" t="s">
        <v>1381</v>
      </c>
      <c r="B232" s="1" t="s">
        <v>1342</v>
      </c>
      <c r="C232" s="1" t="s">
        <v>1382</v>
      </c>
      <c r="D232" s="1" t="s">
        <v>1383</v>
      </c>
      <c r="E232" s="1" t="s">
        <v>1384</v>
      </c>
      <c r="F232" s="1" t="s">
        <v>1385</v>
      </c>
      <c r="G232" s="18" t="s">
        <v>74</v>
      </c>
      <c r="H232" s="1" t="str">
        <f aca="false">IF(G232="BUG","BUG-"&amp;A232,IF(G232="FUNCTIONAL","FUNCTIONAL-"&amp;A232,""))</f>
        <v/>
      </c>
      <c r="I232" s="18" t="s">
        <v>42</v>
      </c>
      <c r="L232" s="1" t="s">
        <v>1386</v>
      </c>
    </row>
    <row r="233" customFormat="false" ht="15" hidden="false" customHeight="true" outlineLevel="0" collapsed="false">
      <c r="A233" s="1" t="s">
        <v>1387</v>
      </c>
      <c r="B233" s="1" t="s">
        <v>1342</v>
      </c>
      <c r="C233" s="1" t="s">
        <v>1388</v>
      </c>
      <c r="D233" s="1" t="s">
        <v>1389</v>
      </c>
      <c r="E233" s="1" t="s">
        <v>1390</v>
      </c>
      <c r="F233" s="1" t="s">
        <v>1391</v>
      </c>
      <c r="G233" s="18" t="s">
        <v>74</v>
      </c>
      <c r="H233" s="1" t="str">
        <f aca="false">IF(G233="BUG","BUG-"&amp;A233,IF(G233="FUNCTIONAL","FUNCTIONAL-"&amp;A233,""))</f>
        <v/>
      </c>
      <c r="I233" s="18" t="s">
        <v>65</v>
      </c>
      <c r="L233" s="1" t="s">
        <v>1392</v>
      </c>
    </row>
    <row r="234" customFormat="false" ht="15" hidden="false" customHeight="true" outlineLevel="0" collapsed="false">
      <c r="A234" s="1" t="s">
        <v>1393</v>
      </c>
      <c r="B234" s="1" t="s">
        <v>226</v>
      </c>
      <c r="C234" s="1" t="s">
        <v>1394</v>
      </c>
      <c r="D234" s="1" t="s">
        <v>1395</v>
      </c>
      <c r="E234" s="1" t="s">
        <v>1396</v>
      </c>
      <c r="F234" s="1" t="s">
        <v>1397</v>
      </c>
      <c r="G234" s="18" t="s">
        <v>74</v>
      </c>
      <c r="H234" s="1" t="str">
        <f aca="false">IF(G234="BUG","BUG-"&amp;A234,IF(G234="FUNCTIONAL","FUNCTIONAL-"&amp;A234,""))</f>
        <v/>
      </c>
      <c r="I234" s="18" t="s">
        <v>56</v>
      </c>
      <c r="L234" s="1" t="s">
        <v>1398</v>
      </c>
    </row>
    <row r="235" customFormat="false" ht="15" hidden="false" customHeight="true" outlineLevel="0" collapsed="false">
      <c r="A235" s="1" t="s">
        <v>1399</v>
      </c>
      <c r="B235" s="1" t="s">
        <v>226</v>
      </c>
      <c r="C235" s="1" t="s">
        <v>1400</v>
      </c>
      <c r="D235" s="1" t="s">
        <v>1401</v>
      </c>
      <c r="E235" s="1" t="s">
        <v>1402</v>
      </c>
      <c r="F235" s="1" t="s">
        <v>1403</v>
      </c>
      <c r="G235" s="18" t="s">
        <v>74</v>
      </c>
      <c r="H235" s="1" t="str">
        <f aca="false">IF(G235="BUG","BUG-"&amp;A235,IF(G235="FUNCTIONAL","FUNCTIONAL-"&amp;A235,""))</f>
        <v/>
      </c>
      <c r="I235" s="18" t="s">
        <v>42</v>
      </c>
      <c r="L235" s="1" t="s">
        <v>1404</v>
      </c>
    </row>
    <row r="236" customFormat="false" ht="15" hidden="false" customHeight="true" outlineLevel="0" collapsed="false">
      <c r="A236" s="1" t="s">
        <v>1405</v>
      </c>
      <c r="B236" s="1" t="s">
        <v>226</v>
      </c>
      <c r="C236" s="1" t="s">
        <v>1406</v>
      </c>
      <c r="D236" s="1" t="s">
        <v>1407</v>
      </c>
      <c r="E236" s="1" t="s">
        <v>1408</v>
      </c>
      <c r="F236" s="1" t="s">
        <v>1409</v>
      </c>
      <c r="G236" s="18" t="s">
        <v>74</v>
      </c>
      <c r="H236" s="1" t="str">
        <f aca="false">IF(G236="BUG","BUG-"&amp;A236,IF(G236="FUNCTIONAL","FUNCTIONAL-"&amp;A236,""))</f>
        <v/>
      </c>
      <c r="I236" s="18" t="s">
        <v>56</v>
      </c>
      <c r="L236" s="1" t="s">
        <v>1410</v>
      </c>
    </row>
    <row r="237" customFormat="false" ht="15" hidden="false" customHeight="true" outlineLevel="0" collapsed="false">
      <c r="A237" s="1" t="s">
        <v>1411</v>
      </c>
      <c r="B237" s="1" t="s">
        <v>1412</v>
      </c>
      <c r="C237" s="1" t="s">
        <v>1413</v>
      </c>
      <c r="D237" s="1" t="s">
        <v>1414</v>
      </c>
      <c r="E237" s="1" t="s">
        <v>1415</v>
      </c>
      <c r="F237" s="1" t="s">
        <v>1416</v>
      </c>
      <c r="G237" s="18" t="s">
        <v>74</v>
      </c>
      <c r="H237" s="1" t="str">
        <f aca="false">IF(G237="BUG","BUG-"&amp;A237,IF(G237="FUNCTIONAL","FUNCTIONAL-"&amp;A237,""))</f>
        <v/>
      </c>
      <c r="I237" s="18" t="s">
        <v>42</v>
      </c>
      <c r="L237" s="1" t="s">
        <v>1417</v>
      </c>
    </row>
    <row r="238" customFormat="false" ht="15" hidden="false" customHeight="true" outlineLevel="0" collapsed="false">
      <c r="A238" s="1" t="s">
        <v>1418</v>
      </c>
      <c r="B238" s="1" t="s">
        <v>1412</v>
      </c>
      <c r="C238" s="1" t="s">
        <v>1419</v>
      </c>
      <c r="D238" s="1" t="s">
        <v>1159</v>
      </c>
      <c r="E238" s="1" t="s">
        <v>1420</v>
      </c>
      <c r="F238" s="1" t="s">
        <v>1421</v>
      </c>
      <c r="G238" s="18" t="s">
        <v>74</v>
      </c>
      <c r="H238" s="1" t="str">
        <f aca="false">IF(G238="BUG","BUG-"&amp;A238,IF(G238="FUNCTIONAL","FUNCTIONAL-"&amp;A238,""))</f>
        <v/>
      </c>
      <c r="I238" s="18" t="s">
        <v>42</v>
      </c>
      <c r="L238" s="1" t="s">
        <v>1422</v>
      </c>
    </row>
    <row r="239" customFormat="false" ht="15" hidden="false" customHeight="true" outlineLevel="0" collapsed="false">
      <c r="A239" s="1" t="s">
        <v>1423</v>
      </c>
      <c r="B239" s="1" t="s">
        <v>1412</v>
      </c>
      <c r="C239" s="1" t="s">
        <v>1424</v>
      </c>
      <c r="D239" s="1" t="s">
        <v>1159</v>
      </c>
      <c r="E239" s="1" t="s">
        <v>1425</v>
      </c>
      <c r="F239" s="1" t="s">
        <v>1426</v>
      </c>
      <c r="G239" s="18" t="s">
        <v>74</v>
      </c>
      <c r="H239" s="1" t="str">
        <f aca="false">IF(G239="BUG","BUG-"&amp;A239,IF(G239="FUNCTIONAL","FUNCTIONAL-"&amp;A239,""))</f>
        <v/>
      </c>
      <c r="I239" s="18" t="s">
        <v>42</v>
      </c>
      <c r="L239" s="1" t="s">
        <v>1427</v>
      </c>
    </row>
    <row r="240" customFormat="false" ht="15" hidden="false" customHeight="true" outlineLevel="0" collapsed="false">
      <c r="A240" s="1" t="s">
        <v>1428</v>
      </c>
      <c r="B240" s="1" t="s">
        <v>1412</v>
      </c>
      <c r="C240" s="1" t="s">
        <v>1429</v>
      </c>
      <c r="D240" s="1" t="s">
        <v>1159</v>
      </c>
      <c r="E240" s="1" t="s">
        <v>1430</v>
      </c>
      <c r="F240" s="1" t="s">
        <v>1431</v>
      </c>
      <c r="G240" s="18" t="s">
        <v>74</v>
      </c>
      <c r="H240" s="1" t="str">
        <f aca="false">IF(G240="BUG","BUG-"&amp;A240,IF(G240="FUNCTIONAL","FUNCTIONAL-"&amp;A240,""))</f>
        <v/>
      </c>
      <c r="I240" s="18" t="s">
        <v>56</v>
      </c>
      <c r="L240" s="1" t="s">
        <v>1432</v>
      </c>
    </row>
    <row r="241" customFormat="false" ht="15" hidden="false" customHeight="true" outlineLevel="0" collapsed="false">
      <c r="A241" s="1" t="s">
        <v>1433</v>
      </c>
      <c r="B241" s="1" t="s">
        <v>1412</v>
      </c>
      <c r="C241" s="1" t="s">
        <v>1434</v>
      </c>
      <c r="D241" s="1" t="s">
        <v>1435</v>
      </c>
      <c r="E241" s="1" t="s">
        <v>1436</v>
      </c>
      <c r="F241" s="1" t="s">
        <v>1437</v>
      </c>
      <c r="G241" s="18" t="s">
        <v>74</v>
      </c>
      <c r="H241" s="1" t="str">
        <f aca="false">IF(G241="BUG","BUG-"&amp;A241,IF(G241="FUNCTIONAL","FUNCTIONAL-"&amp;A241,""))</f>
        <v/>
      </c>
      <c r="I241" s="18" t="s">
        <v>42</v>
      </c>
      <c r="L241" s="1" t="s">
        <v>1438</v>
      </c>
    </row>
    <row r="242" customFormat="false" ht="15" hidden="false" customHeight="true" outlineLevel="0" collapsed="false">
      <c r="A242" s="1" t="s">
        <v>1439</v>
      </c>
      <c r="B242" s="1" t="s">
        <v>1412</v>
      </c>
      <c r="C242" s="1" t="s">
        <v>1440</v>
      </c>
      <c r="D242" s="1" t="s">
        <v>1159</v>
      </c>
      <c r="E242" s="1" t="s">
        <v>1441</v>
      </c>
      <c r="F242" s="1" t="s">
        <v>1442</v>
      </c>
      <c r="G242" s="18" t="s">
        <v>74</v>
      </c>
      <c r="H242" s="1" t="str">
        <f aca="false">IF(G242="BUG","BUG-"&amp;A242,IF(G242="FUNCTIONAL","FUNCTIONAL-"&amp;A242,""))</f>
        <v/>
      </c>
      <c r="I242" s="18" t="s">
        <v>42</v>
      </c>
      <c r="L242" s="1" t="s">
        <v>1443</v>
      </c>
    </row>
    <row r="243" customFormat="false" ht="15" hidden="false" customHeight="true" outlineLevel="0" collapsed="false">
      <c r="A243" s="1" t="s">
        <v>1444</v>
      </c>
      <c r="B243" s="1" t="s">
        <v>1412</v>
      </c>
      <c r="C243" s="1" t="s">
        <v>1445</v>
      </c>
      <c r="D243" s="1" t="s">
        <v>1446</v>
      </c>
      <c r="E243" s="1" t="s">
        <v>1447</v>
      </c>
      <c r="F243" s="1" t="s">
        <v>1448</v>
      </c>
      <c r="G243" s="18" t="s">
        <v>74</v>
      </c>
      <c r="H243" s="1" t="str">
        <f aca="false">IF(G243="BUG","BUG-"&amp;A243,IF(G243="FUNCTIONAL","FUNCTIONAL-"&amp;A243,""))</f>
        <v/>
      </c>
      <c r="I243" s="18" t="s">
        <v>56</v>
      </c>
      <c r="L243" s="1" t="s">
        <v>1449</v>
      </c>
    </row>
    <row r="244" customFormat="false" ht="15" hidden="false" customHeight="true" outlineLevel="0" collapsed="false">
      <c r="A244" s="1" t="s">
        <v>1450</v>
      </c>
      <c r="B244" s="1" t="s">
        <v>1412</v>
      </c>
      <c r="C244" s="1" t="s">
        <v>1451</v>
      </c>
      <c r="D244" s="1" t="s">
        <v>1452</v>
      </c>
      <c r="E244" s="1" t="s">
        <v>1453</v>
      </c>
      <c r="F244" s="1" t="s">
        <v>1454</v>
      </c>
      <c r="G244" s="18" t="s">
        <v>74</v>
      </c>
      <c r="H244" s="1" t="str">
        <f aca="false">IF(G244="BUG","BUG-"&amp;A244,IF(G244="FUNCTIONAL","FUNCTIONAL-"&amp;A244,""))</f>
        <v/>
      </c>
      <c r="I244" s="18" t="s">
        <v>56</v>
      </c>
      <c r="L244" s="1" t="s">
        <v>1455</v>
      </c>
    </row>
    <row r="245" customFormat="false" ht="15" hidden="false" customHeight="true" outlineLevel="0" collapsed="false">
      <c r="A245" s="1" t="s">
        <v>1456</v>
      </c>
      <c r="B245" s="1" t="s">
        <v>1412</v>
      </c>
      <c r="C245" s="1" t="s">
        <v>1457</v>
      </c>
      <c r="D245" s="1" t="s">
        <v>1159</v>
      </c>
      <c r="E245" s="1" t="s">
        <v>1458</v>
      </c>
      <c r="F245" s="1" t="s">
        <v>1459</v>
      </c>
      <c r="G245" s="18" t="s">
        <v>74</v>
      </c>
      <c r="H245" s="1" t="str">
        <f aca="false">IF(G245="BUG","BUG-"&amp;A245,IF(G245="FUNCTIONAL","FUNCTIONAL-"&amp;A245,""))</f>
        <v/>
      </c>
      <c r="I245" s="18" t="s">
        <v>65</v>
      </c>
      <c r="L245" s="1" t="s">
        <v>1460</v>
      </c>
    </row>
    <row r="246" customFormat="false" ht="15" hidden="false" customHeight="true" outlineLevel="0" collapsed="false">
      <c r="A246" s="1" t="s">
        <v>1461</v>
      </c>
      <c r="B246" s="1" t="s">
        <v>1462</v>
      </c>
      <c r="C246" s="1" t="s">
        <v>1463</v>
      </c>
      <c r="D246" s="1" t="s">
        <v>1159</v>
      </c>
      <c r="E246" s="1" t="s">
        <v>1464</v>
      </c>
      <c r="F246" s="1" t="s">
        <v>1465</v>
      </c>
      <c r="G246" s="18" t="s">
        <v>74</v>
      </c>
      <c r="H246" s="1" t="str">
        <f aca="false">IF(G246="BUG","BUG-"&amp;A246,IF(G246="FUNCTIONAL","FUNCTIONAL-"&amp;A246,""))</f>
        <v/>
      </c>
      <c r="I246" s="18" t="s">
        <v>42</v>
      </c>
      <c r="L246" s="1" t="s">
        <v>1466</v>
      </c>
    </row>
    <row r="247" customFormat="false" ht="15" hidden="false" customHeight="true" outlineLevel="0" collapsed="false">
      <c r="A247" s="1" t="s">
        <v>1467</v>
      </c>
      <c r="B247" s="1" t="s">
        <v>1462</v>
      </c>
      <c r="C247" s="1" t="s">
        <v>1468</v>
      </c>
      <c r="D247" s="1" t="s">
        <v>1159</v>
      </c>
      <c r="E247" s="1" t="s">
        <v>1469</v>
      </c>
      <c r="F247" s="1" t="s">
        <v>1470</v>
      </c>
      <c r="G247" s="18" t="s">
        <v>74</v>
      </c>
      <c r="H247" s="1" t="str">
        <f aca="false">IF(G247="BUG","BUG-"&amp;A247,IF(G247="FUNCTIONAL","FUNCTIONAL-"&amp;A247,""))</f>
        <v/>
      </c>
      <c r="I247" s="18" t="s">
        <v>56</v>
      </c>
      <c r="L247" s="1" t="s">
        <v>1471</v>
      </c>
    </row>
    <row r="248" customFormat="false" ht="15" hidden="false" customHeight="true" outlineLevel="0" collapsed="false">
      <c r="A248" s="1" t="s">
        <v>1472</v>
      </c>
      <c r="B248" s="1" t="s">
        <v>1462</v>
      </c>
      <c r="C248" s="1" t="s">
        <v>1473</v>
      </c>
      <c r="D248" s="1" t="s">
        <v>1474</v>
      </c>
      <c r="E248" s="1" t="s">
        <v>1475</v>
      </c>
      <c r="F248" s="1" t="s">
        <v>1476</v>
      </c>
      <c r="G248" s="18" t="s">
        <v>74</v>
      </c>
      <c r="H248" s="1" t="str">
        <f aca="false">IF(G248="BUG","BUG-"&amp;A248,IF(G248="FUNCTIONAL","FUNCTIONAL-"&amp;A248,""))</f>
        <v/>
      </c>
      <c r="I248" s="18" t="s">
        <v>42</v>
      </c>
      <c r="L248" s="1" t="s">
        <v>1477</v>
      </c>
    </row>
    <row r="249" customFormat="false" ht="15" hidden="false" customHeight="true" outlineLevel="0" collapsed="false">
      <c r="A249" s="1" t="s">
        <v>1478</v>
      </c>
      <c r="B249" s="1" t="s">
        <v>1462</v>
      </c>
      <c r="C249" s="1" t="s">
        <v>1479</v>
      </c>
      <c r="D249" s="1" t="s">
        <v>1480</v>
      </c>
      <c r="E249" s="1" t="s">
        <v>1481</v>
      </c>
      <c r="F249" s="1" t="s">
        <v>1482</v>
      </c>
      <c r="G249" s="18" t="s">
        <v>74</v>
      </c>
      <c r="H249" s="1" t="str">
        <f aca="false">IF(G249="BUG","BUG-"&amp;A249,IF(G249="FUNCTIONAL","FUNCTIONAL-"&amp;A249,""))</f>
        <v/>
      </c>
      <c r="I249" s="18" t="s">
        <v>56</v>
      </c>
    </row>
    <row r="250" customFormat="false" ht="15" hidden="false" customHeight="true" outlineLevel="0" collapsed="false">
      <c r="A250" s="1" t="s">
        <v>1483</v>
      </c>
      <c r="B250" s="1" t="s">
        <v>1462</v>
      </c>
      <c r="C250" s="1" t="s">
        <v>1484</v>
      </c>
      <c r="D250" s="1" t="s">
        <v>1159</v>
      </c>
      <c r="E250" s="1" t="s">
        <v>1485</v>
      </c>
      <c r="F250" s="1" t="s">
        <v>1486</v>
      </c>
      <c r="G250" s="18" t="s">
        <v>74</v>
      </c>
      <c r="H250" s="1" t="str">
        <f aca="false">IF(G250="BUG","BUG-"&amp;A250,IF(G250="FUNCTIONAL","FUNCTIONAL-"&amp;A250,""))</f>
        <v/>
      </c>
      <c r="I250" s="18" t="s">
        <v>56</v>
      </c>
      <c r="L250" s="1" t="s">
        <v>1487</v>
      </c>
    </row>
    <row r="251" customFormat="false" ht="15" hidden="false" customHeight="true" outlineLevel="0" collapsed="false">
      <c r="A251" s="1" t="s">
        <v>1488</v>
      </c>
      <c r="B251" s="1" t="s">
        <v>1462</v>
      </c>
      <c r="C251" s="1" t="s">
        <v>1489</v>
      </c>
      <c r="D251" s="1" t="s">
        <v>1159</v>
      </c>
      <c r="E251" s="1" t="s">
        <v>1490</v>
      </c>
      <c r="F251" s="1" t="s">
        <v>1491</v>
      </c>
      <c r="G251" s="18" t="s">
        <v>74</v>
      </c>
      <c r="H251" s="1" t="str">
        <f aca="false">IF(G251="BUG","BUG-"&amp;A251,IF(G251="FUNCTIONAL","FUNCTIONAL-"&amp;A251,""))</f>
        <v/>
      </c>
      <c r="I251" s="18" t="s">
        <v>65</v>
      </c>
    </row>
    <row r="252" customFormat="false" ht="15" hidden="false" customHeight="true" outlineLevel="0" collapsed="false">
      <c r="A252" s="1" t="s">
        <v>1492</v>
      </c>
      <c r="B252" s="1" t="s">
        <v>1493</v>
      </c>
      <c r="C252" s="1" t="s">
        <v>1494</v>
      </c>
      <c r="D252" s="1" t="s">
        <v>1159</v>
      </c>
      <c r="E252" s="1" t="s">
        <v>1495</v>
      </c>
      <c r="F252" s="1" t="s">
        <v>1496</v>
      </c>
      <c r="G252" s="18" t="s">
        <v>74</v>
      </c>
      <c r="H252" s="1" t="str">
        <f aca="false">IF(G252="BUG","BUG-"&amp;A252,IF(G252="FUNCTIONAL","FUNCTIONAL-"&amp;A252,""))</f>
        <v/>
      </c>
      <c r="I252" s="18" t="s">
        <v>56</v>
      </c>
    </row>
    <row r="253" customFormat="false" ht="15" hidden="false" customHeight="true" outlineLevel="0" collapsed="false">
      <c r="A253" s="1" t="s">
        <v>1497</v>
      </c>
      <c r="B253" s="1" t="s">
        <v>1493</v>
      </c>
      <c r="C253" s="1" t="s">
        <v>1498</v>
      </c>
      <c r="D253" s="1" t="s">
        <v>1499</v>
      </c>
      <c r="E253" s="1" t="s">
        <v>1500</v>
      </c>
      <c r="F253" s="1" t="s">
        <v>1501</v>
      </c>
      <c r="G253" s="18" t="s">
        <v>74</v>
      </c>
      <c r="H253" s="1" t="str">
        <f aca="false">IF(G253="BUG","BUG-"&amp;A253,IF(G253="FUNCTIONAL","FUNCTIONAL-"&amp;A253,""))</f>
        <v/>
      </c>
      <c r="I253" s="18" t="s">
        <v>56</v>
      </c>
    </row>
    <row r="254" customFormat="false" ht="15" hidden="false" customHeight="true" outlineLevel="0" collapsed="false">
      <c r="A254" s="1" t="s">
        <v>1502</v>
      </c>
      <c r="B254" s="1" t="s">
        <v>1493</v>
      </c>
      <c r="C254" s="1" t="s">
        <v>1503</v>
      </c>
      <c r="D254" s="1" t="s">
        <v>1504</v>
      </c>
      <c r="E254" s="1" t="s">
        <v>1505</v>
      </c>
      <c r="F254" s="1" t="s">
        <v>1506</v>
      </c>
      <c r="G254" s="18" t="s">
        <v>74</v>
      </c>
      <c r="H254" s="1" t="str">
        <f aca="false">IF(G254="BUG","BUG-"&amp;A254,IF(G254="FUNCTIONAL","FUNCTIONAL-"&amp;A254,""))</f>
        <v/>
      </c>
      <c r="I254" s="18" t="s">
        <v>65</v>
      </c>
    </row>
    <row r="255" customFormat="false" ht="15" hidden="false" customHeight="true" outlineLevel="0" collapsed="false">
      <c r="A255" s="1" t="s">
        <v>1507</v>
      </c>
      <c r="B255" s="1" t="s">
        <v>1508</v>
      </c>
      <c r="C255" s="1" t="s">
        <v>1509</v>
      </c>
      <c r="D255" s="1" t="s">
        <v>1480</v>
      </c>
      <c r="E255" s="1" t="s">
        <v>1510</v>
      </c>
      <c r="F255" s="1" t="s">
        <v>1511</v>
      </c>
      <c r="G255" s="18" t="s">
        <v>74</v>
      </c>
      <c r="H255" s="1" t="str">
        <f aca="false">IF(G255="BUG","BUG-"&amp;A255,IF(G255="FUNCTIONAL","FUNCTIONAL-"&amp;A255,""))</f>
        <v/>
      </c>
      <c r="I255" s="18" t="s">
        <v>56</v>
      </c>
    </row>
    <row r="256" customFormat="false" ht="15" hidden="false" customHeight="true" outlineLevel="0" collapsed="false">
      <c r="A256" s="1" t="s">
        <v>1512</v>
      </c>
      <c r="B256" s="1" t="s">
        <v>1508</v>
      </c>
      <c r="C256" s="1" t="s">
        <v>1513</v>
      </c>
      <c r="D256" s="1" t="s">
        <v>1480</v>
      </c>
      <c r="E256" s="1" t="s">
        <v>1514</v>
      </c>
      <c r="F256" s="1" t="s">
        <v>1515</v>
      </c>
      <c r="G256" s="18" t="s">
        <v>74</v>
      </c>
      <c r="H256" s="1" t="str">
        <f aca="false">IF(G256="BUG","BUG-"&amp;A256,IF(G256="FUNCTIONAL","FUNCTIONAL-"&amp;A256,""))</f>
        <v/>
      </c>
      <c r="I256" s="18" t="s">
        <v>42</v>
      </c>
    </row>
    <row r="257" customFormat="false" ht="15" hidden="false" customHeight="true" outlineLevel="0" collapsed="false">
      <c r="A257" s="1" t="s">
        <v>1516</v>
      </c>
      <c r="B257" s="1" t="s">
        <v>1508</v>
      </c>
      <c r="C257" s="1" t="s">
        <v>1517</v>
      </c>
      <c r="D257" s="1" t="s">
        <v>1480</v>
      </c>
      <c r="E257" s="1" t="s">
        <v>1518</v>
      </c>
      <c r="F257" s="1" t="s">
        <v>1519</v>
      </c>
      <c r="G257" s="18" t="s">
        <v>74</v>
      </c>
      <c r="H257" s="1" t="str">
        <f aca="false">IF(G257="BUG","BUG-"&amp;A257,IF(G257="FUNCTIONAL","FUNCTIONAL-"&amp;A257,""))</f>
        <v/>
      </c>
      <c r="I257" s="18" t="s">
        <v>56</v>
      </c>
    </row>
    <row r="258" customFormat="false" ht="15" hidden="false" customHeight="true" outlineLevel="0" collapsed="false">
      <c r="A258" s="1" t="s">
        <v>1520</v>
      </c>
      <c r="B258" s="1" t="s">
        <v>1493</v>
      </c>
      <c r="C258" s="1" t="s">
        <v>1521</v>
      </c>
      <c r="D258" s="1" t="s">
        <v>1522</v>
      </c>
      <c r="E258" s="1" t="s">
        <v>1523</v>
      </c>
      <c r="F258" s="1" t="s">
        <v>1524</v>
      </c>
      <c r="G258" s="18" t="s">
        <v>74</v>
      </c>
      <c r="H258" s="1" t="str">
        <f aca="false">IF(G258="BUG","BUG-"&amp;A258,IF(G258="FUNCTIONAL","FUNCTIONAL-"&amp;A258,""))</f>
        <v/>
      </c>
      <c r="I258" s="18" t="s">
        <v>42</v>
      </c>
    </row>
    <row r="259" customFormat="false" ht="15" hidden="false" customHeight="true" outlineLevel="0" collapsed="false">
      <c r="A259" s="1" t="s">
        <v>1525</v>
      </c>
      <c r="B259" s="1" t="s">
        <v>1493</v>
      </c>
      <c r="C259" s="1" t="s">
        <v>1526</v>
      </c>
      <c r="D259" s="1" t="s">
        <v>1527</v>
      </c>
      <c r="E259" s="1" t="s">
        <v>1528</v>
      </c>
      <c r="F259" s="1" t="s">
        <v>1529</v>
      </c>
      <c r="G259" s="18" t="s">
        <v>74</v>
      </c>
      <c r="H259" s="1" t="str">
        <f aca="false">IF(G259="BUG","BUG-"&amp;A259,IF(G259="FUNCTIONAL","FUNCTIONAL-"&amp;A259,""))</f>
        <v/>
      </c>
      <c r="I259" s="18" t="s">
        <v>56</v>
      </c>
    </row>
    <row r="260" customFormat="false" ht="15" hidden="false" customHeight="true" outlineLevel="0" collapsed="false">
      <c r="A260" s="1" t="s">
        <v>1530</v>
      </c>
      <c r="B260" s="1" t="s">
        <v>1493</v>
      </c>
      <c r="C260" s="1" t="s">
        <v>1531</v>
      </c>
      <c r="D260" s="1" t="s">
        <v>1532</v>
      </c>
      <c r="E260" s="1" t="s">
        <v>1533</v>
      </c>
      <c r="F260" s="1" t="s">
        <v>1534</v>
      </c>
      <c r="G260" s="18" t="s">
        <v>74</v>
      </c>
      <c r="H260" s="1" t="str">
        <f aca="false">IF(G260="BUG","BUG-"&amp;A260,IF(G260="FUNCTIONAL","FUNCTIONAL-"&amp;A260,""))</f>
        <v/>
      </c>
      <c r="I260" s="18" t="s">
        <v>42</v>
      </c>
    </row>
    <row r="261" customFormat="false" ht="15" hidden="false" customHeight="true" outlineLevel="0" collapsed="false">
      <c r="A261" s="1" t="s">
        <v>1535</v>
      </c>
      <c r="B261" s="1" t="s">
        <v>1508</v>
      </c>
      <c r="C261" s="1" t="s">
        <v>1536</v>
      </c>
      <c r="D261" s="1" t="s">
        <v>1537</v>
      </c>
      <c r="E261" s="1" t="s">
        <v>1538</v>
      </c>
      <c r="F261" s="1" t="s">
        <v>1539</v>
      </c>
      <c r="G261" s="18" t="s">
        <v>74</v>
      </c>
      <c r="H261" s="1" t="str">
        <f aca="false">IF(G261="BUG","BUG-"&amp;A261,IF(G261="FUNCTIONAL","FUNCTIONAL-"&amp;A261,""))</f>
        <v/>
      </c>
      <c r="I261" s="18" t="s">
        <v>42</v>
      </c>
    </row>
    <row r="262" customFormat="false" ht="15" hidden="false" customHeight="true" outlineLevel="0" collapsed="false">
      <c r="A262" s="1" t="s">
        <v>1540</v>
      </c>
      <c r="B262" s="1" t="s">
        <v>1541</v>
      </c>
      <c r="C262" s="1" t="s">
        <v>1542</v>
      </c>
      <c r="D262" s="1" t="s">
        <v>1235</v>
      </c>
      <c r="E262" s="1" t="s">
        <v>1543</v>
      </c>
      <c r="F262" s="1" t="s">
        <v>1544</v>
      </c>
      <c r="G262" s="18" t="s">
        <v>74</v>
      </c>
      <c r="H262" s="1" t="str">
        <f aca="false">IF(G262="BUG","BUG-"&amp;A262,IF(G262="FUNCTIONAL","FUNCTIONAL-"&amp;A262,""))</f>
        <v/>
      </c>
      <c r="I262" s="18" t="s">
        <v>56</v>
      </c>
    </row>
    <row r="263" customFormat="false" ht="15" hidden="false" customHeight="true" outlineLevel="0" collapsed="false">
      <c r="A263" s="1" t="s">
        <v>1545</v>
      </c>
      <c r="B263" s="1" t="s">
        <v>1541</v>
      </c>
      <c r="C263" s="1" t="s">
        <v>1546</v>
      </c>
      <c r="D263" s="1" t="s">
        <v>1547</v>
      </c>
      <c r="E263" s="1" t="s">
        <v>1543</v>
      </c>
      <c r="F263" s="1" t="s">
        <v>1548</v>
      </c>
      <c r="G263" s="18" t="s">
        <v>74</v>
      </c>
      <c r="H263" s="1" t="str">
        <f aca="false">IF(G263="BUG","BUG-"&amp;A263,IF(G263="FUNCTIONAL","FUNCTIONAL-"&amp;A263,""))</f>
        <v/>
      </c>
      <c r="I263" s="18" t="s">
        <v>65</v>
      </c>
    </row>
    <row r="264" customFormat="false" ht="15" hidden="false" customHeight="true" outlineLevel="0" collapsed="false">
      <c r="A264" s="1" t="s">
        <v>1549</v>
      </c>
      <c r="B264" s="1" t="s">
        <v>1541</v>
      </c>
      <c r="C264" s="1" t="s">
        <v>1550</v>
      </c>
      <c r="D264" s="1" t="s">
        <v>1235</v>
      </c>
      <c r="E264" s="1" t="s">
        <v>1551</v>
      </c>
      <c r="F264" s="1" t="s">
        <v>1552</v>
      </c>
      <c r="G264" s="18" t="s">
        <v>74</v>
      </c>
      <c r="H264" s="1" t="str">
        <f aca="false">IF(G264="BUG","BUG-"&amp;A264,IF(G264="FUNCTIONAL","FUNCTIONAL-"&amp;A264,""))</f>
        <v/>
      </c>
      <c r="I264" s="18" t="s">
        <v>56</v>
      </c>
    </row>
    <row r="265" customFormat="false" ht="15" hidden="false" customHeight="true" outlineLevel="0" collapsed="false">
      <c r="A265" s="1" t="s">
        <v>1553</v>
      </c>
      <c r="B265" s="1" t="s">
        <v>1541</v>
      </c>
      <c r="C265" s="1" t="s">
        <v>1554</v>
      </c>
      <c r="D265" s="1" t="s">
        <v>1159</v>
      </c>
      <c r="E265" s="1" t="s">
        <v>1555</v>
      </c>
      <c r="F265" s="1" t="s">
        <v>1556</v>
      </c>
      <c r="G265" s="18" t="s">
        <v>74</v>
      </c>
      <c r="H265" s="1" t="str">
        <f aca="false">IF(G265="BUG","BUG-"&amp;A265,IF(G265="FUNCTIONAL","FUNCTIONAL-"&amp;A265,""))</f>
        <v/>
      </c>
      <c r="I265" s="18" t="s">
        <v>56</v>
      </c>
    </row>
    <row r="266" customFormat="false" ht="15" hidden="false" customHeight="true" outlineLevel="0" collapsed="false">
      <c r="A266" s="1" t="s">
        <v>1557</v>
      </c>
      <c r="B266" s="1" t="s">
        <v>1508</v>
      </c>
      <c r="C266" s="1" t="s">
        <v>1558</v>
      </c>
      <c r="D266" s="1" t="s">
        <v>1480</v>
      </c>
      <c r="E266" s="1" t="s">
        <v>1559</v>
      </c>
      <c r="F266" s="1" t="s">
        <v>1560</v>
      </c>
      <c r="G266" s="18" t="s">
        <v>74</v>
      </c>
      <c r="H266" s="1" t="str">
        <f aca="false">IF(G266="BUG","BUG-"&amp;A266,IF(G266="FUNCTIONAL","FUNCTIONAL-"&amp;A266,""))</f>
        <v/>
      </c>
      <c r="I266" s="18" t="s">
        <v>42</v>
      </c>
    </row>
    <row r="267" customFormat="false" ht="15" hidden="false" customHeight="true" outlineLevel="0" collapsed="false">
      <c r="A267" s="1" t="s">
        <v>1561</v>
      </c>
      <c r="B267" s="1" t="s">
        <v>1508</v>
      </c>
      <c r="C267" s="1" t="s">
        <v>1562</v>
      </c>
      <c r="D267" s="1" t="s">
        <v>1563</v>
      </c>
      <c r="E267" s="1" t="s">
        <v>1564</v>
      </c>
      <c r="F267" s="1" t="s">
        <v>1565</v>
      </c>
      <c r="G267" s="18" t="s">
        <v>74</v>
      </c>
      <c r="H267" s="1" t="str">
        <f aca="false">IF(G267="BUG","BUG-"&amp;A267,IF(G267="FUNCTIONAL","FUNCTIONAL-"&amp;A267,""))</f>
        <v/>
      </c>
      <c r="I267" s="18" t="s">
        <v>56</v>
      </c>
    </row>
    <row r="268" customFormat="false" ht="15" hidden="false" customHeight="true" outlineLevel="0" collapsed="false">
      <c r="A268" s="1" t="s">
        <v>1566</v>
      </c>
      <c r="B268" s="1" t="s">
        <v>1508</v>
      </c>
      <c r="C268" s="1" t="s">
        <v>1567</v>
      </c>
      <c r="D268" s="1" t="s">
        <v>1568</v>
      </c>
      <c r="E268" s="1" t="s">
        <v>1569</v>
      </c>
      <c r="F268" s="1" t="s">
        <v>1570</v>
      </c>
      <c r="G268" s="18" t="s">
        <v>74</v>
      </c>
      <c r="H268" s="1" t="str">
        <f aca="false">IF(G268="BUG","BUG-"&amp;A268,IF(G268="FUNCTIONAL","FUNCTIONAL-"&amp;A268,""))</f>
        <v/>
      </c>
      <c r="I268" s="18" t="s">
        <v>42</v>
      </c>
    </row>
    <row r="269" customFormat="false" ht="15" hidden="false" customHeight="true" outlineLevel="0" collapsed="false">
      <c r="A269" s="1" t="s">
        <v>1571</v>
      </c>
      <c r="B269" s="1" t="s">
        <v>1572</v>
      </c>
      <c r="C269" s="1" t="s">
        <v>1573</v>
      </c>
      <c r="D269" s="1" t="s">
        <v>1159</v>
      </c>
      <c r="E269" s="1" t="s">
        <v>1574</v>
      </c>
      <c r="F269" s="1" t="s">
        <v>1575</v>
      </c>
      <c r="G269" s="18" t="s">
        <v>74</v>
      </c>
      <c r="H269" s="1" t="str">
        <f aca="false">IF(G269="BUG","BUG-"&amp;A269,IF(G269="FUNCTIONAL","FUNCTIONAL-"&amp;A269,""))</f>
        <v/>
      </c>
      <c r="I269" s="18" t="s">
        <v>56</v>
      </c>
    </row>
    <row r="270" customFormat="false" ht="15" hidden="false" customHeight="true" outlineLevel="0" collapsed="false">
      <c r="A270" s="1" t="s">
        <v>1576</v>
      </c>
      <c r="B270" s="1" t="s">
        <v>1572</v>
      </c>
      <c r="C270" s="1" t="s">
        <v>1577</v>
      </c>
      <c r="D270" s="1" t="s">
        <v>1578</v>
      </c>
      <c r="E270" s="1" t="s">
        <v>1579</v>
      </c>
      <c r="F270" s="1" t="s">
        <v>1580</v>
      </c>
      <c r="G270" s="18" t="s">
        <v>74</v>
      </c>
      <c r="H270" s="1" t="str">
        <f aca="false">IF(G270="BUG","BUG-"&amp;A270,IF(G270="FUNCTIONAL","FUNCTIONAL-"&amp;A270,""))</f>
        <v/>
      </c>
      <c r="I270" s="18" t="s">
        <v>42</v>
      </c>
    </row>
    <row r="271" customFormat="false" ht="15" hidden="false" customHeight="true" outlineLevel="0" collapsed="false">
      <c r="A271" s="1" t="s">
        <v>1581</v>
      </c>
      <c r="B271" s="1" t="s">
        <v>1572</v>
      </c>
      <c r="C271" s="1" t="s">
        <v>1582</v>
      </c>
      <c r="D271" s="1" t="s">
        <v>1578</v>
      </c>
      <c r="E271" s="1" t="s">
        <v>1583</v>
      </c>
      <c r="F271" s="1" t="s">
        <v>1584</v>
      </c>
      <c r="G271" s="18" t="s">
        <v>74</v>
      </c>
      <c r="H271" s="1" t="str">
        <f aca="false">IF(G271="BUG","BUG-"&amp;A271,IF(G271="FUNCTIONAL","FUNCTIONAL-"&amp;A271,""))</f>
        <v/>
      </c>
      <c r="I271" s="18" t="s">
        <v>56</v>
      </c>
    </row>
    <row r="272" customFormat="false" ht="15" hidden="false" customHeight="true" outlineLevel="0" collapsed="false">
      <c r="A272" s="1" t="s">
        <v>1585</v>
      </c>
      <c r="B272" s="1" t="s">
        <v>1572</v>
      </c>
      <c r="C272" s="1" t="s">
        <v>1586</v>
      </c>
      <c r="D272" s="1" t="s">
        <v>1587</v>
      </c>
      <c r="E272" s="1" t="s">
        <v>1588</v>
      </c>
      <c r="F272" s="1" t="s">
        <v>1589</v>
      </c>
      <c r="G272" s="18" t="s">
        <v>74</v>
      </c>
      <c r="H272" s="1" t="str">
        <f aca="false">IF(G272="BUG","BUG-"&amp;A272,IF(G272="FUNCTIONAL","FUNCTIONAL-"&amp;A272,""))</f>
        <v/>
      </c>
      <c r="I272" s="18" t="s">
        <v>65</v>
      </c>
    </row>
    <row r="273" customFormat="false" ht="15" hidden="false" customHeight="true" outlineLevel="0" collapsed="false">
      <c r="A273" s="1" t="s">
        <v>1590</v>
      </c>
      <c r="B273" s="1" t="s">
        <v>1572</v>
      </c>
      <c r="C273" s="1" t="s">
        <v>1591</v>
      </c>
      <c r="D273" s="1" t="s">
        <v>1587</v>
      </c>
      <c r="E273" s="1" t="s">
        <v>1592</v>
      </c>
      <c r="F273" s="1" t="s">
        <v>1593</v>
      </c>
      <c r="G273" s="18" t="s">
        <v>74</v>
      </c>
      <c r="H273" s="1" t="str">
        <f aca="false">IF(G273="BUG","BUG-"&amp;A273,IF(G273="FUNCTIONAL","FUNCTIONAL-"&amp;A273,""))</f>
        <v/>
      </c>
      <c r="I273" s="18" t="s">
        <v>56</v>
      </c>
    </row>
    <row r="274" customFormat="false" ht="15" hidden="false" customHeight="true" outlineLevel="0" collapsed="false">
      <c r="A274" s="1" t="s">
        <v>1594</v>
      </c>
      <c r="B274" s="1" t="s">
        <v>1595</v>
      </c>
      <c r="C274" s="1" t="s">
        <v>1596</v>
      </c>
      <c r="D274" s="1" t="s">
        <v>1159</v>
      </c>
      <c r="E274" s="1" t="s">
        <v>1597</v>
      </c>
      <c r="F274" s="1" t="s">
        <v>1598</v>
      </c>
      <c r="G274" s="18" t="s">
        <v>74</v>
      </c>
      <c r="H274" s="1" t="str">
        <f aca="false">IF(G274="BUG","BUG-"&amp;A274,IF(G274="FUNCTIONAL","FUNCTIONAL-"&amp;A274,""))</f>
        <v/>
      </c>
      <c r="I274" s="18" t="s">
        <v>42</v>
      </c>
    </row>
    <row r="275" customFormat="false" ht="15" hidden="false" customHeight="true" outlineLevel="0" collapsed="false">
      <c r="A275" s="1" t="s">
        <v>1599</v>
      </c>
      <c r="B275" s="1" t="s">
        <v>1595</v>
      </c>
      <c r="C275" s="1" t="s">
        <v>1600</v>
      </c>
      <c r="D275" s="1" t="s">
        <v>1601</v>
      </c>
      <c r="E275" s="1" t="s">
        <v>1597</v>
      </c>
      <c r="F275" s="1" t="s">
        <v>1602</v>
      </c>
      <c r="G275" s="18" t="s">
        <v>74</v>
      </c>
      <c r="H275" s="1" t="str">
        <f aca="false">IF(G275="BUG","BUG-"&amp;A275,IF(G275="FUNCTIONAL","FUNCTIONAL-"&amp;A275,""))</f>
        <v/>
      </c>
      <c r="I275" s="18" t="s">
        <v>56</v>
      </c>
    </row>
    <row r="276" customFormat="false" ht="15" hidden="false" customHeight="true" outlineLevel="0" collapsed="false">
      <c r="A276" s="1" t="s">
        <v>1603</v>
      </c>
      <c r="B276" s="1" t="s">
        <v>1595</v>
      </c>
      <c r="C276" s="1" t="s">
        <v>1604</v>
      </c>
      <c r="D276" s="1" t="s">
        <v>1605</v>
      </c>
      <c r="E276" s="1" t="s">
        <v>1606</v>
      </c>
      <c r="F276" s="1" t="s">
        <v>1607</v>
      </c>
      <c r="G276" s="18" t="s">
        <v>74</v>
      </c>
      <c r="H276" s="1" t="str">
        <f aca="false">IF(G276="BUG","BUG-"&amp;A276,IF(G276="FUNCTIONAL","FUNCTIONAL-"&amp;A276,""))</f>
        <v/>
      </c>
      <c r="I276" s="18" t="s">
        <v>42</v>
      </c>
    </row>
    <row r="277" customFormat="false" ht="15" hidden="false" customHeight="true" outlineLevel="0" collapsed="false">
      <c r="A277" s="1" t="s">
        <v>1608</v>
      </c>
      <c r="B277" s="1" t="s">
        <v>1595</v>
      </c>
      <c r="C277" s="1" t="s">
        <v>1609</v>
      </c>
      <c r="D277" s="1" t="s">
        <v>1610</v>
      </c>
      <c r="E277" s="1" t="s">
        <v>1611</v>
      </c>
      <c r="F277" s="1" t="s">
        <v>1612</v>
      </c>
      <c r="G277" s="18" t="s">
        <v>74</v>
      </c>
      <c r="H277" s="1" t="str">
        <f aca="false">IF(G277="BUG","BUG-"&amp;A277,IF(G277="FUNCTIONAL","FUNCTIONAL-"&amp;A277,""))</f>
        <v/>
      </c>
      <c r="I277" s="18" t="s">
        <v>65</v>
      </c>
    </row>
    <row r="278" customFormat="false" ht="15" hidden="false" customHeight="true" outlineLevel="0" collapsed="false">
      <c r="A278" s="1" t="s">
        <v>1613</v>
      </c>
      <c r="B278" s="1" t="s">
        <v>1614</v>
      </c>
      <c r="C278" s="1" t="s">
        <v>1615</v>
      </c>
      <c r="D278" s="1" t="s">
        <v>1616</v>
      </c>
      <c r="E278" s="1" t="s">
        <v>1617</v>
      </c>
      <c r="F278" s="1" t="s">
        <v>1618</v>
      </c>
      <c r="G278" s="18" t="s">
        <v>74</v>
      </c>
      <c r="H278" s="1" t="str">
        <f aca="false">IF(G278="BUG","BUG-"&amp;A278,IF(G278="FUNCTIONAL","FUNCTIONAL-"&amp;A278,""))</f>
        <v/>
      </c>
      <c r="I278" s="18" t="s">
        <v>42</v>
      </c>
    </row>
    <row r="279" customFormat="false" ht="15" hidden="false" customHeight="true" outlineLevel="0" collapsed="false">
      <c r="A279" s="1" t="s">
        <v>1619</v>
      </c>
      <c r="B279" s="1" t="s">
        <v>1614</v>
      </c>
      <c r="C279" s="1" t="s">
        <v>1620</v>
      </c>
      <c r="D279" s="1" t="s">
        <v>1159</v>
      </c>
      <c r="E279" s="1" t="s">
        <v>1621</v>
      </c>
      <c r="F279" s="1" t="s">
        <v>1622</v>
      </c>
      <c r="G279" s="18" t="s">
        <v>74</v>
      </c>
      <c r="H279" s="1" t="str">
        <f aca="false">IF(G279="BUG","BUG-"&amp;A279,IF(G279="FUNCTIONAL","FUNCTIONAL-"&amp;A279,""))</f>
        <v/>
      </c>
      <c r="I279" s="18" t="s">
        <v>56</v>
      </c>
    </row>
    <row r="280" customFormat="false" ht="15" hidden="false" customHeight="true" outlineLevel="0" collapsed="false">
      <c r="A280" s="1" t="s">
        <v>1623</v>
      </c>
      <c r="B280" s="1" t="s">
        <v>1614</v>
      </c>
      <c r="C280" s="1" t="s">
        <v>1624</v>
      </c>
      <c r="D280" s="1" t="s">
        <v>1159</v>
      </c>
      <c r="E280" s="1" t="s">
        <v>1625</v>
      </c>
      <c r="F280" s="1" t="s">
        <v>1626</v>
      </c>
      <c r="G280" s="18" t="s">
        <v>74</v>
      </c>
      <c r="H280" s="1" t="str">
        <f aca="false">IF(G280="BUG","BUG-"&amp;A280,IF(G280="FUNCTIONAL","FUNCTIONAL-"&amp;A280,""))</f>
        <v/>
      </c>
      <c r="I280" s="18" t="s">
        <v>56</v>
      </c>
    </row>
    <row r="281" customFormat="false" ht="15" hidden="false" customHeight="true" outlineLevel="0" collapsed="false">
      <c r="A281" s="1" t="s">
        <v>1627</v>
      </c>
      <c r="B281" s="1" t="s">
        <v>1614</v>
      </c>
      <c r="C281" s="1" t="s">
        <v>1628</v>
      </c>
      <c r="D281" s="1" t="s">
        <v>1159</v>
      </c>
      <c r="E281" s="1" t="s">
        <v>1629</v>
      </c>
      <c r="F281" s="1" t="s">
        <v>1630</v>
      </c>
      <c r="G281" s="18" t="s">
        <v>74</v>
      </c>
      <c r="H281" s="1" t="str">
        <f aca="false">IF(G281="BUG","BUG-"&amp;A281,IF(G281="FUNCTIONAL","FUNCTIONAL-"&amp;A281,""))</f>
        <v/>
      </c>
      <c r="I281" s="18" t="s">
        <v>56</v>
      </c>
    </row>
    <row r="282" customFormat="false" ht="15" hidden="false" customHeight="true" outlineLevel="0" collapsed="false">
      <c r="A282" s="1" t="s">
        <v>1631</v>
      </c>
      <c r="B282" s="1" t="s">
        <v>1614</v>
      </c>
      <c r="C282" s="1" t="s">
        <v>1632</v>
      </c>
      <c r="D282" s="1" t="s">
        <v>1159</v>
      </c>
      <c r="E282" s="1" t="s">
        <v>1633</v>
      </c>
      <c r="F282" s="1" t="s">
        <v>1634</v>
      </c>
      <c r="G282" s="18" t="s">
        <v>74</v>
      </c>
      <c r="H282" s="1" t="str">
        <f aca="false">IF(G282="BUG","BUG-"&amp;A282,IF(G282="FUNCTIONAL","FUNCTIONAL-"&amp;A282,""))</f>
        <v/>
      </c>
      <c r="I282" s="18" t="s">
        <v>42</v>
      </c>
    </row>
    <row r="283" customFormat="false" ht="15" hidden="false" customHeight="true" outlineLevel="0" collapsed="false">
      <c r="A283" s="1" t="s">
        <v>1635</v>
      </c>
      <c r="B283" s="1" t="s">
        <v>1614</v>
      </c>
      <c r="C283" s="1" t="s">
        <v>1636</v>
      </c>
      <c r="D283" s="1" t="s">
        <v>1159</v>
      </c>
      <c r="E283" s="1" t="s">
        <v>1637</v>
      </c>
      <c r="F283" s="1" t="s">
        <v>1638</v>
      </c>
      <c r="G283" s="18" t="s">
        <v>74</v>
      </c>
      <c r="H283" s="1" t="str">
        <f aca="false">IF(G283="BUG","BUG-"&amp;A283,IF(G283="FUNCTIONAL","FUNCTIONAL-"&amp;A283,""))</f>
        <v/>
      </c>
      <c r="I283" s="18" t="s">
        <v>42</v>
      </c>
    </row>
    <row r="284" customFormat="false" ht="15" hidden="false" customHeight="true" outlineLevel="0" collapsed="false">
      <c r="A284" s="1" t="s">
        <v>1639</v>
      </c>
      <c r="B284" s="1" t="s">
        <v>201</v>
      </c>
      <c r="C284" s="1" t="s">
        <v>1640</v>
      </c>
      <c r="D284" s="1" t="s">
        <v>1641</v>
      </c>
      <c r="E284" s="1" t="s">
        <v>1642</v>
      </c>
      <c r="F284" s="1" t="s">
        <v>1643</v>
      </c>
      <c r="G284" s="18" t="s">
        <v>74</v>
      </c>
      <c r="H284" s="1" t="str">
        <f aca="false">IF(G284="BUG","BUG-"&amp;A284,IF(G284="FUNCTIONAL","FUNCTIONAL-"&amp;A284,""))</f>
        <v/>
      </c>
      <c r="I284" s="18" t="s">
        <v>56</v>
      </c>
      <c r="L284" s="1" t="s">
        <v>1644</v>
      </c>
    </row>
    <row r="285" customFormat="false" ht="15" hidden="false" customHeight="true" outlineLevel="0" collapsed="false">
      <c r="A285" s="1" t="s">
        <v>1645</v>
      </c>
      <c r="B285" s="1" t="s">
        <v>201</v>
      </c>
      <c r="C285" s="1" t="s">
        <v>1646</v>
      </c>
      <c r="D285" s="1" t="s">
        <v>1647</v>
      </c>
      <c r="E285" s="1" t="s">
        <v>1648</v>
      </c>
      <c r="F285" s="1" t="s">
        <v>1649</v>
      </c>
      <c r="G285" s="18" t="s">
        <v>74</v>
      </c>
      <c r="H285" s="1" t="str">
        <f aca="false">IF(G285="BUG","BUG-"&amp;A285,IF(G285="FUNCTIONAL","FUNCTIONAL-"&amp;A285,""))</f>
        <v/>
      </c>
      <c r="I285" s="18" t="s">
        <v>56</v>
      </c>
      <c r="L285" s="1" t="s">
        <v>1650</v>
      </c>
    </row>
    <row r="286" customFormat="false" ht="15" hidden="false" customHeight="true" outlineLevel="0" collapsed="false">
      <c r="A286" s="1" t="s">
        <v>1651</v>
      </c>
      <c r="B286" s="1" t="s">
        <v>472</v>
      </c>
      <c r="C286" s="1" t="s">
        <v>1652</v>
      </c>
      <c r="D286" s="1" t="s">
        <v>1653</v>
      </c>
      <c r="E286" s="1" t="s">
        <v>1654</v>
      </c>
      <c r="F286" s="1" t="s">
        <v>1655</v>
      </c>
      <c r="G286" s="18" t="s">
        <v>74</v>
      </c>
      <c r="H286" s="1" t="str">
        <f aca="false">IF(G286="BUG","BUG-"&amp;A286,IF(G286="FUNCTIONAL","FUNCTIONAL-"&amp;A286,""))</f>
        <v/>
      </c>
      <c r="I286" s="18" t="s">
        <v>42</v>
      </c>
    </row>
    <row r="287" customFormat="false" ht="15" hidden="false" customHeight="true" outlineLevel="0" collapsed="false">
      <c r="A287" s="1" t="s">
        <v>1656</v>
      </c>
      <c r="B287" s="1" t="s">
        <v>507</v>
      </c>
      <c r="C287" s="1" t="s">
        <v>1657</v>
      </c>
      <c r="D287" s="1" t="s">
        <v>509</v>
      </c>
      <c r="E287" s="1" t="s">
        <v>1658</v>
      </c>
      <c r="F287" s="1" t="s">
        <v>1659</v>
      </c>
      <c r="G287" s="18" t="s">
        <v>74</v>
      </c>
      <c r="H287" s="1" t="str">
        <f aca="false">IF(G287="BUG","BUG-"&amp;A287,IF(G287="FUNCTIONAL","FUNCTIONAL-"&amp;A287,""))</f>
        <v/>
      </c>
      <c r="I287" s="18" t="s">
        <v>56</v>
      </c>
    </row>
    <row r="288" customFormat="false" ht="15" hidden="false" customHeight="true" outlineLevel="0" collapsed="false">
      <c r="A288" s="1" t="s">
        <v>1660</v>
      </c>
      <c r="B288" s="1" t="s">
        <v>472</v>
      </c>
      <c r="C288" s="1" t="s">
        <v>1661</v>
      </c>
      <c r="D288" s="1" t="s">
        <v>1653</v>
      </c>
      <c r="E288" s="1" t="s">
        <v>1662</v>
      </c>
      <c r="F288" s="1" t="s">
        <v>1663</v>
      </c>
      <c r="G288" s="18" t="s">
        <v>74</v>
      </c>
      <c r="H288" s="1" t="str">
        <f aca="false">IF(G288="BUG","BUG-"&amp;A288,IF(G288="FUNCTIONAL","FUNCTIONAL-"&amp;A288,""))</f>
        <v/>
      </c>
      <c r="I288" s="18" t="s">
        <v>42</v>
      </c>
    </row>
    <row r="289" customFormat="false" ht="15" hidden="false" customHeight="true" outlineLevel="0" collapsed="false">
      <c r="A289" s="1" t="s">
        <v>1664</v>
      </c>
      <c r="B289" s="1" t="s">
        <v>1665</v>
      </c>
      <c r="C289" s="1" t="s">
        <v>1666</v>
      </c>
      <c r="D289" s="1" t="s">
        <v>1667</v>
      </c>
      <c r="E289" s="1" t="s">
        <v>1668</v>
      </c>
      <c r="F289" s="1" t="s">
        <v>1669</v>
      </c>
      <c r="G289" s="18" t="s">
        <v>74</v>
      </c>
      <c r="H289" s="1" t="str">
        <f aca="false">IF(G289="BUG","BUG-"&amp;A289,IF(G289="FUNCTIONAL","FUNCTIONAL-"&amp;A289,""))</f>
        <v/>
      </c>
      <c r="I289" s="18" t="s">
        <v>42</v>
      </c>
      <c r="L289" s="1" t="s">
        <v>1670</v>
      </c>
    </row>
    <row r="290" customFormat="false" ht="15" hidden="false" customHeight="true" outlineLevel="0" collapsed="false">
      <c r="A290" s="1" t="s">
        <v>1671</v>
      </c>
      <c r="B290" s="1" t="s">
        <v>201</v>
      </c>
      <c r="C290" s="1" t="s">
        <v>1672</v>
      </c>
      <c r="D290" s="1" t="s">
        <v>1673</v>
      </c>
      <c r="E290" s="1" t="s">
        <v>1674</v>
      </c>
      <c r="F290" s="1" t="s">
        <v>1675</v>
      </c>
      <c r="G290" s="18" t="s">
        <v>74</v>
      </c>
      <c r="H290" s="1" t="str">
        <f aca="false">IF(G290="BUG","BUG-"&amp;A290,IF(G290="FUNCTIONAL","FUNCTIONAL-"&amp;A290,""))</f>
        <v/>
      </c>
      <c r="I290" s="18" t="s">
        <v>56</v>
      </c>
      <c r="L290" s="1" t="s">
        <v>1676</v>
      </c>
    </row>
    <row r="291" customFormat="false" ht="15" hidden="false" customHeight="true" outlineLevel="0" collapsed="false">
      <c r="A291" s="1" t="s">
        <v>1677</v>
      </c>
      <c r="B291" s="1" t="s">
        <v>1665</v>
      </c>
      <c r="C291" s="1" t="s">
        <v>1678</v>
      </c>
      <c r="D291" s="1" t="s">
        <v>1679</v>
      </c>
      <c r="E291" s="1" t="s">
        <v>1680</v>
      </c>
      <c r="F291" s="1" t="s">
        <v>1681</v>
      </c>
      <c r="G291" s="18" t="s">
        <v>74</v>
      </c>
      <c r="H291" s="1" t="str">
        <f aca="false">IF(G291="BUG","BUG-"&amp;A291,IF(G291="FUNCTIONAL","FUNCTIONAL-"&amp;A291,""))</f>
        <v/>
      </c>
      <c r="I291" s="18" t="s">
        <v>56</v>
      </c>
      <c r="L291" s="1" t="s">
        <v>1682</v>
      </c>
    </row>
    <row r="292" customFormat="false" ht="15" hidden="false" customHeight="true" outlineLevel="0" collapsed="false">
      <c r="A292" s="1" t="s">
        <v>1683</v>
      </c>
      <c r="B292" s="1" t="s">
        <v>1222</v>
      </c>
      <c r="C292" s="1" t="s">
        <v>1684</v>
      </c>
      <c r="D292" s="1" t="s">
        <v>1159</v>
      </c>
      <c r="E292" s="1" t="s">
        <v>1685</v>
      </c>
      <c r="F292" s="1" t="s">
        <v>1686</v>
      </c>
      <c r="G292" s="1" t="s">
        <v>74</v>
      </c>
      <c r="H292" s="1" t="str">
        <f aca="false">IF(G292="BUG","BUG-"&amp;A292,IF(G292="FUNCTIONAL","FUNCTIONAL-"&amp;A292,""))</f>
        <v/>
      </c>
      <c r="I292" s="1" t="s">
        <v>56</v>
      </c>
      <c r="L292" s="1" t="s">
        <v>1687</v>
      </c>
    </row>
    <row r="293" customFormat="false" ht="15" hidden="false" customHeight="true" outlineLevel="0" collapsed="false">
      <c r="A293" s="1" t="s">
        <v>1688</v>
      </c>
      <c r="B293" s="1" t="s">
        <v>1689</v>
      </c>
      <c r="C293" s="1" t="s">
        <v>1690</v>
      </c>
      <c r="D293" s="1" t="s">
        <v>1691</v>
      </c>
      <c r="E293" s="1" t="s">
        <v>1692</v>
      </c>
      <c r="F293" s="1" t="s">
        <v>1693</v>
      </c>
      <c r="G293" s="1" t="s">
        <v>74</v>
      </c>
      <c r="H293" s="1" t="str">
        <f aca="false">IF(G293="BUG","BUG-"&amp;A293,IF(G293="FUNCTIONAL","FUNCTIONAL-"&amp;A293,""))</f>
        <v/>
      </c>
      <c r="I293" s="1" t="s">
        <v>56</v>
      </c>
      <c r="L293" s="1" t="s">
        <v>1694</v>
      </c>
    </row>
    <row r="294" customFormat="false" ht="15" hidden="false" customHeight="true" outlineLevel="0" collapsed="false">
      <c r="A294" s="1" t="s">
        <v>1695</v>
      </c>
      <c r="B294" s="1" t="s">
        <v>1689</v>
      </c>
      <c r="C294" s="1" t="s">
        <v>1696</v>
      </c>
      <c r="D294" s="1" t="s">
        <v>1697</v>
      </c>
      <c r="E294" s="1" t="s">
        <v>1698</v>
      </c>
      <c r="F294" s="1" t="s">
        <v>1699</v>
      </c>
      <c r="G294" s="1" t="s">
        <v>74</v>
      </c>
      <c r="H294" s="1" t="str">
        <f aca="false">IF(G294="BUG","BUG-"&amp;A294,IF(G294="FUNCTIONAL","FUNCTIONAL-"&amp;A294,""))</f>
        <v/>
      </c>
      <c r="I294" s="1" t="s">
        <v>65</v>
      </c>
      <c r="L294" s="1" t="s">
        <v>1700</v>
      </c>
    </row>
    <row r="295" customFormat="false" ht="15" hidden="false" customHeight="true" outlineLevel="0" collapsed="false">
      <c r="A295" s="1" t="s">
        <v>1701</v>
      </c>
      <c r="B295" s="1" t="s">
        <v>1689</v>
      </c>
      <c r="C295" s="1" t="s">
        <v>1702</v>
      </c>
      <c r="D295" s="1" t="s">
        <v>1697</v>
      </c>
      <c r="E295" s="1" t="s">
        <v>1703</v>
      </c>
      <c r="F295" s="1" t="s">
        <v>1704</v>
      </c>
      <c r="G295" s="1" t="s">
        <v>74</v>
      </c>
      <c r="H295" s="1" t="str">
        <f aca="false">IF(G295="BUG","BUG-"&amp;A295,IF(G295="FUNCTIONAL","FUNCTIONAL-"&amp;A295,""))</f>
        <v/>
      </c>
      <c r="I295" s="1" t="s">
        <v>56</v>
      </c>
      <c r="L295" s="1" t="s">
        <v>1705</v>
      </c>
    </row>
    <row r="296" customFormat="false" ht="15" hidden="false" customHeight="true" outlineLevel="0" collapsed="false">
      <c r="A296" s="1" t="s">
        <v>1706</v>
      </c>
      <c r="B296" s="1" t="s">
        <v>1689</v>
      </c>
      <c r="C296" s="1" t="s">
        <v>1707</v>
      </c>
      <c r="D296" s="1" t="s">
        <v>1708</v>
      </c>
      <c r="E296" s="1" t="s">
        <v>1709</v>
      </c>
      <c r="F296" s="1" t="s">
        <v>1710</v>
      </c>
      <c r="G296" s="1" t="s">
        <v>74</v>
      </c>
      <c r="H296" s="1" t="str">
        <f aca="false">IF(G296="BUG","BUG-"&amp;A296,IF(G296="FUNCTIONAL","FUNCTIONAL-"&amp;A296,""))</f>
        <v/>
      </c>
      <c r="I296" s="1" t="s">
        <v>56</v>
      </c>
      <c r="L296" s="1" t="s">
        <v>1711</v>
      </c>
    </row>
    <row r="297" customFormat="false" ht="15" hidden="false" customHeight="true" outlineLevel="0" collapsed="false">
      <c r="A297" s="1" t="s">
        <v>1712</v>
      </c>
      <c r="B297" s="1" t="s">
        <v>201</v>
      </c>
      <c r="C297" s="1" t="s">
        <v>1713</v>
      </c>
      <c r="D297" s="1" t="s">
        <v>1673</v>
      </c>
      <c r="E297" s="1" t="s">
        <v>1714</v>
      </c>
      <c r="F297" s="1" t="s">
        <v>1715</v>
      </c>
      <c r="G297" s="1" t="s">
        <v>74</v>
      </c>
      <c r="H297" s="1" t="str">
        <f aca="false">IF(G297="BUG","BUG-"&amp;A297,IF(G297="FUNCTIONAL","FUNCTIONAL-"&amp;A297,""))</f>
        <v/>
      </c>
      <c r="I297" s="1" t="s">
        <v>56</v>
      </c>
      <c r="L297" s="1" t="s">
        <v>1716</v>
      </c>
    </row>
    <row r="298" customFormat="false" ht="15" hidden="false" customHeight="true" outlineLevel="0" collapsed="false">
      <c r="A298" s="1" t="s">
        <v>1717</v>
      </c>
      <c r="B298" s="1" t="s">
        <v>201</v>
      </c>
      <c r="C298" s="1" t="s">
        <v>1718</v>
      </c>
      <c r="D298" s="1" t="s">
        <v>1719</v>
      </c>
      <c r="E298" s="1" t="s">
        <v>1720</v>
      </c>
      <c r="F298" s="1" t="s">
        <v>1721</v>
      </c>
      <c r="G298" s="1" t="s">
        <v>74</v>
      </c>
      <c r="H298" s="1" t="str">
        <f aca="false">IF(G298="BUG","BUG-"&amp;A298,IF(G298="FUNCTIONAL","FUNCTIONAL-"&amp;A298,""))</f>
        <v/>
      </c>
      <c r="I298" s="1" t="s">
        <v>56</v>
      </c>
      <c r="L298" s="1" t="s">
        <v>1722</v>
      </c>
    </row>
    <row r="299" customFormat="false" ht="15" hidden="false" customHeight="true" outlineLevel="0" collapsed="false">
      <c r="A299" s="1" t="s">
        <v>1723</v>
      </c>
      <c r="B299" s="1" t="s">
        <v>201</v>
      </c>
      <c r="C299" s="1" t="s">
        <v>1724</v>
      </c>
      <c r="D299" s="1" t="s">
        <v>1725</v>
      </c>
      <c r="E299" s="1" t="s">
        <v>1720</v>
      </c>
      <c r="F299" s="1" t="s">
        <v>1726</v>
      </c>
      <c r="G299" s="1" t="s">
        <v>74</v>
      </c>
      <c r="H299" s="1" t="str">
        <f aca="false">IF(G299="BUG","BUG-"&amp;A299,IF(G299="FUNCTIONAL","FUNCTIONAL-"&amp;A299,""))</f>
        <v/>
      </c>
      <c r="I299" s="1" t="s">
        <v>56</v>
      </c>
      <c r="L299" s="1" t="s">
        <v>1727</v>
      </c>
    </row>
    <row r="300" customFormat="false" ht="15" hidden="false" customHeight="true" outlineLevel="0" collapsed="false">
      <c r="A300" s="1" t="s">
        <v>1728</v>
      </c>
      <c r="B300" s="1" t="s">
        <v>201</v>
      </c>
      <c r="C300" s="1" t="s">
        <v>1729</v>
      </c>
      <c r="D300" s="1" t="s">
        <v>1730</v>
      </c>
      <c r="E300" s="1" t="s">
        <v>1731</v>
      </c>
      <c r="F300" s="1" t="s">
        <v>1732</v>
      </c>
      <c r="G300" s="1" t="s">
        <v>74</v>
      </c>
      <c r="H300" s="1" t="str">
        <f aca="false">IF(G300="BUG","BUG-"&amp;A300,IF(G300="FUNCTIONAL","FUNCTIONAL-"&amp;A300,""))</f>
        <v/>
      </c>
      <c r="I300" s="1" t="s">
        <v>42</v>
      </c>
      <c r="L300" s="1" t="s">
        <v>1733</v>
      </c>
    </row>
    <row r="301" customFormat="false" ht="15" hidden="false" customHeight="true" outlineLevel="0" collapsed="false">
      <c r="A301" s="1" t="s">
        <v>1734</v>
      </c>
      <c r="B301" s="1" t="s">
        <v>472</v>
      </c>
      <c r="C301" s="1" t="s">
        <v>1735</v>
      </c>
      <c r="D301" s="1" t="s">
        <v>1736</v>
      </c>
      <c r="E301" s="1" t="s">
        <v>1737</v>
      </c>
      <c r="F301" s="1" t="s">
        <v>1738</v>
      </c>
      <c r="G301" s="1" t="s">
        <v>74</v>
      </c>
      <c r="H301" s="1" t="str">
        <f aca="false">IF(G301="BUG","BUG-"&amp;A301,IF(G301="FUNCTIONAL","FUNCTIONAL-"&amp;A301,""))</f>
        <v/>
      </c>
      <c r="I301" s="1" t="s">
        <v>42</v>
      </c>
      <c r="L301" s="1" t="s">
        <v>1739</v>
      </c>
    </row>
    <row r="302" customFormat="false" ht="15" hidden="false" customHeight="true" outlineLevel="0" collapsed="false">
      <c r="A302" s="1" t="s">
        <v>1740</v>
      </c>
      <c r="B302" s="1" t="s">
        <v>1259</v>
      </c>
      <c r="C302" s="1" t="s">
        <v>1741</v>
      </c>
      <c r="D302" s="1" t="s">
        <v>1159</v>
      </c>
      <c r="E302" s="1" t="s">
        <v>1261</v>
      </c>
      <c r="F302" s="1" t="s">
        <v>1742</v>
      </c>
      <c r="G302" s="1" t="s">
        <v>74</v>
      </c>
      <c r="H302" s="1" t="str">
        <f aca="false">IF(G302="BUG","BUG-"&amp;A302,IF(G302="FUNCTIONAL","FUNCTIONAL-"&amp;A302,""))</f>
        <v/>
      </c>
      <c r="I302" s="1" t="s">
        <v>56</v>
      </c>
      <c r="L302" s="1" t="s">
        <v>1743</v>
      </c>
    </row>
    <row r="303" customFormat="false" ht="15" hidden="false" customHeight="true" outlineLevel="0" collapsed="false">
      <c r="A303" s="1" t="s">
        <v>1744</v>
      </c>
      <c r="B303" s="1" t="s">
        <v>517</v>
      </c>
      <c r="C303" s="1" t="s">
        <v>1745</v>
      </c>
      <c r="D303" s="1" t="s">
        <v>1055</v>
      </c>
      <c r="E303" s="1" t="s">
        <v>1746</v>
      </c>
      <c r="F303" s="1" t="s">
        <v>1747</v>
      </c>
      <c r="G303" s="1" t="s">
        <v>74</v>
      </c>
      <c r="H303" s="1" t="str">
        <f aca="false">IF(G303="BUG","BUG-"&amp;A303,IF(G303="FUNCTIONAL","FUNCTIONAL-"&amp;A303,""))</f>
        <v/>
      </c>
      <c r="I303" s="1" t="s">
        <v>42</v>
      </c>
      <c r="L303" s="1" t="s">
        <v>1748</v>
      </c>
    </row>
    <row r="304" customFormat="false" ht="15" hidden="false" customHeight="true" outlineLevel="0" collapsed="false">
      <c r="A304" s="1" t="s">
        <v>1749</v>
      </c>
      <c r="B304" s="1" t="s">
        <v>1750</v>
      </c>
      <c r="C304" s="1" t="s">
        <v>1751</v>
      </c>
      <c r="D304" s="1" t="s">
        <v>1752</v>
      </c>
      <c r="E304" s="1" t="s">
        <v>1753</v>
      </c>
      <c r="F304" s="1" t="s">
        <v>1754</v>
      </c>
      <c r="G304" s="1" t="s">
        <v>74</v>
      </c>
      <c r="H304" s="1" t="str">
        <f aca="false">IF(G304="BUG","BUG-"&amp;A304,IF(G304="FUNCTIONAL","FUNCTIONAL-"&amp;A304,""))</f>
        <v/>
      </c>
      <c r="I304" s="1" t="s">
        <v>56</v>
      </c>
      <c r="L304" s="1" t="s">
        <v>1755</v>
      </c>
    </row>
    <row r="305" customFormat="false" ht="15" hidden="false" customHeight="true" outlineLevel="0" collapsed="false">
      <c r="A305" s="1" t="s">
        <v>1756</v>
      </c>
      <c r="B305" s="1" t="s">
        <v>1750</v>
      </c>
      <c r="C305" s="1" t="s">
        <v>1757</v>
      </c>
      <c r="D305" s="1" t="s">
        <v>1055</v>
      </c>
      <c r="E305" s="1" t="s">
        <v>1758</v>
      </c>
      <c r="F305" s="1" t="s">
        <v>1759</v>
      </c>
      <c r="G305" s="1" t="s">
        <v>74</v>
      </c>
      <c r="H305" s="1" t="str">
        <f aca="false">IF(G305="BUG","BUG-"&amp;A305,IF(G305="FUNCTIONAL","FUNCTIONAL-"&amp;A305,""))</f>
        <v/>
      </c>
      <c r="I305" s="1" t="s">
        <v>56</v>
      </c>
      <c r="L305" s="1" t="s">
        <v>1760</v>
      </c>
    </row>
    <row r="306" customFormat="false" ht="15" hidden="false" customHeight="true" outlineLevel="0" collapsed="false">
      <c r="A306" s="1" t="s">
        <v>1761</v>
      </c>
      <c r="B306" s="1" t="s">
        <v>1750</v>
      </c>
      <c r="C306" s="1" t="s">
        <v>1762</v>
      </c>
      <c r="D306" s="1" t="s">
        <v>1763</v>
      </c>
      <c r="E306" s="1" t="s">
        <v>1764</v>
      </c>
      <c r="F306" s="1" t="s">
        <v>1765</v>
      </c>
      <c r="G306" s="1" t="s">
        <v>74</v>
      </c>
      <c r="H306" s="1" t="str">
        <f aca="false">IF(G306="BUG","BUG-"&amp;A306,IF(G306="FUNCTIONAL","FUNCTIONAL-"&amp;A306,""))</f>
        <v/>
      </c>
      <c r="I306" s="1" t="s">
        <v>65</v>
      </c>
      <c r="L306" s="1" t="s">
        <v>1766</v>
      </c>
    </row>
    <row r="307" customFormat="false" ht="15" hidden="false" customHeight="true" outlineLevel="0" collapsed="false">
      <c r="A307" s="1" t="s">
        <v>1767</v>
      </c>
      <c r="B307" s="1" t="s">
        <v>1750</v>
      </c>
      <c r="C307" s="1" t="s">
        <v>1768</v>
      </c>
      <c r="D307" s="1" t="s">
        <v>61</v>
      </c>
      <c r="E307" s="1" t="s">
        <v>1769</v>
      </c>
      <c r="F307" s="1" t="s">
        <v>1770</v>
      </c>
      <c r="G307" s="1" t="s">
        <v>74</v>
      </c>
      <c r="H307" s="1" t="str">
        <f aca="false">IF(G307="BUG","BUG-"&amp;A307,IF(G307="FUNCTIONAL","FUNCTIONAL-"&amp;A307,""))</f>
        <v/>
      </c>
      <c r="I307" s="1" t="s">
        <v>65</v>
      </c>
      <c r="L307" s="1" t="s">
        <v>1771</v>
      </c>
    </row>
    <row r="308" customFormat="false" ht="15" hidden="false" customHeight="true" outlineLevel="0" collapsed="false">
      <c r="A308" s="1" t="s">
        <v>1772</v>
      </c>
      <c r="B308" s="1" t="s">
        <v>1750</v>
      </c>
      <c r="C308" s="1" t="s">
        <v>1773</v>
      </c>
      <c r="D308" s="1" t="s">
        <v>1774</v>
      </c>
      <c r="E308" s="1" t="s">
        <v>1775</v>
      </c>
      <c r="F308" s="1" t="s">
        <v>1776</v>
      </c>
      <c r="G308" s="1" t="s">
        <v>74</v>
      </c>
      <c r="H308" s="1" t="str">
        <f aca="false">IF(G308="BUG","BUG-"&amp;A308,IF(G308="FUNCTIONAL","FUNCTIONAL-"&amp;A308,""))</f>
        <v/>
      </c>
      <c r="I308" s="1" t="s">
        <v>42</v>
      </c>
      <c r="L308" s="1" t="s">
        <v>1777</v>
      </c>
    </row>
    <row r="309" customFormat="false" ht="15" hidden="false" customHeight="true" outlineLevel="0" collapsed="false">
      <c r="A309" s="1" t="s">
        <v>1778</v>
      </c>
      <c r="B309" s="1" t="s">
        <v>1750</v>
      </c>
      <c r="C309" s="1" t="s">
        <v>1779</v>
      </c>
      <c r="D309" s="1" t="s">
        <v>61</v>
      </c>
      <c r="E309" s="1" t="s">
        <v>1780</v>
      </c>
      <c r="F309" s="1" t="s">
        <v>1781</v>
      </c>
      <c r="G309" s="1" t="s">
        <v>74</v>
      </c>
      <c r="H309" s="1" t="str">
        <f aca="false">IF(G309="BUG","BUG-"&amp;A309,IF(G309="FUNCTIONAL","FUNCTIONAL-"&amp;A309,""))</f>
        <v/>
      </c>
      <c r="I309" s="1" t="s">
        <v>56</v>
      </c>
      <c r="L309" s="1" t="s">
        <v>1782</v>
      </c>
    </row>
    <row r="310" customFormat="false" ht="15" hidden="false" customHeight="true" outlineLevel="0" collapsed="false">
      <c r="A310" s="1" t="s">
        <v>1783</v>
      </c>
      <c r="B310" s="1" t="s">
        <v>430</v>
      </c>
      <c r="C310" s="1" t="s">
        <v>1784</v>
      </c>
      <c r="D310" s="1" t="s">
        <v>264</v>
      </c>
      <c r="E310" s="1" t="s">
        <v>1785</v>
      </c>
      <c r="F310" s="1" t="s">
        <v>1786</v>
      </c>
      <c r="G310" s="1" t="s">
        <v>74</v>
      </c>
      <c r="H310" s="1" t="str">
        <f aca="false">IF(G310="BUG","BUG-"&amp;A310,IF(G310="FUNCTIONAL","FUNCTIONAL-"&amp;A310,""))</f>
        <v/>
      </c>
      <c r="I310" s="1" t="s">
        <v>56</v>
      </c>
      <c r="L310" s="1" t="s">
        <v>1787</v>
      </c>
    </row>
    <row r="311" customFormat="false" ht="15" hidden="false" customHeight="true" outlineLevel="0" collapsed="false">
      <c r="A311" s="1" t="s">
        <v>1788</v>
      </c>
      <c r="B311" s="1" t="s">
        <v>1789</v>
      </c>
      <c r="C311" s="1" t="s">
        <v>1790</v>
      </c>
      <c r="D311" s="1" t="s">
        <v>1791</v>
      </c>
      <c r="E311" s="1" t="s">
        <v>1792</v>
      </c>
      <c r="F311" s="1" t="s">
        <v>1793</v>
      </c>
      <c r="G311" s="1" t="s">
        <v>74</v>
      </c>
      <c r="H311" s="1" t="str">
        <f aca="false">IF(G311="BUG","BUG-"&amp;A311,IF(G311="FUNCTIONAL","FUNCTIONAL-"&amp;A311,""))</f>
        <v/>
      </c>
      <c r="I311" s="1" t="s">
        <v>56</v>
      </c>
      <c r="L311" s="1" t="s">
        <v>1794</v>
      </c>
    </row>
    <row r="312" customFormat="false" ht="15" hidden="false" customHeight="true" outlineLevel="0" collapsed="false">
      <c r="A312" s="1" t="s">
        <v>1795</v>
      </c>
      <c r="B312" s="1" t="s">
        <v>114</v>
      </c>
      <c r="C312" s="1" t="s">
        <v>1796</v>
      </c>
      <c r="D312" s="1" t="s">
        <v>1797</v>
      </c>
      <c r="E312" s="1" t="s">
        <v>1798</v>
      </c>
      <c r="F312" s="1" t="s">
        <v>1799</v>
      </c>
      <c r="G312" s="1" t="s">
        <v>74</v>
      </c>
      <c r="H312" s="1" t="str">
        <f aca="false">IF(G312="BUG","BUG-"&amp;A312,IF(G312="FUNCTIONAL","FUNCTIONAL-"&amp;A312,""))</f>
        <v/>
      </c>
      <c r="I312" s="1" t="s">
        <v>56</v>
      </c>
      <c r="L312" s="1" t="s">
        <v>1800</v>
      </c>
    </row>
    <row r="313" customFormat="false" ht="15" hidden="false" customHeight="true" outlineLevel="0" collapsed="false">
      <c r="A313" s="1" t="s">
        <v>1801</v>
      </c>
      <c r="B313" s="1" t="s">
        <v>1802</v>
      </c>
      <c r="C313" s="1" t="s">
        <v>1803</v>
      </c>
      <c r="D313" s="1" t="s">
        <v>264</v>
      </c>
      <c r="E313" s="1" t="s">
        <v>1804</v>
      </c>
      <c r="F313" s="1" t="s">
        <v>1805</v>
      </c>
      <c r="G313" s="1" t="s">
        <v>74</v>
      </c>
      <c r="H313" s="1" t="str">
        <f aca="false">IF(G313="BUG","BUG-"&amp;A313,IF(G313="FUNCTIONAL","FUNCTIONAL-"&amp;A313,""))</f>
        <v/>
      </c>
      <c r="I313" s="1" t="s">
        <v>56</v>
      </c>
      <c r="L313" s="1" t="s">
        <v>1806</v>
      </c>
    </row>
    <row r="314" customFormat="false" ht="15" hidden="false" customHeight="true" outlineLevel="0" collapsed="false">
      <c r="A314" s="1" t="s">
        <v>1807</v>
      </c>
      <c r="B314" s="1" t="s">
        <v>1802</v>
      </c>
      <c r="C314" s="1" t="s">
        <v>1808</v>
      </c>
      <c r="D314" s="1" t="s">
        <v>264</v>
      </c>
      <c r="E314" s="1" t="s">
        <v>1809</v>
      </c>
      <c r="F314" s="1" t="s">
        <v>1810</v>
      </c>
      <c r="G314" s="1" t="s">
        <v>74</v>
      </c>
      <c r="H314" s="1" t="str">
        <f aca="false">IF(G314="BUG","BUG-"&amp;A314,IF(G314="FUNCTIONAL","FUNCTIONAL-"&amp;A314,""))</f>
        <v/>
      </c>
      <c r="I314" s="1" t="s">
        <v>56</v>
      </c>
      <c r="L314" s="1" t="s">
        <v>1811</v>
      </c>
    </row>
    <row r="315" customFormat="false" ht="15" hidden="false" customHeight="true" outlineLevel="0" collapsed="false">
      <c r="A315" s="1" t="s">
        <v>1812</v>
      </c>
      <c r="B315" s="1" t="s">
        <v>1222</v>
      </c>
      <c r="C315" s="1" t="s">
        <v>1813</v>
      </c>
      <c r="D315" s="1" t="s">
        <v>1814</v>
      </c>
      <c r="E315" s="1" t="s">
        <v>1815</v>
      </c>
      <c r="F315" s="1" t="s">
        <v>1816</v>
      </c>
      <c r="G315" s="1" t="s">
        <v>74</v>
      </c>
      <c r="H315" s="1" t="str">
        <f aca="false">IF(G315="BUG","BUG-"&amp;A315,IF(G315="FUNCTIONAL","FUNCTIONAL-"&amp;A315,""))</f>
        <v/>
      </c>
    </row>
    <row r="316" customFormat="false" ht="15" hidden="false" customHeight="true" outlineLevel="0" collapsed="false">
      <c r="A316" s="1" t="s">
        <v>1817</v>
      </c>
      <c r="B316" s="1" t="s">
        <v>1818</v>
      </c>
      <c r="C316" s="1" t="s">
        <v>1819</v>
      </c>
      <c r="D316" s="1" t="s">
        <v>1820</v>
      </c>
      <c r="E316" s="1" t="s">
        <v>1821</v>
      </c>
      <c r="F316" s="1" t="s">
        <v>1822</v>
      </c>
      <c r="G316" s="1" t="s">
        <v>74</v>
      </c>
      <c r="H316" s="1" t="str">
        <f aca="false">IF(G316="BUG","BUG-"&amp;A316,IF(G316="FUNCTIONAL","FUNCTIONAL-"&amp;A316,""))</f>
        <v/>
      </c>
    </row>
    <row r="317" customFormat="false" ht="15" hidden="false" customHeight="true" outlineLevel="0" collapsed="false">
      <c r="A317" s="1" t="s">
        <v>1823</v>
      </c>
      <c r="B317" s="1" t="s">
        <v>1824</v>
      </c>
      <c r="C317" s="1" t="s">
        <v>1825</v>
      </c>
      <c r="D317" s="1" t="s">
        <v>1826</v>
      </c>
      <c r="E317" s="1" t="s">
        <v>1827</v>
      </c>
      <c r="F317" s="1" t="s">
        <v>1828</v>
      </c>
      <c r="G317" s="1" t="s">
        <v>74</v>
      </c>
      <c r="H317" s="1" t="str">
        <f aca="false">IF(G317="BUG","BUG-"&amp;A317,IF(G317="FUNCTIONAL","FUNCTIONAL-"&amp;A317,""))</f>
        <v/>
      </c>
    </row>
    <row r="318" customFormat="false" ht="15" hidden="false" customHeight="true" outlineLevel="0" collapsed="false">
      <c r="A318" s="1" t="s">
        <v>1829</v>
      </c>
      <c r="B318" s="1" t="s">
        <v>1830</v>
      </c>
      <c r="C318" s="1" t="s">
        <v>1831</v>
      </c>
      <c r="D318" s="1" t="s">
        <v>1832</v>
      </c>
      <c r="E318" s="1" t="s">
        <v>1833</v>
      </c>
      <c r="F318" s="1" t="s">
        <v>1834</v>
      </c>
      <c r="G318" s="1" t="s">
        <v>74</v>
      </c>
      <c r="H318" s="1" t="str">
        <f aca="false">IF(G318="BUG","BUG-"&amp;A318,IF(G318="FUNCTIONAL","FUNCTIONAL-"&amp;A318,""))</f>
        <v/>
      </c>
    </row>
    <row r="319" customFormat="false" ht="15" hidden="false" customHeight="true" outlineLevel="0" collapsed="false">
      <c r="A319" s="1" t="s">
        <v>1835</v>
      </c>
      <c r="B319" s="1" t="s">
        <v>1836</v>
      </c>
      <c r="C319" s="1" t="s">
        <v>1837</v>
      </c>
      <c r="D319" s="1" t="s">
        <v>1838</v>
      </c>
      <c r="E319" s="1" t="s">
        <v>1839</v>
      </c>
      <c r="F319" s="1" t="s">
        <v>1840</v>
      </c>
      <c r="G319" s="1" t="s">
        <v>74</v>
      </c>
      <c r="H319" s="1" t="str">
        <f aca="false">IF(G319="BUG","BUG-"&amp;A319,IF(G319="FUNCTIONAL","FUNCTIONAL-"&amp;A319,""))</f>
        <v/>
      </c>
    </row>
    <row r="320" customFormat="false" ht="15" hidden="false" customHeight="true" outlineLevel="0" collapsed="false">
      <c r="A320" s="1" t="s">
        <v>1841</v>
      </c>
      <c r="B320" s="1" t="s">
        <v>1842</v>
      </c>
      <c r="C320" s="1" t="s">
        <v>1843</v>
      </c>
      <c r="D320" s="1" t="s">
        <v>264</v>
      </c>
      <c r="E320" s="1" t="s">
        <v>1844</v>
      </c>
      <c r="F320" s="1" t="s">
        <v>1845</v>
      </c>
      <c r="G320" s="1" t="s">
        <v>74</v>
      </c>
      <c r="H320" s="1" t="str">
        <f aca="false">IF(G320="BUG","BUG-"&amp;A320,IF(G320="FUNCTIONAL","FUNCTIONAL-"&amp;A320,""))</f>
        <v/>
      </c>
    </row>
    <row r="321" customFormat="false" ht="15" hidden="false" customHeight="true" outlineLevel="0" collapsed="false">
      <c r="A321" s="1" t="s">
        <v>1846</v>
      </c>
      <c r="B321" s="1" t="s">
        <v>1847</v>
      </c>
      <c r="C321" s="1" t="s">
        <v>1848</v>
      </c>
      <c r="D321" s="1" t="s">
        <v>264</v>
      </c>
      <c r="E321" s="1" t="s">
        <v>1849</v>
      </c>
      <c r="F321" s="1" t="s">
        <v>1850</v>
      </c>
      <c r="G321" s="1" t="s">
        <v>74</v>
      </c>
      <c r="H321" s="1" t="str">
        <f aca="false">IF(G321="BUG","BUG-"&amp;A321,IF(G321="FUNCTIONAL","FUNCTIONAL-"&amp;A321,""))</f>
        <v/>
      </c>
    </row>
    <row r="322" customFormat="false" ht="15" hidden="false" customHeight="true" outlineLevel="0" collapsed="false">
      <c r="A322" s="1" t="s">
        <v>1851</v>
      </c>
      <c r="B322" s="1" t="s">
        <v>1852</v>
      </c>
      <c r="C322" s="1" t="s">
        <v>1853</v>
      </c>
      <c r="D322" s="1" t="s">
        <v>264</v>
      </c>
      <c r="E322" s="1" t="s">
        <v>1854</v>
      </c>
      <c r="F322" s="1" t="s">
        <v>1855</v>
      </c>
      <c r="G322" s="1" t="s">
        <v>74</v>
      </c>
      <c r="H322" s="1" t="str">
        <f aca="false">IF(G322="BUG","BUG-"&amp;A322,IF(G322="FUNCTIONAL","FUNCTIONAL-"&amp;A322,""))</f>
        <v/>
      </c>
    </row>
    <row r="323" customFormat="false" ht="15" hidden="false" customHeight="true" outlineLevel="0" collapsed="false">
      <c r="A323" s="1" t="s">
        <v>1856</v>
      </c>
      <c r="B323" s="1" t="s">
        <v>1857</v>
      </c>
      <c r="C323" s="1" t="s">
        <v>1858</v>
      </c>
      <c r="D323" s="1" t="s">
        <v>1859</v>
      </c>
      <c r="E323" s="1" t="s">
        <v>1860</v>
      </c>
      <c r="F323" s="1" t="s">
        <v>1861</v>
      </c>
      <c r="G323" s="1" t="s">
        <v>74</v>
      </c>
      <c r="H323" s="1" t="str">
        <f aca="false">IF(G323="BUG","BUG-"&amp;A323,IF(G323="FUNCTIONAL","FUNCTIONAL-"&amp;A323,""))</f>
        <v/>
      </c>
    </row>
    <row r="324" customFormat="false" ht="15" hidden="false" customHeight="true" outlineLevel="0" collapsed="false">
      <c r="A324" s="1" t="s">
        <v>1862</v>
      </c>
      <c r="B324" s="1" t="s">
        <v>1857</v>
      </c>
      <c r="C324" s="1" t="s">
        <v>1863</v>
      </c>
      <c r="D324" s="1" t="s">
        <v>1864</v>
      </c>
      <c r="E324" s="1" t="s">
        <v>1865</v>
      </c>
      <c r="F324" s="1" t="s">
        <v>1866</v>
      </c>
      <c r="G324" s="1" t="s">
        <v>74</v>
      </c>
      <c r="H324" s="1" t="str">
        <f aca="false">IF(G324="BUG","BUG-"&amp;A324,IF(G324="FUNCTIONAL","FUNCTIONAL-"&amp;A324,""))</f>
        <v/>
      </c>
    </row>
    <row r="325" customFormat="false" ht="15" hidden="false" customHeight="true" outlineLevel="0" collapsed="false">
      <c r="A325" s="1" t="s">
        <v>1867</v>
      </c>
      <c r="B325" s="1" t="s">
        <v>1857</v>
      </c>
      <c r="C325" s="1" t="s">
        <v>1868</v>
      </c>
      <c r="D325" s="1" t="s">
        <v>264</v>
      </c>
      <c r="E325" s="1" t="s">
        <v>1869</v>
      </c>
      <c r="F325" s="1" t="s">
        <v>1870</v>
      </c>
      <c r="G325" s="1" t="s">
        <v>74</v>
      </c>
      <c r="H325" s="1" t="str">
        <f aca="false">IF(G325="BUG","BUG-"&amp;A325,IF(G325="FUNCTIONAL","FUNCTIONAL-"&amp;A325,""))</f>
        <v/>
      </c>
    </row>
    <row r="326" customFormat="false" ht="15" hidden="false" customHeight="true" outlineLevel="0" collapsed="false">
      <c r="A326" s="1" t="s">
        <v>1871</v>
      </c>
      <c r="B326" s="1" t="s">
        <v>1872</v>
      </c>
      <c r="C326" s="1" t="s">
        <v>1873</v>
      </c>
      <c r="D326" s="1" t="s">
        <v>264</v>
      </c>
      <c r="E326" s="1" t="s">
        <v>1874</v>
      </c>
      <c r="F326" s="1" t="s">
        <v>1875</v>
      </c>
      <c r="G326" s="1" t="s">
        <v>74</v>
      </c>
      <c r="H326" s="1" t="str">
        <f aca="false">IF(G326="BUG","BUG-"&amp;A326,IF(G326="FUNCTIONAL","FUNCTIONAL-"&amp;A326,""))</f>
        <v/>
      </c>
    </row>
    <row r="327" customFormat="false" ht="15" hidden="false" customHeight="true" outlineLevel="0" collapsed="false">
      <c r="A327" s="1" t="s">
        <v>1876</v>
      </c>
      <c r="B327" s="1" t="s">
        <v>1877</v>
      </c>
      <c r="C327" s="1" t="s">
        <v>1878</v>
      </c>
      <c r="D327" s="1" t="s">
        <v>1879</v>
      </c>
      <c r="E327" s="1" t="s">
        <v>1880</v>
      </c>
      <c r="F327" s="1" t="s">
        <v>1881</v>
      </c>
      <c r="G327" s="1" t="s">
        <v>74</v>
      </c>
      <c r="H327" s="1" t="str">
        <f aca="false">IF(G327="BUG","BUG-"&amp;A327,IF(G327="FUNCTIONAL","FUNCTIONAL-"&amp;A327,""))</f>
        <v/>
      </c>
    </row>
    <row r="328" customFormat="false" ht="15" hidden="false" customHeight="true" outlineLevel="0" collapsed="false">
      <c r="A328" s="1" t="s">
        <v>1882</v>
      </c>
      <c r="B328" s="1" t="s">
        <v>1877</v>
      </c>
      <c r="C328" s="1" t="s">
        <v>1883</v>
      </c>
      <c r="D328" s="1" t="s">
        <v>1884</v>
      </c>
      <c r="E328" s="1" t="s">
        <v>1885</v>
      </c>
      <c r="F328" s="1" t="s">
        <v>1886</v>
      </c>
      <c r="G328" s="1" t="s">
        <v>74</v>
      </c>
      <c r="H328" s="1" t="str">
        <f aca="false">IF(G328="BUG","BUG-"&amp;A328,IF(G328="FUNCTIONAL","FUNCTIONAL-"&amp;A328,""))</f>
        <v/>
      </c>
    </row>
    <row r="329" customFormat="false" ht="15" hidden="false" customHeight="true" outlineLevel="0" collapsed="false">
      <c r="A329" s="1" t="s">
        <v>1887</v>
      </c>
      <c r="B329" s="1" t="s">
        <v>1877</v>
      </c>
      <c r="C329" s="1" t="s">
        <v>1888</v>
      </c>
      <c r="D329" s="1" t="s">
        <v>1889</v>
      </c>
      <c r="E329" s="1" t="s">
        <v>1890</v>
      </c>
      <c r="F329" s="1" t="s">
        <v>1891</v>
      </c>
      <c r="G329" s="1" t="s">
        <v>74</v>
      </c>
      <c r="H329" s="1" t="str">
        <f aca="false">IF(G329="BUG","BUG-"&amp;A329,IF(G329="FUNCTIONAL","FUNCTIONAL-"&amp;A329,""))</f>
        <v/>
      </c>
    </row>
    <row r="330" customFormat="false" ht="15" hidden="false" customHeight="true" outlineLevel="0" collapsed="false">
      <c r="A330" s="1" t="s">
        <v>1892</v>
      </c>
      <c r="B330" s="1" t="s">
        <v>1893</v>
      </c>
      <c r="C330" s="1" t="s">
        <v>1894</v>
      </c>
      <c r="D330" s="1" t="s">
        <v>1895</v>
      </c>
      <c r="E330" s="1" t="s">
        <v>1896</v>
      </c>
      <c r="F330" s="1" t="s">
        <v>1897</v>
      </c>
      <c r="G330" s="1" t="s">
        <v>74</v>
      </c>
      <c r="H330" s="1" t="str">
        <f aca="false">IF(G330="BUG","BUG-"&amp;A330,IF(G330="FUNCTIONAL","FUNCTIONAL-"&amp;A330,""))</f>
        <v/>
      </c>
    </row>
    <row r="331" customFormat="false" ht="15" hidden="false" customHeight="true" outlineLevel="0" collapsed="false">
      <c r="A331" s="1" t="s">
        <v>1898</v>
      </c>
      <c r="B331" s="1" t="s">
        <v>1893</v>
      </c>
      <c r="C331" s="1" t="s">
        <v>1899</v>
      </c>
      <c r="D331" s="1" t="s">
        <v>1900</v>
      </c>
      <c r="E331" s="1" t="s">
        <v>1901</v>
      </c>
      <c r="F331" s="1" t="s">
        <v>1902</v>
      </c>
      <c r="G331" s="1" t="s">
        <v>74</v>
      </c>
      <c r="H331" s="1" t="str">
        <f aca="false">IF(G331="BUG","BUG-"&amp;A331,IF(G331="FUNCTIONAL","FUNCTIONAL-"&amp;A331,""))</f>
        <v/>
      </c>
    </row>
    <row r="332" customFormat="false" ht="15" hidden="false" customHeight="true" outlineLevel="0" collapsed="false">
      <c r="A332" s="1" t="s">
        <v>1903</v>
      </c>
      <c r="B332" s="1" t="s">
        <v>1904</v>
      </c>
      <c r="C332" s="1" t="s">
        <v>1905</v>
      </c>
      <c r="D332" s="1" t="s">
        <v>264</v>
      </c>
      <c r="E332" s="1" t="s">
        <v>1906</v>
      </c>
      <c r="F332" s="1" t="s">
        <v>1907</v>
      </c>
      <c r="G332" s="1" t="s">
        <v>74</v>
      </c>
      <c r="H332" s="1" t="str">
        <f aca="false">IF(G332="BUG","BUG-"&amp;A332,IF(G332="FUNCTIONAL","FUNCTIONAL-"&amp;A332,""))</f>
        <v/>
      </c>
    </row>
    <row r="333" customFormat="false" ht="15" hidden="false" customHeight="true" outlineLevel="0" collapsed="false">
      <c r="A333" s="1" t="s">
        <v>1908</v>
      </c>
      <c r="B333" s="1" t="s">
        <v>1904</v>
      </c>
      <c r="C333" s="1" t="s">
        <v>1909</v>
      </c>
      <c r="D333" s="1" t="s">
        <v>264</v>
      </c>
      <c r="E333" s="1" t="s">
        <v>1910</v>
      </c>
      <c r="F333" s="1" t="s">
        <v>1911</v>
      </c>
      <c r="G333" s="1" t="s">
        <v>74</v>
      </c>
      <c r="H333" s="1" t="str">
        <f aca="false">IF(G333="BUG","BUG-"&amp;A333,IF(G333="FUNCTIONAL","FUNCTIONAL-"&amp;A333,""))</f>
        <v/>
      </c>
    </row>
    <row r="334" customFormat="false" ht="15" hidden="false" customHeight="true" outlineLevel="0" collapsed="false">
      <c r="A334" s="1" t="s">
        <v>1912</v>
      </c>
      <c r="B334" s="1" t="s">
        <v>1904</v>
      </c>
      <c r="C334" s="1" t="s">
        <v>1913</v>
      </c>
      <c r="D334" s="1" t="s">
        <v>264</v>
      </c>
      <c r="E334" s="1" t="s">
        <v>1914</v>
      </c>
      <c r="F334" s="1" t="s">
        <v>1915</v>
      </c>
      <c r="G334" s="1" t="s">
        <v>74</v>
      </c>
      <c r="H334" s="1" t="str">
        <f aca="false">IF(G334="BUG","BUG-"&amp;A334,IF(G334="FUNCTIONAL","FUNCTIONAL-"&amp;A334,""))</f>
        <v/>
      </c>
    </row>
    <row r="335" customFormat="false" ht="15" hidden="false" customHeight="true" outlineLevel="0" collapsed="false">
      <c r="A335" s="1" t="s">
        <v>1916</v>
      </c>
      <c r="B335" s="1" t="s">
        <v>1904</v>
      </c>
      <c r="C335" s="1" t="s">
        <v>1917</v>
      </c>
      <c r="D335" s="1" t="s">
        <v>264</v>
      </c>
      <c r="E335" s="1" t="s">
        <v>1918</v>
      </c>
      <c r="F335" s="1" t="s">
        <v>1919</v>
      </c>
      <c r="G335" s="1" t="s">
        <v>74</v>
      </c>
      <c r="H335" s="1" t="str">
        <f aca="false">IF(G335="BUG","BUG-"&amp;A335,IF(G335="FUNCTIONAL","FUNCTIONAL-"&amp;A335,""))</f>
        <v/>
      </c>
    </row>
    <row r="336" customFormat="false" ht="15" hidden="false" customHeight="true" outlineLevel="0" collapsed="false">
      <c r="A336" s="1" t="s">
        <v>1920</v>
      </c>
      <c r="B336" s="1" t="s">
        <v>1921</v>
      </c>
      <c r="C336" s="1" t="s">
        <v>1922</v>
      </c>
      <c r="D336" s="1" t="s">
        <v>1923</v>
      </c>
      <c r="E336" s="1" t="s">
        <v>1924</v>
      </c>
      <c r="F336" s="1" t="s">
        <v>1925</v>
      </c>
      <c r="G336" s="1" t="s">
        <v>74</v>
      </c>
      <c r="H336" s="1" t="str">
        <f aca="false">IF(G336="BUG","BUG-"&amp;A336,IF(G336="FUNCTIONAL","FUNCTIONAL-"&amp;A336,""))</f>
        <v/>
      </c>
    </row>
    <row r="337" customFormat="false" ht="15" hidden="false" customHeight="true" outlineLevel="0" collapsed="false">
      <c r="A337" s="1" t="s">
        <v>1926</v>
      </c>
      <c r="B337" s="1" t="s">
        <v>1927</v>
      </c>
      <c r="C337" s="1" t="s">
        <v>1928</v>
      </c>
      <c r="D337" s="1" t="s">
        <v>264</v>
      </c>
      <c r="E337" s="1" t="s">
        <v>1929</v>
      </c>
      <c r="F337" s="1" t="s">
        <v>1930</v>
      </c>
      <c r="G337" s="1" t="s">
        <v>74</v>
      </c>
      <c r="H337" s="1" t="str">
        <f aca="false">IF(G337="BUG","BUG-"&amp;A337,IF(G337="FUNCTIONAL","FUNCTIONAL-"&amp;A337,""))</f>
        <v/>
      </c>
    </row>
    <row r="338" customFormat="false" ht="15" hidden="false" customHeight="true" outlineLevel="0" collapsed="false">
      <c r="A338" s="1" t="s">
        <v>1931</v>
      </c>
      <c r="B338" s="1" t="s">
        <v>1932</v>
      </c>
      <c r="C338" s="1" t="s">
        <v>1933</v>
      </c>
      <c r="D338" s="1" t="s">
        <v>264</v>
      </c>
      <c r="E338" s="1" t="s">
        <v>1934</v>
      </c>
      <c r="F338" s="1" t="s">
        <v>1935</v>
      </c>
      <c r="G338" s="1" t="s">
        <v>74</v>
      </c>
      <c r="H338" s="1" t="str">
        <f aca="false">IF(G338="BUG","BUG-"&amp;A338,IF(G338="FUNCTIONAL","FUNCTIONAL-"&amp;A338,""))</f>
        <v/>
      </c>
    </row>
    <row r="339" customFormat="false" ht="15" hidden="false" customHeight="true" outlineLevel="0" collapsed="false">
      <c r="A339" s="1" t="s">
        <v>1936</v>
      </c>
      <c r="B339" s="1" t="s">
        <v>1932</v>
      </c>
      <c r="C339" s="1" t="s">
        <v>1937</v>
      </c>
      <c r="D339" s="1" t="s">
        <v>264</v>
      </c>
      <c r="E339" s="1" t="s">
        <v>1938</v>
      </c>
      <c r="F339" s="1" t="s">
        <v>1939</v>
      </c>
      <c r="G339" s="1" t="s">
        <v>74</v>
      </c>
      <c r="H339" s="1" t="str">
        <f aca="false">IF(G339="BUG","BUG-"&amp;A339,IF(G339="FUNCTIONAL","FUNCTIONAL-"&amp;A339,""))</f>
        <v/>
      </c>
    </row>
    <row r="340" customFormat="false" ht="15" hidden="false" customHeight="true" outlineLevel="0" collapsed="false">
      <c r="A340" s="1" t="s">
        <v>1940</v>
      </c>
      <c r="B340" s="1" t="s">
        <v>1941</v>
      </c>
      <c r="C340" s="1" t="s">
        <v>1942</v>
      </c>
      <c r="D340" s="1" t="s">
        <v>264</v>
      </c>
      <c r="E340" s="1" t="s">
        <v>1943</v>
      </c>
      <c r="F340" s="1" t="s">
        <v>1944</v>
      </c>
      <c r="G340" s="1" t="s">
        <v>74</v>
      </c>
      <c r="H340" s="1" t="str">
        <f aca="false">IF(G340="BUG","BUG-"&amp;A340,IF(G340="FUNCTIONAL","FUNCTIONAL-"&amp;A340,""))</f>
        <v/>
      </c>
    </row>
    <row r="341" customFormat="false" ht="15" hidden="false" customHeight="true" outlineLevel="0" collapsed="false">
      <c r="A341" s="10" t="s">
        <v>1945</v>
      </c>
      <c r="B341" s="10" t="s">
        <v>1946</v>
      </c>
      <c r="C341" s="10" t="s">
        <v>1947</v>
      </c>
      <c r="D341" s="10" t="s">
        <v>61</v>
      </c>
      <c r="E341" s="10" t="s">
        <v>1948</v>
      </c>
      <c r="F341" s="10" t="s">
        <v>1949</v>
      </c>
      <c r="G341" s="10" t="s">
        <v>74</v>
      </c>
      <c r="H341" s="10" t="str">
        <f aca="false">IF(G341="BUG","BUG-"&amp;A341,IF(G341="FUNCTIONAL","FUNCTIONAL-"&amp;A341,""))</f>
        <v/>
      </c>
    </row>
    <row r="342" customFormat="false" ht="15" hidden="false" customHeight="true" outlineLevel="0" collapsed="false">
      <c r="A342" s="10" t="s">
        <v>1950</v>
      </c>
      <c r="B342" s="10" t="s">
        <v>1946</v>
      </c>
      <c r="C342" s="10" t="s">
        <v>1951</v>
      </c>
      <c r="D342" s="10" t="s">
        <v>61</v>
      </c>
      <c r="E342" s="10" t="s">
        <v>1952</v>
      </c>
      <c r="F342" s="10" t="s">
        <v>1953</v>
      </c>
      <c r="G342" s="10" t="s">
        <v>74</v>
      </c>
      <c r="H342" s="10" t="str">
        <f aca="false">IF(G342="BUG","BUG-"&amp;A342,IF(G342="FUNCTIONAL","FUNCTIONAL-"&amp;A342,""))</f>
        <v/>
      </c>
    </row>
    <row r="343" customFormat="false" ht="15" hidden="false" customHeight="true" outlineLevel="0" collapsed="false">
      <c r="A343" s="10" t="s">
        <v>1954</v>
      </c>
      <c r="B343" s="10" t="s">
        <v>1955</v>
      </c>
      <c r="C343" s="10" t="s">
        <v>1956</v>
      </c>
      <c r="D343" s="10" t="s">
        <v>264</v>
      </c>
      <c r="E343" s="10" t="s">
        <v>1957</v>
      </c>
      <c r="F343" s="10" t="s">
        <v>1958</v>
      </c>
      <c r="G343" s="10" t="s">
        <v>74</v>
      </c>
      <c r="H343" s="10" t="str">
        <f aca="false">IF(G343="BUG","BUG-"&amp;A343,IF(G343="FUNCTIONAL","FUNCTIONAL-"&amp;A343,""))</f>
        <v/>
      </c>
    </row>
    <row r="344" customFormat="false" ht="15" hidden="false" customHeight="true" outlineLevel="0" collapsed="false">
      <c r="A344" s="10" t="s">
        <v>1959</v>
      </c>
      <c r="B344" s="10" t="s">
        <v>1960</v>
      </c>
      <c r="C344" s="10" t="s">
        <v>1961</v>
      </c>
      <c r="D344" s="10" t="s">
        <v>1962</v>
      </c>
      <c r="E344" s="10" t="s">
        <v>1963</v>
      </c>
      <c r="F344" s="10" t="s">
        <v>1964</v>
      </c>
      <c r="G344" s="10" t="s">
        <v>74</v>
      </c>
      <c r="H344" s="10" t="str">
        <f aca="false">IF(G344="BUG","BUG-"&amp;A344,IF(G344="FUNCTIONAL","FUNCTIONAL-"&amp;A344,""))</f>
        <v/>
      </c>
    </row>
    <row r="345" customFormat="false" ht="15" hidden="false" customHeight="true" outlineLevel="0" collapsed="false">
      <c r="A345" s="10" t="s">
        <v>1965</v>
      </c>
      <c r="B345" s="10" t="s">
        <v>1960</v>
      </c>
      <c r="C345" s="10" t="s">
        <v>1966</v>
      </c>
      <c r="D345" s="10" t="s">
        <v>1962</v>
      </c>
      <c r="E345" s="10" t="s">
        <v>1967</v>
      </c>
      <c r="F345" s="10" t="s">
        <v>1968</v>
      </c>
      <c r="G345" s="10" t="s">
        <v>74</v>
      </c>
      <c r="H345" s="10" t="str">
        <f aca="false">IF(G345="BUG","BUG-"&amp;A345,IF(G345="FUNCTIONAL","FUNCTIONAL-"&amp;A345,""))</f>
        <v/>
      </c>
    </row>
    <row r="346" customFormat="false" ht="15" hidden="false" customHeight="true" outlineLevel="0" collapsed="false">
      <c r="A346" s="10" t="s">
        <v>1969</v>
      </c>
      <c r="B346" s="10" t="s">
        <v>1960</v>
      </c>
      <c r="C346" s="10" t="s">
        <v>1970</v>
      </c>
      <c r="D346" s="10" t="s">
        <v>1971</v>
      </c>
      <c r="E346" s="10" t="s">
        <v>1972</v>
      </c>
      <c r="F346" s="10" t="s">
        <v>1973</v>
      </c>
      <c r="G346" s="10" t="s">
        <v>74</v>
      </c>
      <c r="H346" s="10" t="str">
        <f aca="false">IF(G346="BUG","BUG-"&amp;A346,IF(G346="FUNCTIONAL","FUNCTIONAL-"&amp;A346,""))</f>
        <v/>
      </c>
    </row>
    <row r="347" customFormat="false" ht="15" hidden="false" customHeight="true" outlineLevel="0" collapsed="false">
      <c r="A347" s="10" t="s">
        <v>1974</v>
      </c>
      <c r="B347" s="10" t="s">
        <v>1960</v>
      </c>
      <c r="C347" s="10" t="s">
        <v>1975</v>
      </c>
      <c r="D347" s="10" t="s">
        <v>1976</v>
      </c>
      <c r="E347" s="10" t="s">
        <v>1977</v>
      </c>
      <c r="F347" s="10" t="s">
        <v>1978</v>
      </c>
      <c r="G347" s="10" t="s">
        <v>74</v>
      </c>
      <c r="H347" s="10" t="str">
        <f aca="false">IF(G347="BUG","BUG-"&amp;A347,IF(G347="FUNCTIONAL","FUNCTIONAL-"&amp;A347,""))</f>
        <v/>
      </c>
      <c r="L347" s="11" t="s">
        <v>1979</v>
      </c>
    </row>
    <row r="348" customFormat="false" ht="15" hidden="false" customHeight="true" outlineLevel="0" collapsed="false">
      <c r="A348" s="10" t="s">
        <v>1980</v>
      </c>
      <c r="B348" s="10" t="s">
        <v>1960</v>
      </c>
      <c r="C348" s="10" t="s">
        <v>1981</v>
      </c>
      <c r="D348" s="10" t="s">
        <v>1962</v>
      </c>
      <c r="E348" s="10" t="s">
        <v>1982</v>
      </c>
      <c r="F348" s="10" t="s">
        <v>1983</v>
      </c>
      <c r="G348" s="10" t="s">
        <v>74</v>
      </c>
      <c r="H348" s="10" t="str">
        <f aca="false">IF(G348="BUG","BUG-"&amp;A348,IF(G348="FUNCTIONAL","FUNCTIONAL-"&amp;A348,""))</f>
        <v/>
      </c>
    </row>
    <row r="349" customFormat="false" ht="15" hidden="false" customHeight="true" outlineLevel="0" collapsed="false">
      <c r="A349" s="10" t="s">
        <v>1984</v>
      </c>
      <c r="B349" s="10" t="s">
        <v>1985</v>
      </c>
      <c r="C349" s="10" t="s">
        <v>1986</v>
      </c>
      <c r="D349" s="10" t="s">
        <v>1987</v>
      </c>
      <c r="E349" s="10" t="s">
        <v>1988</v>
      </c>
      <c r="F349" s="10" t="s">
        <v>1989</v>
      </c>
      <c r="G349" s="10" t="s">
        <v>74</v>
      </c>
      <c r="H349" s="10" t="str">
        <f aca="false">IF(G349="BUG","BUG-"&amp;A349,IF(G349="FUNCTIONAL","FUNCTIONAL-"&amp;A349,""))</f>
        <v/>
      </c>
      <c r="L349" s="11" t="s">
        <v>1990</v>
      </c>
    </row>
    <row r="350" customFormat="false" ht="15" hidden="false" customHeight="true" outlineLevel="0" collapsed="false">
      <c r="A350" s="10" t="s">
        <v>1991</v>
      </c>
      <c r="B350" s="10" t="s">
        <v>1992</v>
      </c>
      <c r="C350" s="10" t="s">
        <v>1993</v>
      </c>
      <c r="D350" s="10" t="s">
        <v>1994</v>
      </c>
      <c r="E350" s="10" t="s">
        <v>1995</v>
      </c>
      <c r="F350" s="10" t="s">
        <v>1996</v>
      </c>
      <c r="G350" s="10" t="s">
        <v>74</v>
      </c>
      <c r="H350" s="10" t="str">
        <f aca="false">IF(G350="BUG","BUG-"&amp;A350,IF(G350="FUNCTIONAL","FUNCTIONAL-"&amp;A350,""))</f>
        <v/>
      </c>
      <c r="L350" s="11" t="s">
        <v>1997</v>
      </c>
    </row>
    <row r="351" customFormat="false" ht="15" hidden="false" customHeight="true" outlineLevel="0" collapsed="false">
      <c r="A351" s="10" t="s">
        <v>1998</v>
      </c>
      <c r="B351" s="10" t="s">
        <v>1999</v>
      </c>
      <c r="C351" s="10" t="s">
        <v>2000</v>
      </c>
      <c r="D351" s="10" t="s">
        <v>2001</v>
      </c>
      <c r="E351" s="10" t="s">
        <v>2002</v>
      </c>
      <c r="F351" s="10" t="s">
        <v>2003</v>
      </c>
      <c r="G351" s="10" t="s">
        <v>74</v>
      </c>
      <c r="H351" s="10" t="str">
        <f aca="false">IF(G351="BUG","BUG-"&amp;A351,IF(G351="FUNCTIONAL","FUNCTIONAL-"&amp;A351,""))</f>
        <v/>
      </c>
      <c r="L351" s="11" t="s">
        <v>2004</v>
      </c>
    </row>
    <row r="352" customFormat="false" ht="15" hidden="false" customHeight="true" outlineLevel="0" collapsed="false">
      <c r="A352" s="10" t="s">
        <v>2005</v>
      </c>
      <c r="B352" s="10" t="s">
        <v>2006</v>
      </c>
      <c r="C352" s="10" t="s">
        <v>2007</v>
      </c>
      <c r="D352" s="10" t="s">
        <v>61</v>
      </c>
      <c r="E352" s="10" t="s">
        <v>2008</v>
      </c>
      <c r="F352" s="10" t="s">
        <v>2009</v>
      </c>
      <c r="G352" s="10" t="s">
        <v>74</v>
      </c>
      <c r="H352" s="10" t="str">
        <f aca="false">IF(G352="BUG","BUG-"&amp;A352,IF(G352="FUNCTIONAL","FUNCTIONAL-"&amp;A352,""))</f>
        <v/>
      </c>
    </row>
    <row r="353" customFormat="false" ht="15" hidden="false" customHeight="true" outlineLevel="0" collapsed="false">
      <c r="A353" s="10" t="s">
        <v>2010</v>
      </c>
      <c r="B353" s="10" t="s">
        <v>2006</v>
      </c>
      <c r="C353" s="10" t="s">
        <v>2011</v>
      </c>
      <c r="D353" s="10" t="s">
        <v>61</v>
      </c>
      <c r="E353" s="10" t="s">
        <v>2012</v>
      </c>
      <c r="F353" s="10" t="s">
        <v>2013</v>
      </c>
      <c r="G353" s="10" t="s">
        <v>74</v>
      </c>
      <c r="H353" s="10" t="str">
        <f aca="false">IF(G353="BUG","BUG-"&amp;A353,IF(G353="FUNCTIONAL","FUNCTIONAL-"&amp;A353,""))</f>
        <v/>
      </c>
    </row>
    <row r="354" customFormat="false" ht="15" hidden="false" customHeight="true" outlineLevel="0" collapsed="false">
      <c r="A354" s="10" t="s">
        <v>2014</v>
      </c>
      <c r="B354" s="10" t="s">
        <v>2006</v>
      </c>
      <c r="C354" s="10" t="s">
        <v>2015</v>
      </c>
      <c r="D354" s="10" t="s">
        <v>2016</v>
      </c>
      <c r="E354" s="10" t="s">
        <v>2017</v>
      </c>
      <c r="F354" s="10" t="s">
        <v>2018</v>
      </c>
      <c r="G354" s="10" t="s">
        <v>74</v>
      </c>
      <c r="H354" s="10" t="str">
        <f aca="false">IF(G354="BUG","BUG-"&amp;A354,IF(G354="FUNCTIONAL","FUNCTIONAL-"&amp;A354,""))</f>
        <v/>
      </c>
    </row>
    <row r="355" customFormat="false" ht="15" hidden="false" customHeight="true" outlineLevel="0" collapsed="false">
      <c r="A355" s="10" t="s">
        <v>2019</v>
      </c>
      <c r="B355" s="10" t="s">
        <v>2006</v>
      </c>
      <c r="C355" s="10" t="s">
        <v>2020</v>
      </c>
      <c r="D355" s="10" t="s">
        <v>61</v>
      </c>
      <c r="E355" s="10" t="s">
        <v>2021</v>
      </c>
      <c r="F355" s="10" t="s">
        <v>2022</v>
      </c>
      <c r="G355" s="10" t="s">
        <v>74</v>
      </c>
      <c r="H355" s="10" t="str">
        <f aca="false">IF(G355="BUG","BUG-"&amp;A355,IF(G355="FUNCTIONAL","FUNCTIONAL-"&amp;A355,""))</f>
        <v/>
      </c>
    </row>
    <row r="356" customFormat="false" ht="15" hidden="false" customHeight="true" outlineLevel="0" collapsed="false">
      <c r="A356" s="10" t="s">
        <v>2023</v>
      </c>
      <c r="B356" s="10" t="s">
        <v>2024</v>
      </c>
      <c r="C356" s="10" t="s">
        <v>2025</v>
      </c>
      <c r="D356" s="10" t="s">
        <v>2026</v>
      </c>
      <c r="E356" s="10" t="s">
        <v>2027</v>
      </c>
      <c r="F356" s="10" t="s">
        <v>2028</v>
      </c>
      <c r="G356" s="10" t="s">
        <v>74</v>
      </c>
      <c r="H356" s="10" t="str">
        <f aca="false">IF(G356="BUG","BUG-"&amp;A356,IF(G356="FUNCTIONAL","FUNCTIONAL-"&amp;A356,""))</f>
        <v/>
      </c>
      <c r="L356" s="11" t="s">
        <v>2029</v>
      </c>
    </row>
    <row r="357" customFormat="false" ht="15" hidden="false" customHeight="true" outlineLevel="0" collapsed="false">
      <c r="A357" s="10" t="s">
        <v>2030</v>
      </c>
      <c r="B357" s="10" t="s">
        <v>2031</v>
      </c>
      <c r="C357" s="10" t="s">
        <v>2032</v>
      </c>
      <c r="D357" s="10" t="s">
        <v>2033</v>
      </c>
      <c r="E357" s="10" t="s">
        <v>2034</v>
      </c>
      <c r="F357" s="10" t="s">
        <v>2035</v>
      </c>
      <c r="G357" s="10" t="s">
        <v>74</v>
      </c>
      <c r="H357" s="10" t="str">
        <f aca="false">IF(G357="BUG","BUG-"&amp;A357,IF(G357="FUNCTIONAL","FUNCTIONAL-"&amp;A357,""))</f>
        <v/>
      </c>
      <c r="L357" s="11" t="s">
        <v>2036</v>
      </c>
    </row>
    <row r="358" customFormat="false" ht="15" hidden="false" customHeight="true" outlineLevel="0" collapsed="false">
      <c r="A358" s="10" t="s">
        <v>2037</v>
      </c>
      <c r="B358" s="10" t="s">
        <v>2038</v>
      </c>
      <c r="C358" s="10" t="s">
        <v>2039</v>
      </c>
      <c r="D358" s="10" t="s">
        <v>61</v>
      </c>
      <c r="E358" s="10" t="s">
        <v>2040</v>
      </c>
      <c r="F358" s="10" t="s">
        <v>2041</v>
      </c>
      <c r="G358" s="10" t="s">
        <v>74</v>
      </c>
      <c r="H358" s="10" t="str">
        <f aca="false">IF(G358="BUG","BUG-"&amp;A358,IF(G358="FUNCTIONAL","FUNCTIONAL-"&amp;A358,""))</f>
        <v/>
      </c>
    </row>
    <row r="359" customFormat="false" ht="15" hidden="false" customHeight="true" outlineLevel="0" collapsed="false">
      <c r="A359" s="10" t="s">
        <v>2042</v>
      </c>
      <c r="B359" s="10" t="s">
        <v>2038</v>
      </c>
      <c r="C359" s="10" t="s">
        <v>2043</v>
      </c>
      <c r="D359" s="10" t="s">
        <v>2044</v>
      </c>
      <c r="E359" s="10" t="s">
        <v>2045</v>
      </c>
      <c r="F359" s="10" t="s">
        <v>2046</v>
      </c>
      <c r="G359" s="10" t="s">
        <v>74</v>
      </c>
      <c r="H359" s="10" t="str">
        <f aca="false">IF(G359="BUG","BUG-"&amp;A359,IF(G359="FUNCTIONAL","FUNCTIONAL-"&amp;A359,""))</f>
        <v/>
      </c>
    </row>
    <row r="360" customFormat="false" ht="15" hidden="false" customHeight="true" outlineLevel="0" collapsed="false">
      <c r="A360" s="10" t="s">
        <v>2047</v>
      </c>
      <c r="B360" s="10" t="s">
        <v>2048</v>
      </c>
      <c r="C360" s="10" t="s">
        <v>2049</v>
      </c>
      <c r="D360" s="10" t="s">
        <v>61</v>
      </c>
      <c r="E360" s="10" t="s">
        <v>2050</v>
      </c>
      <c r="F360" s="10" t="s">
        <v>2051</v>
      </c>
      <c r="G360" s="10" t="s">
        <v>74</v>
      </c>
      <c r="H360" s="10" t="str">
        <f aca="false">IF(G360="BUG","BUG-"&amp;A360,IF(G360="FUNCTIONAL","FUNCTIONAL-"&amp;A360,""))</f>
        <v/>
      </c>
    </row>
    <row r="361" customFormat="false" ht="15" hidden="false" customHeight="true" outlineLevel="0" collapsed="false">
      <c r="A361" s="10" t="s">
        <v>2052</v>
      </c>
      <c r="B361" s="10" t="s">
        <v>2048</v>
      </c>
      <c r="C361" s="10" t="s">
        <v>2053</v>
      </c>
      <c r="D361" s="10" t="s">
        <v>61</v>
      </c>
      <c r="E361" s="10" t="s">
        <v>2054</v>
      </c>
      <c r="F361" s="10" t="s">
        <v>2055</v>
      </c>
      <c r="G361" s="10" t="s">
        <v>74</v>
      </c>
      <c r="H361" s="10" t="str">
        <f aca="false">IF(G361="BUG","BUG-"&amp;A361,IF(G361="FUNCTIONAL","FUNCTIONAL-"&amp;A361,""))</f>
        <v/>
      </c>
    </row>
    <row r="362" customFormat="false" ht="15" hidden="false" customHeight="true" outlineLevel="0" collapsed="false">
      <c r="A362" s="10" t="s">
        <v>2056</v>
      </c>
      <c r="B362" s="10" t="s">
        <v>2048</v>
      </c>
      <c r="C362" s="10" t="s">
        <v>2057</v>
      </c>
      <c r="D362" s="10" t="s">
        <v>2058</v>
      </c>
      <c r="E362" s="10" t="s">
        <v>2059</v>
      </c>
      <c r="F362" s="10" t="s">
        <v>2060</v>
      </c>
      <c r="G362" s="10" t="s">
        <v>74</v>
      </c>
      <c r="H362" s="10" t="str">
        <f aca="false">IF(G362="BUG","BUG-"&amp;A362,IF(G362="FUNCTIONAL","FUNCTIONAL-"&amp;A362,""))</f>
        <v/>
      </c>
    </row>
    <row r="363" customFormat="false" ht="15" hidden="false" customHeight="true" outlineLevel="0" collapsed="false">
      <c r="A363" s="10" t="s">
        <v>2061</v>
      </c>
      <c r="B363" s="10" t="s">
        <v>2062</v>
      </c>
      <c r="C363" s="10" t="s">
        <v>2063</v>
      </c>
      <c r="D363" s="10" t="s">
        <v>61</v>
      </c>
      <c r="E363" s="10" t="s">
        <v>2064</v>
      </c>
      <c r="F363" s="10" t="s">
        <v>2065</v>
      </c>
      <c r="G363" s="10" t="s">
        <v>74</v>
      </c>
      <c r="H363" s="10" t="str">
        <f aca="false">IF(G363="BUG","BUG-"&amp;A363,IF(G363="FUNCTIONAL","FUNCTIONAL-"&amp;A363,""))</f>
        <v/>
      </c>
    </row>
    <row r="364" customFormat="false" ht="15" hidden="false" customHeight="true" outlineLevel="0" collapsed="false">
      <c r="A364" s="10" t="s">
        <v>2066</v>
      </c>
      <c r="B364" s="10" t="s">
        <v>2062</v>
      </c>
      <c r="C364" s="10" t="s">
        <v>2067</v>
      </c>
      <c r="D364" s="10" t="s">
        <v>61</v>
      </c>
      <c r="E364" s="10" t="s">
        <v>2068</v>
      </c>
      <c r="F364" s="10" t="s">
        <v>2069</v>
      </c>
      <c r="G364" s="10" t="s">
        <v>74</v>
      </c>
      <c r="H364" s="10" t="str">
        <f aca="false">IF(G364="BUG","BUG-"&amp;A364,IF(G364="FUNCTIONAL","FUNCTIONAL-"&amp;A364,""))</f>
        <v/>
      </c>
    </row>
    <row r="365" customFormat="false" ht="15" hidden="false" customHeight="true" outlineLevel="0" collapsed="false">
      <c r="A365" s="10" t="s">
        <v>2070</v>
      </c>
      <c r="B365" s="10" t="s">
        <v>2062</v>
      </c>
      <c r="C365" s="10" t="s">
        <v>2071</v>
      </c>
      <c r="D365" s="10" t="s">
        <v>61</v>
      </c>
      <c r="E365" s="10" t="s">
        <v>2072</v>
      </c>
      <c r="F365" s="10" t="s">
        <v>2073</v>
      </c>
      <c r="G365" s="10" t="s">
        <v>74</v>
      </c>
      <c r="H365" s="10" t="str">
        <f aca="false">IF(G365="BUG","BUG-"&amp;A365,IF(G365="FUNCTIONAL","FUNCTIONAL-"&amp;A365,""))</f>
        <v/>
      </c>
    </row>
    <row r="366" customFormat="false" ht="15" hidden="false" customHeight="true" outlineLevel="0" collapsed="false">
      <c r="A366" s="10" t="s">
        <v>2074</v>
      </c>
      <c r="B366" s="10" t="s">
        <v>2062</v>
      </c>
      <c r="C366" s="10" t="s">
        <v>2075</v>
      </c>
      <c r="D366" s="10" t="s">
        <v>61</v>
      </c>
      <c r="E366" s="10" t="s">
        <v>2076</v>
      </c>
      <c r="F366" s="10" t="s">
        <v>2077</v>
      </c>
      <c r="G366" s="10" t="s">
        <v>74</v>
      </c>
      <c r="H366" s="10" t="str">
        <f aca="false">IF(G366="BUG","BUG-"&amp;A366,IF(G366="FUNCTIONAL","FUNCTIONAL-"&amp;A366,""))</f>
        <v/>
      </c>
    </row>
    <row r="367" customFormat="false" ht="15" hidden="false" customHeight="true" outlineLevel="0" collapsed="false">
      <c r="A367" s="1" t="s">
        <v>2078</v>
      </c>
      <c r="B367" s="1" t="s">
        <v>2079</v>
      </c>
      <c r="C367" s="1" t="s">
        <v>2080</v>
      </c>
      <c r="D367" s="1" t="s">
        <v>2081</v>
      </c>
      <c r="E367" s="1" t="s">
        <v>2082</v>
      </c>
      <c r="F367" s="1" t="s">
        <v>2083</v>
      </c>
      <c r="G367" s="1" t="s">
        <v>74</v>
      </c>
      <c r="H367" s="1" t="str">
        <f aca="false">IF(G367="BUG","BUG-"&amp;A367,IF(G367="FUNCTIONAL","FUNCTIONAL-"&amp;A367,""))</f>
        <v/>
      </c>
    </row>
    <row r="368" customFormat="false" ht="15" hidden="false" customHeight="true" outlineLevel="0" collapsed="false">
      <c r="A368" s="1" t="s">
        <v>2084</v>
      </c>
      <c r="B368" s="1" t="s">
        <v>2085</v>
      </c>
      <c r="C368" s="1" t="s">
        <v>2086</v>
      </c>
      <c r="D368" s="1" t="s">
        <v>2087</v>
      </c>
      <c r="E368" s="1" t="s">
        <v>2088</v>
      </c>
      <c r="F368" s="1" t="s">
        <v>2089</v>
      </c>
      <c r="G368" s="1" t="s">
        <v>74</v>
      </c>
      <c r="H368" s="1" t="str">
        <f aca="false">IF(G368="BUG","BUG-"&amp;A368,IF(G368="FUNCTIONAL","FUNCTIONAL-"&amp;A368,""))</f>
        <v/>
      </c>
    </row>
    <row r="369" customFormat="false" ht="15" hidden="false" customHeight="true" outlineLevel="0" collapsed="false">
      <c r="A369" s="1" t="s">
        <v>2090</v>
      </c>
      <c r="B369" s="1" t="s">
        <v>2091</v>
      </c>
      <c r="C369" s="1" t="s">
        <v>2092</v>
      </c>
      <c r="D369" s="1" t="s">
        <v>2093</v>
      </c>
      <c r="E369" s="1" t="s">
        <v>2094</v>
      </c>
      <c r="F369" s="1" t="s">
        <v>2095</v>
      </c>
      <c r="G369" s="1" t="s">
        <v>2096</v>
      </c>
      <c r="H369" s="1" t="str">
        <f aca="false">IF(G369="BUG","BUG-"&amp;A369,IF(G369="FUNCTIONAL","FUNCTIONAL-"&amp;A369,""))</f>
        <v/>
      </c>
    </row>
    <row r="370" customFormat="false" ht="15" hidden="false" customHeight="true" outlineLevel="0" collapsed="false">
      <c r="A370" s="1" t="s">
        <v>2097</v>
      </c>
      <c r="B370" s="1" t="s">
        <v>2098</v>
      </c>
      <c r="C370" s="1" t="s">
        <v>2099</v>
      </c>
      <c r="D370" s="1" t="s">
        <v>2100</v>
      </c>
      <c r="E370" s="1" t="s">
        <v>2101</v>
      </c>
      <c r="F370" s="1" t="s">
        <v>2102</v>
      </c>
      <c r="G370" s="1" t="s">
        <v>74</v>
      </c>
      <c r="H370" s="1" t="str">
        <f aca="false">IF(G370="BUG","BUG-"&amp;A370,IF(G370="FUNCTIONAL","FUNCTIONAL-"&amp;A370,""))</f>
        <v/>
      </c>
    </row>
    <row r="371" customFormat="false" ht="15" hidden="false" customHeight="true" outlineLevel="0" collapsed="false">
      <c r="A371" s="1" t="s">
        <v>2103</v>
      </c>
      <c r="B371" s="1" t="s">
        <v>2104</v>
      </c>
      <c r="C371" s="1" t="s">
        <v>2105</v>
      </c>
      <c r="D371" s="1" t="s">
        <v>61</v>
      </c>
      <c r="E371" s="1" t="s">
        <v>2106</v>
      </c>
      <c r="F371" s="1" t="s">
        <v>2107</v>
      </c>
      <c r="G371" s="1" t="s">
        <v>74</v>
      </c>
      <c r="H371" s="1" t="str">
        <f aca="false">IF(G371="BUG","BUG-"&amp;A371,IF(G371="FUNCTIONAL","FUNCTIONAL-"&amp;A371,""))</f>
        <v/>
      </c>
    </row>
    <row r="372" customFormat="false" ht="15" hidden="false" customHeight="true" outlineLevel="0" collapsed="false">
      <c r="A372" s="1" t="s">
        <v>2108</v>
      </c>
      <c r="B372" s="1" t="s">
        <v>2109</v>
      </c>
      <c r="C372" s="1" t="s">
        <v>2110</v>
      </c>
      <c r="D372" s="1" t="s">
        <v>61</v>
      </c>
      <c r="E372" s="1" t="s">
        <v>2111</v>
      </c>
      <c r="F372" s="1" t="s">
        <v>2112</v>
      </c>
      <c r="G372" s="1" t="s">
        <v>74</v>
      </c>
      <c r="H372" s="1" t="str">
        <f aca="false">IF(G372="BUG","BUG-"&amp;A372,IF(G372="FUNCTIONAL","FUNCTIONAL-"&amp;A372,""))</f>
        <v/>
      </c>
    </row>
    <row r="373" customFormat="false" ht="15" hidden="false" customHeight="true" outlineLevel="0" collapsed="false">
      <c r="A373" s="1" t="s">
        <v>2113</v>
      </c>
      <c r="B373" s="1" t="s">
        <v>2114</v>
      </c>
      <c r="C373" s="1" t="s">
        <v>2115</v>
      </c>
      <c r="D373" s="1" t="s">
        <v>61</v>
      </c>
      <c r="E373" s="1" t="s">
        <v>2116</v>
      </c>
      <c r="F373" s="1" t="s">
        <v>2117</v>
      </c>
      <c r="G373" s="1" t="s">
        <v>74</v>
      </c>
      <c r="H373" s="1" t="str">
        <f aca="false">IF(G373="BUG","BUG-"&amp;A373,IF(G373="FUNCTIONAL","FUNCTIONAL-"&amp;A373,""))</f>
        <v/>
      </c>
    </row>
    <row r="374" customFormat="false" ht="15" hidden="false" customHeight="true" outlineLevel="0" collapsed="false">
      <c r="A374" s="1" t="s">
        <v>2118</v>
      </c>
      <c r="B374" s="1" t="s">
        <v>2119</v>
      </c>
      <c r="C374" s="1" t="s">
        <v>2120</v>
      </c>
      <c r="D374" s="1" t="s">
        <v>2121</v>
      </c>
      <c r="E374" s="1" t="s">
        <v>2122</v>
      </c>
      <c r="F374" s="1" t="s">
        <v>2123</v>
      </c>
      <c r="G374" s="1" t="s">
        <v>74</v>
      </c>
      <c r="H374" s="1" t="str">
        <f aca="false">IF(G374="BUG","BUG-"&amp;A374,IF(G374="FUNCTIONAL","FUNCTIONAL-"&amp;A374,""))</f>
        <v/>
      </c>
    </row>
    <row r="375" customFormat="false" ht="15" hidden="false" customHeight="true" outlineLevel="0" collapsed="false">
      <c r="A375" s="1" t="s">
        <v>2124</v>
      </c>
      <c r="B375" s="1" t="s">
        <v>2125</v>
      </c>
      <c r="C375" s="1" t="s">
        <v>2126</v>
      </c>
      <c r="D375" s="1" t="s">
        <v>61</v>
      </c>
      <c r="E375" s="1" t="s">
        <v>2127</v>
      </c>
      <c r="F375" s="1" t="s">
        <v>2128</v>
      </c>
      <c r="G375" s="1" t="s">
        <v>74</v>
      </c>
      <c r="H375" s="1" t="str">
        <f aca="false">IF(G375="BUG","BUG-"&amp;A375,IF(G375="FUNCTIONAL","FUNCTIONAL-"&amp;A375,""))</f>
        <v/>
      </c>
    </row>
    <row r="376" customFormat="false" ht="15" hidden="false" customHeight="true" outlineLevel="0" collapsed="false">
      <c r="A376" s="1" t="s">
        <v>2129</v>
      </c>
      <c r="B376" s="1" t="s">
        <v>2125</v>
      </c>
      <c r="C376" s="1" t="s">
        <v>2130</v>
      </c>
      <c r="D376" s="1" t="s">
        <v>2131</v>
      </c>
      <c r="E376" s="1" t="s">
        <v>2132</v>
      </c>
      <c r="F376" s="1" t="s">
        <v>2133</v>
      </c>
      <c r="G376" s="1" t="s">
        <v>74</v>
      </c>
      <c r="H376" s="1" t="str">
        <f aca="false">IF(G376="BUG","BUG-"&amp;A376,IF(G376="FUNCTIONAL","FUNCTIONAL-"&amp;A376,""))</f>
        <v/>
      </c>
    </row>
    <row r="377" customFormat="false" ht="15" hidden="false" customHeight="true" outlineLevel="0" collapsed="false">
      <c r="A377" s="1" t="s">
        <v>2134</v>
      </c>
      <c r="B377" s="1" t="s">
        <v>2125</v>
      </c>
      <c r="C377" s="1" t="s">
        <v>2135</v>
      </c>
      <c r="D377" s="1" t="s">
        <v>61</v>
      </c>
      <c r="E377" s="1" t="s">
        <v>2136</v>
      </c>
      <c r="F377" s="1" t="s">
        <v>2137</v>
      </c>
      <c r="G377" s="1" t="s">
        <v>74</v>
      </c>
      <c r="H377" s="1" t="str">
        <f aca="false">IF(G377="BUG","BUG-"&amp;A377,IF(G377="FUNCTIONAL","FUNCTIONAL-"&amp;A377,""))</f>
        <v/>
      </c>
    </row>
    <row r="378" customFormat="false" ht="15" hidden="false" customHeight="true" outlineLevel="0" collapsed="false">
      <c r="A378" s="1" t="s">
        <v>2138</v>
      </c>
      <c r="B378" s="1" t="s">
        <v>2125</v>
      </c>
      <c r="C378" s="1" t="s">
        <v>2139</v>
      </c>
      <c r="D378" s="1" t="s">
        <v>2140</v>
      </c>
      <c r="E378" s="1" t="s">
        <v>2141</v>
      </c>
      <c r="F378" s="1" t="s">
        <v>2142</v>
      </c>
      <c r="G378" s="1" t="s">
        <v>74</v>
      </c>
      <c r="H378" s="1" t="str">
        <f aca="false">IF(G378="BUG","BUG-"&amp;A378,IF(G378="FUNCTIONAL","FUNCTIONAL-"&amp;A378,""))</f>
        <v/>
      </c>
    </row>
    <row r="379" customFormat="false" ht="15" hidden="false" customHeight="true" outlineLevel="0" collapsed="false">
      <c r="A379" s="1" t="s">
        <v>2143</v>
      </c>
      <c r="B379" s="1" t="s">
        <v>2144</v>
      </c>
      <c r="C379" s="1" t="s">
        <v>2145</v>
      </c>
      <c r="D379" s="1" t="s">
        <v>2140</v>
      </c>
      <c r="E379" s="1" t="s">
        <v>2146</v>
      </c>
      <c r="F379" s="1" t="s">
        <v>2147</v>
      </c>
      <c r="G379" s="1" t="s">
        <v>74</v>
      </c>
      <c r="H379" s="1" t="str">
        <f aca="false">IF(G379="BUG","BUG-"&amp;A379,IF(G379="FUNCTIONAL","FUNCTIONAL-"&amp;A379,""))</f>
        <v/>
      </c>
    </row>
    <row r="380" customFormat="false" ht="15" hidden="false" customHeight="true" outlineLevel="0" collapsed="false">
      <c r="A380" s="1" t="s">
        <v>2148</v>
      </c>
      <c r="B380" s="1" t="s">
        <v>2144</v>
      </c>
      <c r="C380" s="1" t="s">
        <v>2149</v>
      </c>
      <c r="D380" s="1" t="s">
        <v>2150</v>
      </c>
      <c r="E380" s="1" t="s">
        <v>2151</v>
      </c>
      <c r="F380" s="1" t="s">
        <v>2152</v>
      </c>
      <c r="G380" s="1" t="s">
        <v>74</v>
      </c>
      <c r="H380" s="1" t="str">
        <f aca="false">IF(G380="BUG","BUG-"&amp;A380,IF(G380="FUNCTIONAL","FUNCTIONAL-"&amp;A380,""))</f>
        <v/>
      </c>
    </row>
    <row r="381" customFormat="false" ht="15" hidden="false" customHeight="true" outlineLevel="0" collapsed="false">
      <c r="A381" s="1" t="s">
        <v>2153</v>
      </c>
      <c r="B381" s="1" t="s">
        <v>2154</v>
      </c>
      <c r="C381" s="1" t="s">
        <v>2155</v>
      </c>
      <c r="D381" s="1" t="s">
        <v>2156</v>
      </c>
      <c r="E381" s="1" t="s">
        <v>2157</v>
      </c>
      <c r="F381" s="1" t="s">
        <v>2158</v>
      </c>
      <c r="G381" s="1" t="s">
        <v>74</v>
      </c>
      <c r="H381" s="1" t="str">
        <f aca="false">IF(G381="BUG","BUG-"&amp;A381,IF(G381="FUNCTIONAL","FUNCTIONAL-"&amp;A381,""))</f>
        <v/>
      </c>
      <c r="I381" s="1" t="s">
        <v>42</v>
      </c>
    </row>
    <row r="382" customFormat="false" ht="15" hidden="false" customHeight="true" outlineLevel="0" collapsed="false">
      <c r="A382" s="1" t="s">
        <v>2159</v>
      </c>
      <c r="B382" s="1" t="s">
        <v>2154</v>
      </c>
      <c r="C382" s="1" t="s">
        <v>2160</v>
      </c>
      <c r="D382" s="1" t="s">
        <v>2156</v>
      </c>
      <c r="E382" s="1" t="s">
        <v>2161</v>
      </c>
      <c r="F382" s="1" t="s">
        <v>2162</v>
      </c>
      <c r="G382" s="1" t="s">
        <v>74</v>
      </c>
      <c r="H382" s="1" t="str">
        <f aca="false">IF(G382="BUG","BUG-"&amp;A382,IF(G382="FUNCTIONAL","FUNCTIONAL-"&amp;A382,""))</f>
        <v/>
      </c>
      <c r="I382" s="1" t="s">
        <v>42</v>
      </c>
    </row>
    <row r="383" customFormat="false" ht="15" hidden="false" customHeight="true" outlineLevel="0" collapsed="false">
      <c r="A383" s="1" t="s">
        <v>2163</v>
      </c>
      <c r="B383" s="1" t="s">
        <v>2154</v>
      </c>
      <c r="C383" s="1" t="s">
        <v>2164</v>
      </c>
      <c r="D383" s="1" t="s">
        <v>2156</v>
      </c>
      <c r="E383" s="1" t="s">
        <v>2165</v>
      </c>
      <c r="F383" s="1" t="s">
        <v>2166</v>
      </c>
      <c r="G383" s="1" t="s">
        <v>74</v>
      </c>
      <c r="H383" s="1" t="str">
        <f aca="false">IF(G383="BUG","BUG-"&amp;A383,IF(G383="FUNCTIONAL","FUNCTIONAL-"&amp;A383,""))</f>
        <v/>
      </c>
      <c r="I383" s="1" t="s">
        <v>42</v>
      </c>
    </row>
    <row r="384" customFormat="false" ht="15" hidden="false" customHeight="true" outlineLevel="0" collapsed="false">
      <c r="A384" s="1" t="s">
        <v>2167</v>
      </c>
      <c r="B384" s="1" t="s">
        <v>2154</v>
      </c>
      <c r="C384" s="1" t="s">
        <v>2168</v>
      </c>
      <c r="D384" s="1" t="s">
        <v>2169</v>
      </c>
      <c r="E384" s="1" t="s">
        <v>2170</v>
      </c>
      <c r="F384" s="1" t="s">
        <v>2171</v>
      </c>
      <c r="G384" s="1" t="s">
        <v>2172</v>
      </c>
      <c r="H384" s="1" t="str">
        <f aca="false">IF(G384="BUG","BUG-"&amp;A384,IF(G384="FUNCTIONAL","FUNCTIONAL-"&amp;A384,""))</f>
        <v/>
      </c>
      <c r="I384" s="1" t="s">
        <v>65</v>
      </c>
    </row>
    <row r="385" customFormat="false" ht="15" hidden="false" customHeight="true" outlineLevel="0" collapsed="false">
      <c r="A385" s="1" t="s">
        <v>2173</v>
      </c>
      <c r="B385" s="1" t="s">
        <v>2174</v>
      </c>
      <c r="C385" s="1" t="s">
        <v>2175</v>
      </c>
      <c r="D385" s="1" t="s">
        <v>61</v>
      </c>
      <c r="E385" s="1" t="s">
        <v>2176</v>
      </c>
      <c r="F385" s="1" t="s">
        <v>2177</v>
      </c>
      <c r="G385" s="1" t="s">
        <v>74</v>
      </c>
      <c r="H385" s="1" t="str">
        <f aca="false">IF(G385="BUG","BUG-"&amp;A385,IF(G385="FUNCTIONAL","FUNCTIONAL-"&amp;A385,""))</f>
        <v/>
      </c>
      <c r="I385" s="1" t="s">
        <v>56</v>
      </c>
    </row>
    <row r="386" customFormat="false" ht="15" hidden="false" customHeight="true" outlineLevel="0" collapsed="false">
      <c r="A386" s="1" t="s">
        <v>2178</v>
      </c>
      <c r="B386" s="1" t="s">
        <v>2179</v>
      </c>
      <c r="C386" s="1" t="s">
        <v>2180</v>
      </c>
      <c r="D386" s="1" t="s">
        <v>61</v>
      </c>
      <c r="E386" s="1" t="s">
        <v>2181</v>
      </c>
      <c r="F386" s="1" t="s">
        <v>2182</v>
      </c>
      <c r="G386" s="1" t="s">
        <v>74</v>
      </c>
      <c r="H386" s="1" t="str">
        <f aca="false">IF(G386="BUG","BUG-"&amp;A386,IF(G386="FUNCTIONAL","FUNCTIONAL-"&amp;A386,""))</f>
        <v/>
      </c>
      <c r="I386" s="1" t="s">
        <v>42</v>
      </c>
    </row>
    <row r="387" customFormat="false" ht="15" hidden="false" customHeight="true" outlineLevel="0" collapsed="false">
      <c r="A387" s="1" t="s">
        <v>2183</v>
      </c>
      <c r="B387" s="1" t="s">
        <v>2184</v>
      </c>
      <c r="C387" s="1" t="s">
        <v>2185</v>
      </c>
      <c r="D387" s="1" t="s">
        <v>61</v>
      </c>
      <c r="E387" s="1" t="s">
        <v>2186</v>
      </c>
      <c r="F387" s="1" t="s">
        <v>2187</v>
      </c>
      <c r="G387" s="1" t="s">
        <v>74</v>
      </c>
      <c r="H387" s="1" t="str">
        <f aca="false">IF(G387="BUG","BUG-"&amp;A387,IF(G387="FUNCTIONAL","FUNCTIONAL-"&amp;A387,""))</f>
        <v/>
      </c>
      <c r="I387" s="1" t="s">
        <v>65</v>
      </c>
    </row>
    <row r="388" customFormat="false" ht="15" hidden="false" customHeight="true" outlineLevel="0" collapsed="false">
      <c r="A388" s="1" t="s">
        <v>2188</v>
      </c>
      <c r="B388" s="1" t="s">
        <v>2184</v>
      </c>
      <c r="C388" s="1" t="s">
        <v>2189</v>
      </c>
      <c r="D388" s="1" t="s">
        <v>61</v>
      </c>
      <c r="E388" s="1" t="s">
        <v>2190</v>
      </c>
      <c r="F388" s="1" t="s">
        <v>2191</v>
      </c>
      <c r="G388" s="1" t="s">
        <v>74</v>
      </c>
      <c r="H388" s="1" t="str">
        <f aca="false">IF(G388="BUG","BUG-"&amp;A388,IF(G388="FUNCTIONAL","FUNCTIONAL-"&amp;A388,""))</f>
        <v/>
      </c>
      <c r="I388" s="1" t="s">
        <v>65</v>
      </c>
    </row>
    <row r="389" customFormat="false" ht="15" hidden="false" customHeight="true" outlineLevel="0" collapsed="false">
      <c r="A389" s="1" t="s">
        <v>2192</v>
      </c>
      <c r="B389" s="1" t="s">
        <v>2184</v>
      </c>
      <c r="C389" s="1" t="s">
        <v>2193</v>
      </c>
      <c r="D389" s="1" t="s">
        <v>61</v>
      </c>
      <c r="E389" s="1" t="s">
        <v>2194</v>
      </c>
      <c r="F389" s="1" t="s">
        <v>2195</v>
      </c>
      <c r="G389" s="1" t="s">
        <v>74</v>
      </c>
      <c r="H389" s="1" t="str">
        <f aca="false">IF(G389="BUG","BUG-"&amp;A389,IF(G389="FUNCTIONAL","FUNCTIONAL-"&amp;A389,""))</f>
        <v/>
      </c>
      <c r="I389" s="1" t="s">
        <v>65</v>
      </c>
    </row>
    <row r="390" customFormat="false" ht="15" hidden="false" customHeight="true" outlineLevel="0" collapsed="false">
      <c r="A390" s="1" t="s">
        <v>2196</v>
      </c>
      <c r="B390" s="1" t="s">
        <v>2184</v>
      </c>
      <c r="C390" s="1" t="s">
        <v>2197</v>
      </c>
      <c r="D390" s="1" t="s">
        <v>61</v>
      </c>
      <c r="E390" s="1" t="s">
        <v>2198</v>
      </c>
      <c r="F390" s="1" t="s">
        <v>2199</v>
      </c>
      <c r="G390" s="1" t="s">
        <v>74</v>
      </c>
      <c r="H390" s="1" t="str">
        <f aca="false">IF(G390="BUG","BUG-"&amp;A390,IF(G390="FUNCTIONAL","FUNCTIONAL-"&amp;A390,""))</f>
        <v/>
      </c>
      <c r="I390" s="1" t="s">
        <v>65</v>
      </c>
    </row>
    <row r="391" customFormat="false" ht="15" hidden="false" customHeight="true" outlineLevel="0" collapsed="false">
      <c r="A391" s="1" t="s">
        <v>2200</v>
      </c>
      <c r="B391" s="1" t="s">
        <v>2201</v>
      </c>
      <c r="C391" s="1" t="s">
        <v>2202</v>
      </c>
      <c r="D391" s="1" t="s">
        <v>2203</v>
      </c>
      <c r="E391" s="1" t="s">
        <v>2204</v>
      </c>
      <c r="F391" s="1" t="s">
        <v>2205</v>
      </c>
      <c r="G391" s="1" t="s">
        <v>74</v>
      </c>
      <c r="H391" s="1" t="str">
        <f aca="false">IF(G391="BUG","BUG-"&amp;A391,IF(G391="FUNCTIONAL","FUNCTIONAL-"&amp;A391,""))</f>
        <v/>
      </c>
    </row>
    <row r="392" customFormat="false" ht="15" hidden="false" customHeight="true" outlineLevel="0" collapsed="false">
      <c r="A392" s="1" t="s">
        <v>2206</v>
      </c>
      <c r="B392" s="1" t="s">
        <v>2207</v>
      </c>
      <c r="C392" s="1" t="s">
        <v>2208</v>
      </c>
      <c r="D392" s="1" t="s">
        <v>2209</v>
      </c>
      <c r="E392" s="1" t="s">
        <v>2210</v>
      </c>
      <c r="F392" s="1" t="s">
        <v>2211</v>
      </c>
      <c r="G392" s="1" t="s">
        <v>74</v>
      </c>
      <c r="H392" s="1" t="str">
        <f aca="false">IF(G392="BUG","BUG-"&amp;A392,IF(G392="FUNCTIONAL","FUNCTIONAL-"&amp;A392,""))</f>
        <v/>
      </c>
    </row>
    <row r="393" customFormat="false" ht="15" hidden="false" customHeight="true" outlineLevel="0" collapsed="false">
      <c r="A393" s="1" t="s">
        <v>2212</v>
      </c>
      <c r="B393" s="1" t="s">
        <v>2207</v>
      </c>
      <c r="C393" s="1" t="s">
        <v>2213</v>
      </c>
      <c r="D393" s="1" t="s">
        <v>2214</v>
      </c>
      <c r="E393" s="1" t="s">
        <v>2215</v>
      </c>
      <c r="F393" s="1" t="s">
        <v>2216</v>
      </c>
      <c r="G393" s="1" t="s">
        <v>74</v>
      </c>
      <c r="H393" s="1" t="str">
        <f aca="false">IF(G393="BUG","BUG-"&amp;A393,IF(G393="FUNCTIONAL","FUNCTIONAL-"&amp;A393,""))</f>
        <v/>
      </c>
    </row>
    <row r="394" customFormat="false" ht="15" hidden="false" customHeight="true" outlineLevel="0" collapsed="false">
      <c r="A394" s="1" t="s">
        <v>2217</v>
      </c>
      <c r="B394" s="1" t="s">
        <v>2218</v>
      </c>
      <c r="C394" s="1" t="s">
        <v>2219</v>
      </c>
      <c r="D394" s="1" t="s">
        <v>264</v>
      </c>
      <c r="E394" s="1" t="s">
        <v>2220</v>
      </c>
      <c r="F394" s="1" t="s">
        <v>2221</v>
      </c>
      <c r="G394" s="1" t="s">
        <v>74</v>
      </c>
      <c r="H394" s="1" t="str">
        <f aca="false">IF(G394="BUG","BUG-"&amp;A394,IF(G394="FUNCTIONAL","FUNCTIONAL-"&amp;A394,""))</f>
        <v/>
      </c>
    </row>
    <row r="395" customFormat="false" ht="15" hidden="false" customHeight="true" outlineLevel="0" collapsed="false">
      <c r="A395" s="1" t="s">
        <v>2222</v>
      </c>
      <c r="B395" s="1" t="s">
        <v>2223</v>
      </c>
      <c r="C395" s="1" t="s">
        <v>2224</v>
      </c>
      <c r="D395" s="1" t="s">
        <v>2225</v>
      </c>
      <c r="E395" s="1" t="s">
        <v>2226</v>
      </c>
      <c r="F395" s="1" t="s">
        <v>2227</v>
      </c>
      <c r="G395" s="1" t="s">
        <v>74</v>
      </c>
      <c r="H395" s="1" t="str">
        <f aca="false">IF(G395="BUG","BUG-"&amp;A395,IF(G395="FUNCTIONAL","FUNCTIONAL-"&amp;A395,""))</f>
        <v/>
      </c>
    </row>
    <row r="396" customFormat="false" ht="15" hidden="false" customHeight="true" outlineLevel="0" collapsed="false">
      <c r="A396" s="1" t="s">
        <v>2228</v>
      </c>
      <c r="B396" s="1" t="s">
        <v>2229</v>
      </c>
      <c r="C396" s="1" t="s">
        <v>2230</v>
      </c>
      <c r="D396" s="1" t="s">
        <v>1774</v>
      </c>
      <c r="E396" s="1" t="s">
        <v>2231</v>
      </c>
      <c r="F396" s="1" t="s">
        <v>2232</v>
      </c>
      <c r="G396" s="1" t="s">
        <v>41</v>
      </c>
      <c r="H396" s="1" t="str">
        <f aca="false">IF(G396="BUG","BUG-"&amp;A396,IF(G396="FUNCTIONAL","FUNCTIONAL-"&amp;A396,""))</f>
        <v/>
      </c>
    </row>
    <row r="397" customFormat="false" ht="15" hidden="false" customHeight="true" outlineLevel="0" collapsed="false">
      <c r="A397" s="10" t="s">
        <v>2233</v>
      </c>
      <c r="B397" s="10" t="s">
        <v>2234</v>
      </c>
      <c r="C397" s="10" t="s">
        <v>2235</v>
      </c>
      <c r="D397" s="10" t="s">
        <v>2236</v>
      </c>
      <c r="E397" s="10" t="s">
        <v>2237</v>
      </c>
      <c r="F397" s="10" t="s">
        <v>2238</v>
      </c>
      <c r="G397" s="10" t="s">
        <v>41</v>
      </c>
      <c r="H397" s="10" t="str">
        <f aca="false">IF(G397="BUG","BUG-"&amp;A397,IF(G397="FUNCTIONAL","FUNCTIONAL-"&amp;A397,""))</f>
        <v/>
      </c>
      <c r="I397" s="10" t="s">
        <v>42</v>
      </c>
      <c r="K397" s="11" t="s">
        <v>656</v>
      </c>
      <c r="L397" s="11" t="s">
        <v>2239</v>
      </c>
    </row>
    <row r="398" customFormat="false" ht="15" hidden="false" customHeight="true" outlineLevel="0" collapsed="false">
      <c r="A398" s="10" t="s">
        <v>2240</v>
      </c>
      <c r="B398" s="10" t="s">
        <v>2234</v>
      </c>
      <c r="C398" s="10" t="s">
        <v>2241</v>
      </c>
      <c r="D398" s="10" t="s">
        <v>2242</v>
      </c>
      <c r="E398" s="10" t="s">
        <v>2243</v>
      </c>
      <c r="F398" s="10" t="s">
        <v>2244</v>
      </c>
      <c r="G398" s="10" t="s">
        <v>41</v>
      </c>
      <c r="H398" s="10" t="str">
        <f aca="false">IF(G398="BUG","BUG-"&amp;A398,IF(G398="FUNCTIONAL","FUNCTIONAL-"&amp;A398,""))</f>
        <v/>
      </c>
      <c r="I398" s="10" t="s">
        <v>42</v>
      </c>
      <c r="K398" s="11" t="s">
        <v>198</v>
      </c>
      <c r="L398" s="11" t="s">
        <v>2245</v>
      </c>
    </row>
    <row r="399" customFormat="false" ht="15" hidden="false" customHeight="true" outlineLevel="0" collapsed="false">
      <c r="A399" s="10" t="s">
        <v>2246</v>
      </c>
      <c r="B399" s="10" t="s">
        <v>2234</v>
      </c>
      <c r="C399" s="10" t="s">
        <v>2247</v>
      </c>
      <c r="D399" s="10" t="s">
        <v>2248</v>
      </c>
      <c r="E399" s="10" t="s">
        <v>2249</v>
      </c>
      <c r="F399" s="10" t="s">
        <v>2250</v>
      </c>
      <c r="G399" s="10" t="s">
        <v>41</v>
      </c>
      <c r="H399" s="10" t="str">
        <f aca="false">IF(G399="BUG","BUG-"&amp;A399,IF(G399="FUNCTIONAL","FUNCTIONAL-"&amp;A399,""))</f>
        <v/>
      </c>
      <c r="I399" s="10" t="s">
        <v>42</v>
      </c>
      <c r="K399" s="11" t="s">
        <v>198</v>
      </c>
      <c r="L399" s="11" t="s">
        <v>2251</v>
      </c>
    </row>
    <row r="400" customFormat="false" ht="15" hidden="false" customHeight="true" outlineLevel="0" collapsed="false">
      <c r="A400" s="10" t="s">
        <v>2252</v>
      </c>
      <c r="B400" s="10" t="s">
        <v>2234</v>
      </c>
      <c r="C400" s="10" t="s">
        <v>2253</v>
      </c>
      <c r="D400" s="10" t="s">
        <v>2254</v>
      </c>
      <c r="E400" s="10" t="s">
        <v>2255</v>
      </c>
      <c r="F400" s="10" t="s">
        <v>2256</v>
      </c>
      <c r="G400" s="10" t="s">
        <v>41</v>
      </c>
      <c r="H400" s="10" t="str">
        <f aca="false">IF(G400="BUG","BUG-"&amp;A400,IF(G400="FUNCTIONAL","FUNCTIONAL-"&amp;A400,""))</f>
        <v/>
      </c>
      <c r="I400" s="10" t="s">
        <v>56</v>
      </c>
      <c r="L400" s="11" t="s">
        <v>2257</v>
      </c>
    </row>
    <row r="401" customFormat="false" ht="15" hidden="false" customHeight="true" outlineLevel="0" collapsed="false">
      <c r="A401" s="10" t="s">
        <v>2258</v>
      </c>
      <c r="B401" s="10" t="s">
        <v>2234</v>
      </c>
      <c r="C401" s="10" t="s">
        <v>2259</v>
      </c>
      <c r="D401" s="10" t="s">
        <v>2260</v>
      </c>
      <c r="E401" s="10" t="s">
        <v>2261</v>
      </c>
      <c r="F401" s="10" t="s">
        <v>2262</v>
      </c>
      <c r="G401" s="10" t="s">
        <v>2263</v>
      </c>
      <c r="H401" s="10" t="str">
        <f aca="false">IF(G401="BUG","BUG-"&amp;A401,IF(G401="FUNCTIONAL","FUNCTIONAL-"&amp;A401,""))</f>
        <v/>
      </c>
      <c r="I401" s="10" t="s">
        <v>56</v>
      </c>
      <c r="L401" s="11" t="s">
        <v>2264</v>
      </c>
    </row>
    <row r="402" customFormat="false" ht="15" hidden="false" customHeight="true" outlineLevel="0" collapsed="false">
      <c r="A402" s="10" t="s">
        <v>2265</v>
      </c>
      <c r="B402" s="10" t="s">
        <v>2234</v>
      </c>
      <c r="C402" s="10" t="s">
        <v>2266</v>
      </c>
      <c r="D402" s="10" t="s">
        <v>2267</v>
      </c>
      <c r="E402" s="10" t="s">
        <v>2268</v>
      </c>
      <c r="F402" s="10" t="s">
        <v>2269</v>
      </c>
      <c r="G402" s="10" t="s">
        <v>2263</v>
      </c>
      <c r="H402" s="10" t="str">
        <f aca="false">IF(G402="BUG","BUG-"&amp;A402,IF(G402="FUNCTIONAL","FUNCTIONAL-"&amp;A402,""))</f>
        <v/>
      </c>
      <c r="I402" s="10" t="s">
        <v>65</v>
      </c>
      <c r="L402" s="11" t="s">
        <v>2270</v>
      </c>
    </row>
    <row r="403" customFormat="false" ht="15" hidden="false" customHeight="true" outlineLevel="0" collapsed="false">
      <c r="A403" s="10" t="s">
        <v>2271</v>
      </c>
      <c r="B403" s="10" t="s">
        <v>2272</v>
      </c>
      <c r="C403" s="10" t="s">
        <v>2273</v>
      </c>
      <c r="D403" s="10" t="s">
        <v>2242</v>
      </c>
      <c r="E403" s="10" t="s">
        <v>2274</v>
      </c>
      <c r="F403" s="10" t="s">
        <v>2275</v>
      </c>
      <c r="G403" s="10" t="s">
        <v>74</v>
      </c>
      <c r="H403" s="10" t="str">
        <f aca="false">IF(G403="BUG","BUG-"&amp;A403,IF(G403="FUNCTIONAL","FUNCTIONAL-"&amp;A403,""))</f>
        <v/>
      </c>
      <c r="I403" s="10" t="s">
        <v>42</v>
      </c>
      <c r="L403" s="11" t="s">
        <v>2276</v>
      </c>
    </row>
    <row r="404" customFormat="false" ht="15" hidden="false" customHeight="true" outlineLevel="0" collapsed="false">
      <c r="A404" s="10" t="s">
        <v>2277</v>
      </c>
      <c r="B404" s="10" t="s">
        <v>2272</v>
      </c>
      <c r="C404" s="10" t="s">
        <v>2278</v>
      </c>
      <c r="D404" s="10" t="s">
        <v>2248</v>
      </c>
      <c r="E404" s="10" t="s">
        <v>2279</v>
      </c>
      <c r="F404" s="10" t="s">
        <v>2250</v>
      </c>
      <c r="G404" s="10" t="s">
        <v>74</v>
      </c>
      <c r="H404" s="10" t="str">
        <f aca="false">IF(G404="BUG","BUG-"&amp;A404,IF(G404="FUNCTIONAL","FUNCTIONAL-"&amp;A404,""))</f>
        <v/>
      </c>
      <c r="I404" s="10" t="s">
        <v>42</v>
      </c>
      <c r="L404" s="11" t="s">
        <v>2280</v>
      </c>
    </row>
    <row r="405" customFormat="false" ht="15" hidden="false" customHeight="true" outlineLevel="0" collapsed="false">
      <c r="A405" s="10" t="s">
        <v>2281</v>
      </c>
      <c r="B405" s="10" t="s">
        <v>2272</v>
      </c>
      <c r="C405" s="10" t="s">
        <v>2282</v>
      </c>
      <c r="D405" s="10" t="s">
        <v>2283</v>
      </c>
      <c r="E405" s="10" t="s">
        <v>2284</v>
      </c>
      <c r="F405" s="10" t="s">
        <v>2285</v>
      </c>
      <c r="G405" s="10" t="s">
        <v>41</v>
      </c>
      <c r="H405" s="10" t="str">
        <f aca="false">IF(G405="BUG","BUG-"&amp;A405,IF(G405="FUNCTIONAL","FUNCTIONAL-"&amp;A405,""))</f>
        <v/>
      </c>
      <c r="I405" s="10" t="s">
        <v>42</v>
      </c>
      <c r="L405" s="11" t="s">
        <v>2286</v>
      </c>
    </row>
    <row r="406" customFormat="false" ht="15" hidden="false" customHeight="true" outlineLevel="0" collapsed="false">
      <c r="A406" s="10" t="s">
        <v>2287</v>
      </c>
      <c r="B406" s="10" t="s">
        <v>2272</v>
      </c>
      <c r="C406" s="10" t="s">
        <v>2288</v>
      </c>
      <c r="D406" s="10" t="s">
        <v>2289</v>
      </c>
      <c r="E406" s="10" t="s">
        <v>2290</v>
      </c>
      <c r="F406" s="10" t="s">
        <v>2291</v>
      </c>
      <c r="G406" s="10" t="s">
        <v>2292</v>
      </c>
      <c r="H406" s="10" t="str">
        <f aca="false">IF(G406="BUG","BUG-"&amp;A406,IF(G406="FUNCTIONAL","FUNCTIONAL-"&amp;A406,""))</f>
        <v/>
      </c>
      <c r="I406" s="10" t="s">
        <v>56</v>
      </c>
      <c r="L406" s="11" t="s">
        <v>2293</v>
      </c>
    </row>
    <row r="407" customFormat="false" ht="15" hidden="false" customHeight="true" outlineLevel="0" collapsed="false">
      <c r="A407" s="10" t="s">
        <v>2294</v>
      </c>
      <c r="B407" s="10" t="s">
        <v>2272</v>
      </c>
      <c r="C407" s="10" t="s">
        <v>2295</v>
      </c>
      <c r="D407" s="10" t="s">
        <v>2296</v>
      </c>
      <c r="E407" s="10" t="s">
        <v>2297</v>
      </c>
      <c r="F407" s="10" t="s">
        <v>2298</v>
      </c>
      <c r="G407" s="10" t="s">
        <v>41</v>
      </c>
      <c r="H407" s="10" t="str">
        <f aca="false">IF(G407="BUG","BUG-"&amp;A407,IF(G407="FUNCTIONAL","FUNCTIONAL-"&amp;A407,""))</f>
        <v/>
      </c>
      <c r="I407" s="10" t="s">
        <v>42</v>
      </c>
      <c r="L407" s="11" t="s">
        <v>2299</v>
      </c>
    </row>
    <row r="408" customFormat="false" ht="15" hidden="false" customHeight="true" outlineLevel="0" collapsed="false">
      <c r="A408" s="10" t="s">
        <v>2300</v>
      </c>
      <c r="B408" s="10" t="s">
        <v>2301</v>
      </c>
      <c r="C408" s="10" t="s">
        <v>2302</v>
      </c>
      <c r="D408" s="10" t="s">
        <v>2303</v>
      </c>
      <c r="E408" s="10" t="s">
        <v>2304</v>
      </c>
      <c r="F408" s="10" t="s">
        <v>2305</v>
      </c>
      <c r="G408" s="10" t="s">
        <v>41</v>
      </c>
      <c r="H408" s="10" t="str">
        <f aca="false">IF(G408="BUG","BUG-"&amp;A408,IF(G408="FUNCTIONAL","FUNCTIONAL-"&amp;A408,""))</f>
        <v/>
      </c>
      <c r="I408" s="10" t="s">
        <v>65</v>
      </c>
      <c r="L408" s="11" t="s">
        <v>2306</v>
      </c>
    </row>
    <row r="409" customFormat="false" ht="15" hidden="false" customHeight="true" outlineLevel="0" collapsed="false">
      <c r="A409" s="1" t="s">
        <v>2307</v>
      </c>
      <c r="B409" s="1" t="s">
        <v>2308</v>
      </c>
      <c r="C409" s="1" t="s">
        <v>2309</v>
      </c>
      <c r="D409" s="1" t="s">
        <v>2310</v>
      </c>
      <c r="E409" s="1" t="s">
        <v>2311</v>
      </c>
      <c r="F409" s="1" t="s">
        <v>2312</v>
      </c>
      <c r="G409" s="1" t="s">
        <v>41</v>
      </c>
      <c r="H409" s="1" t="str">
        <f aca="false">IF(G409="BUG","BUG-"&amp;A409,IF(G409="FUNCTIONAL","FUNCTIONAL-"&amp;A409,""))</f>
        <v/>
      </c>
      <c r="I409" s="1" t="s">
        <v>42</v>
      </c>
      <c r="L409" s="1" t="s">
        <v>2313</v>
      </c>
    </row>
    <row r="410" customFormat="false" ht="15" hidden="false" customHeight="true" outlineLevel="0" collapsed="false">
      <c r="A410" s="1" t="s">
        <v>2314</v>
      </c>
      <c r="B410" s="1" t="s">
        <v>2308</v>
      </c>
      <c r="C410" s="1" t="s">
        <v>2315</v>
      </c>
      <c r="D410" s="1" t="s">
        <v>2316</v>
      </c>
      <c r="E410" s="1" t="s">
        <v>2317</v>
      </c>
      <c r="F410" s="1" t="s">
        <v>2318</v>
      </c>
      <c r="G410" s="1" t="s">
        <v>41</v>
      </c>
      <c r="H410" s="1" t="str">
        <f aca="false">IF(G410="BUG","BUG-"&amp;A410,IF(G410="FUNCTIONAL","FUNCTIONAL-"&amp;A410,""))</f>
        <v/>
      </c>
      <c r="I410" s="1" t="s">
        <v>56</v>
      </c>
      <c r="L410" s="1" t="s">
        <v>2319</v>
      </c>
    </row>
    <row r="411" customFormat="false" ht="15" hidden="false" customHeight="true" outlineLevel="0" collapsed="false">
      <c r="A411" s="1" t="s">
        <v>2320</v>
      </c>
      <c r="B411" s="1" t="s">
        <v>2308</v>
      </c>
      <c r="C411" s="1" t="s">
        <v>2321</v>
      </c>
      <c r="D411" s="1" t="s">
        <v>2322</v>
      </c>
      <c r="E411" s="1" t="s">
        <v>2323</v>
      </c>
      <c r="F411" s="1" t="s">
        <v>2324</v>
      </c>
      <c r="G411" s="1" t="s">
        <v>74</v>
      </c>
      <c r="H411" s="1" t="str">
        <f aca="false">IF(G411="BUG","BUG-"&amp;A411,IF(G411="FUNCTIONAL","FUNCTIONAL-"&amp;A411,""))</f>
        <v/>
      </c>
      <c r="I411" s="1" t="s">
        <v>56</v>
      </c>
      <c r="L411" s="1" t="s">
        <v>2325</v>
      </c>
    </row>
    <row r="412" customFormat="false" ht="15" hidden="false" customHeight="true" outlineLevel="0" collapsed="false">
      <c r="A412" s="1" t="s">
        <v>2326</v>
      </c>
      <c r="B412" s="1" t="s">
        <v>2327</v>
      </c>
      <c r="C412" s="1" t="s">
        <v>2328</v>
      </c>
      <c r="D412" s="1" t="s">
        <v>2329</v>
      </c>
      <c r="E412" s="1" t="s">
        <v>2330</v>
      </c>
      <c r="F412" s="1" t="s">
        <v>2331</v>
      </c>
      <c r="G412" s="1" t="s">
        <v>41</v>
      </c>
      <c r="H412" s="1" t="str">
        <f aca="false">IF(G412="BUG","BUG-"&amp;A412,IF(G412="FUNCTIONAL","FUNCTIONAL-"&amp;A412,""))</f>
        <v/>
      </c>
      <c r="I412" s="1" t="s">
        <v>42</v>
      </c>
      <c r="L412" s="1" t="s">
        <v>2332</v>
      </c>
    </row>
    <row r="413" customFormat="false" ht="15" hidden="false" customHeight="true" outlineLevel="0" collapsed="false">
      <c r="A413" s="1" t="s">
        <v>2333</v>
      </c>
      <c r="B413" s="1" t="s">
        <v>2334</v>
      </c>
      <c r="C413" s="1" t="s">
        <v>2335</v>
      </c>
      <c r="D413" s="1" t="s">
        <v>2336</v>
      </c>
      <c r="E413" s="1" t="s">
        <v>2337</v>
      </c>
      <c r="F413" s="1" t="s">
        <v>2338</v>
      </c>
      <c r="G413" s="1" t="s">
        <v>2339</v>
      </c>
      <c r="H413" s="1" t="str">
        <f aca="false">IF(G413="BUG","BUG-"&amp;A413,IF(G413="FUNCTIONAL","FUNCTIONAL-"&amp;A413,""))</f>
        <v/>
      </c>
      <c r="I413" s="1" t="s">
        <v>56</v>
      </c>
      <c r="L413" s="1" t="s">
        <v>2340</v>
      </c>
    </row>
    <row r="414" customFormat="false" ht="15" hidden="false" customHeight="true" outlineLevel="0" collapsed="false">
      <c r="A414" s="1" t="s">
        <v>2341</v>
      </c>
      <c r="B414" s="1" t="s">
        <v>2308</v>
      </c>
      <c r="C414" s="1" t="s">
        <v>2342</v>
      </c>
      <c r="D414" s="1" t="s">
        <v>1188</v>
      </c>
      <c r="E414" s="1" t="s">
        <v>2343</v>
      </c>
      <c r="F414" s="1" t="s">
        <v>2344</v>
      </c>
      <c r="G414" s="1" t="s">
        <v>74</v>
      </c>
      <c r="H414" s="1" t="str">
        <f aca="false">IF(G414="BUG","BUG-"&amp;A414,IF(G414="FUNCTIONAL","FUNCTIONAL-"&amp;A414,""))</f>
        <v/>
      </c>
      <c r="I414" s="1" t="s">
        <v>65</v>
      </c>
      <c r="L414" s="1" t="s">
        <v>2345</v>
      </c>
    </row>
    <row r="415" customFormat="false" ht="15" hidden="false" customHeight="true" outlineLevel="0" collapsed="false">
      <c r="A415" s="1" t="s">
        <v>2346</v>
      </c>
      <c r="B415" s="1" t="s">
        <v>2308</v>
      </c>
      <c r="C415" s="1" t="s">
        <v>2347</v>
      </c>
      <c r="D415" s="1" t="s">
        <v>1188</v>
      </c>
      <c r="E415" s="1" t="s">
        <v>2348</v>
      </c>
      <c r="F415" s="1" t="s">
        <v>2344</v>
      </c>
      <c r="G415" s="1" t="s">
        <v>74</v>
      </c>
      <c r="H415" s="1" t="str">
        <f aca="false">IF(G415="BUG","BUG-"&amp;A415,IF(G415="FUNCTIONAL","FUNCTIONAL-"&amp;A415,""))</f>
        <v/>
      </c>
      <c r="I415" s="1" t="s">
        <v>65</v>
      </c>
      <c r="L415" s="1" t="s">
        <v>2349</v>
      </c>
    </row>
    <row r="416" customFormat="false" ht="15" hidden="false" customHeight="true" outlineLevel="0" collapsed="false">
      <c r="A416" s="1" t="s">
        <v>2350</v>
      </c>
      <c r="B416" s="1" t="s">
        <v>2351</v>
      </c>
      <c r="C416" s="1" t="s">
        <v>2352</v>
      </c>
      <c r="D416" s="1" t="s">
        <v>2353</v>
      </c>
      <c r="E416" s="1" t="s">
        <v>2354</v>
      </c>
      <c r="F416" s="1" t="s">
        <v>2355</v>
      </c>
      <c r="G416" s="1" t="s">
        <v>74</v>
      </c>
      <c r="H416" s="1" t="str">
        <f aca="false">IF(G416="BUG","BUG-"&amp;A416,IF(G416="FUNCTIONAL","FUNCTIONAL-"&amp;A416,""))</f>
        <v/>
      </c>
      <c r="I416" s="1" t="s">
        <v>56</v>
      </c>
      <c r="L416" s="1" t="s">
        <v>2356</v>
      </c>
    </row>
    <row r="417" customFormat="false" ht="15" hidden="false" customHeight="true" outlineLevel="0" collapsed="false">
      <c r="A417" s="1" t="s">
        <v>2357</v>
      </c>
      <c r="B417" s="1" t="s">
        <v>2358</v>
      </c>
      <c r="C417" s="1" t="s">
        <v>2359</v>
      </c>
      <c r="D417" s="1" t="s">
        <v>2360</v>
      </c>
      <c r="E417" s="1" t="s">
        <v>2361</v>
      </c>
      <c r="F417" s="1" t="s">
        <v>2362</v>
      </c>
      <c r="G417" s="1" t="s">
        <v>74</v>
      </c>
      <c r="H417" s="1" t="str">
        <f aca="false">IF(G417="BUG","BUG-"&amp;A417,IF(G417="FUNCTIONAL","FUNCTIONAL-"&amp;A417,""))</f>
        <v/>
      </c>
      <c r="I417" s="1" t="s">
        <v>65</v>
      </c>
      <c r="L417" s="1" t="s">
        <v>2363</v>
      </c>
    </row>
    <row r="418" customFormat="false" ht="15" hidden="false" customHeight="true" outlineLevel="0" collapsed="false">
      <c r="A418" s="1" t="s">
        <v>2364</v>
      </c>
      <c r="B418" s="1" t="s">
        <v>2358</v>
      </c>
      <c r="C418" s="1" t="s">
        <v>2365</v>
      </c>
      <c r="D418" s="1" t="s">
        <v>2360</v>
      </c>
      <c r="E418" s="1" t="s">
        <v>2366</v>
      </c>
      <c r="F418" s="1" t="s">
        <v>2367</v>
      </c>
      <c r="G418" s="1" t="s">
        <v>74</v>
      </c>
      <c r="H418" s="1" t="str">
        <f aca="false">IF(G418="BUG","BUG-"&amp;A418,IF(G418="FUNCTIONAL","FUNCTIONAL-"&amp;A418,""))</f>
        <v/>
      </c>
      <c r="I418" s="1" t="s">
        <v>65</v>
      </c>
      <c r="L418" s="1" t="s">
        <v>2368</v>
      </c>
    </row>
    <row r="419" customFormat="false" ht="15" hidden="false" customHeight="true" outlineLevel="0" collapsed="false">
      <c r="A419" s="1" t="s">
        <v>2369</v>
      </c>
      <c r="B419" s="1" t="s">
        <v>2370</v>
      </c>
      <c r="C419" s="1" t="s">
        <v>2371</v>
      </c>
      <c r="D419" s="1" t="s">
        <v>2372</v>
      </c>
      <c r="E419" s="1" t="s">
        <v>2373</v>
      </c>
      <c r="F419" s="1" t="s">
        <v>2374</v>
      </c>
      <c r="G419" s="1" t="s">
        <v>74</v>
      </c>
      <c r="H419" s="1" t="str">
        <f aca="false">IF(G419="BUG","BUG-"&amp;A419,IF(G419="FUNCTIONAL","FUNCTIONAL-"&amp;A419,""))</f>
        <v/>
      </c>
      <c r="I419" s="1" t="s">
        <v>56</v>
      </c>
      <c r="L419" s="1" t="s">
        <v>2375</v>
      </c>
    </row>
    <row r="420" customFormat="false" ht="15" hidden="false" customHeight="true" outlineLevel="0" collapsed="false">
      <c r="A420" s="1" t="s">
        <v>2376</v>
      </c>
      <c r="B420" s="1" t="s">
        <v>2370</v>
      </c>
      <c r="C420" s="1" t="s">
        <v>2377</v>
      </c>
      <c r="D420" s="1" t="s">
        <v>2378</v>
      </c>
      <c r="E420" s="1" t="s">
        <v>2379</v>
      </c>
      <c r="F420" s="1" t="s">
        <v>2380</v>
      </c>
      <c r="G420" s="1" t="s">
        <v>74</v>
      </c>
      <c r="H420" s="1" t="str">
        <f aca="false">IF(G420="BUG","BUG-"&amp;A420,IF(G420="FUNCTIONAL","FUNCTIONAL-"&amp;A420,""))</f>
        <v/>
      </c>
      <c r="I420" s="1" t="s">
        <v>56</v>
      </c>
      <c r="L420" s="1" t="s">
        <v>2381</v>
      </c>
    </row>
    <row r="421" customFormat="false" ht="15" hidden="false" customHeight="true" outlineLevel="0" collapsed="false">
      <c r="A421" s="1" t="s">
        <v>2382</v>
      </c>
      <c r="B421" s="1" t="s">
        <v>2383</v>
      </c>
      <c r="C421" s="1" t="s">
        <v>2384</v>
      </c>
      <c r="D421" s="1" t="s">
        <v>2385</v>
      </c>
      <c r="E421" s="1" t="s">
        <v>2386</v>
      </c>
      <c r="F421" s="1" t="s">
        <v>2387</v>
      </c>
      <c r="G421" s="1" t="s">
        <v>74</v>
      </c>
      <c r="H421" s="1" t="str">
        <f aca="false">IF(G421="BUG","BUG-"&amp;A421,IF(G421="FUNCTIONAL","FUNCTIONAL-"&amp;A421,""))</f>
        <v/>
      </c>
      <c r="I421" s="1" t="s">
        <v>56</v>
      </c>
      <c r="L421" s="1" t="s">
        <v>2388</v>
      </c>
    </row>
    <row r="422" customFormat="false" ht="15" hidden="false" customHeight="true" outlineLevel="0" collapsed="false">
      <c r="A422" s="1" t="s">
        <v>2389</v>
      </c>
      <c r="B422" s="1" t="s">
        <v>2390</v>
      </c>
      <c r="C422" s="1" t="s">
        <v>2391</v>
      </c>
      <c r="D422" s="1" t="s">
        <v>2385</v>
      </c>
      <c r="E422" s="1" t="s">
        <v>2392</v>
      </c>
      <c r="F422" s="1" t="s">
        <v>2393</v>
      </c>
      <c r="G422" s="1" t="s">
        <v>74</v>
      </c>
      <c r="H422" s="1" t="str">
        <f aca="false">IF(G422="BUG","BUG-"&amp;A422,IF(G422="FUNCTIONAL","FUNCTIONAL-"&amp;A422,""))</f>
        <v/>
      </c>
      <c r="I422" s="1" t="s">
        <v>65</v>
      </c>
      <c r="L422" s="1" t="s">
        <v>2394</v>
      </c>
    </row>
    <row r="423" customFormat="false" ht="15" hidden="false" customHeight="true" outlineLevel="0" collapsed="false">
      <c r="A423" s="1" t="s">
        <v>2395</v>
      </c>
      <c r="B423" s="1" t="s">
        <v>2396</v>
      </c>
      <c r="C423" s="1" t="s">
        <v>2397</v>
      </c>
      <c r="D423" s="1" t="s">
        <v>2398</v>
      </c>
      <c r="E423" s="1" t="s">
        <v>2399</v>
      </c>
      <c r="F423" s="1" t="s">
        <v>2400</v>
      </c>
      <c r="G423" s="1" t="s">
        <v>74</v>
      </c>
      <c r="H423" s="1" t="str">
        <f aca="false">IF(G423="BUG","BUG-"&amp;A423,IF(G423="FUNCTIONAL","FUNCTIONAL-"&amp;A423,""))</f>
        <v/>
      </c>
      <c r="I423" s="1" t="s">
        <v>56</v>
      </c>
      <c r="L423" s="1" t="s">
        <v>2401</v>
      </c>
    </row>
    <row r="424" customFormat="false" ht="15" hidden="false" customHeight="true" outlineLevel="0" collapsed="false">
      <c r="A424" s="1" t="s">
        <v>2402</v>
      </c>
      <c r="B424" s="1" t="s">
        <v>2403</v>
      </c>
      <c r="C424" s="1" t="s">
        <v>2404</v>
      </c>
      <c r="D424" s="1" t="s">
        <v>2398</v>
      </c>
      <c r="E424" s="1" t="s">
        <v>2405</v>
      </c>
      <c r="F424" s="1" t="s">
        <v>2406</v>
      </c>
      <c r="G424" s="1" t="s">
        <v>74</v>
      </c>
      <c r="H424" s="1" t="str">
        <f aca="false">IF(G424="BUG","BUG-"&amp;A424,IF(G424="FUNCTIONAL","FUNCTIONAL-"&amp;A424,""))</f>
        <v/>
      </c>
      <c r="I424" s="1" t="s">
        <v>65</v>
      </c>
      <c r="L424" s="1" t="s">
        <v>2407</v>
      </c>
    </row>
    <row r="425" customFormat="false" ht="15" hidden="false" customHeight="true" outlineLevel="0" collapsed="false">
      <c r="A425" s="1" t="s">
        <v>2408</v>
      </c>
      <c r="B425" s="1" t="s">
        <v>2409</v>
      </c>
      <c r="C425" s="1" t="s">
        <v>2410</v>
      </c>
      <c r="D425" s="1" t="s">
        <v>2398</v>
      </c>
      <c r="E425" s="1" t="s">
        <v>2411</v>
      </c>
      <c r="F425" s="1" t="s">
        <v>2412</v>
      </c>
      <c r="G425" s="1" t="s">
        <v>74</v>
      </c>
      <c r="H425" s="1" t="str">
        <f aca="false">IF(G425="BUG","BUG-"&amp;A425,IF(G425="FUNCTIONAL","FUNCTIONAL-"&amp;A425,""))</f>
        <v/>
      </c>
      <c r="I425" s="1" t="s">
        <v>56</v>
      </c>
      <c r="L425" s="1" t="s">
        <v>2413</v>
      </c>
    </row>
    <row r="426" customFormat="false" ht="15" hidden="false" customHeight="true" outlineLevel="0" collapsed="false">
      <c r="A426" s="1" t="s">
        <v>2414</v>
      </c>
      <c r="B426" s="1" t="s">
        <v>2415</v>
      </c>
      <c r="C426" s="1" t="s">
        <v>2416</v>
      </c>
      <c r="D426" s="1" t="s">
        <v>2385</v>
      </c>
      <c r="E426" s="1" t="s">
        <v>2417</v>
      </c>
      <c r="F426" s="1" t="s">
        <v>2418</v>
      </c>
      <c r="G426" s="1" t="s">
        <v>74</v>
      </c>
      <c r="H426" s="1" t="str">
        <f aca="false">IF(G426="BUG","BUG-"&amp;A426,IF(G426="FUNCTIONAL","FUNCTIONAL-"&amp;A426,""))</f>
        <v/>
      </c>
      <c r="I426" s="1" t="s">
        <v>56</v>
      </c>
      <c r="L426" s="1" t="s">
        <v>2419</v>
      </c>
    </row>
    <row r="427" customFormat="false" ht="15" hidden="false" customHeight="true" outlineLevel="0" collapsed="false">
      <c r="A427" s="1" t="s">
        <v>2420</v>
      </c>
      <c r="B427" s="1" t="s">
        <v>2421</v>
      </c>
      <c r="C427" s="1" t="s">
        <v>2422</v>
      </c>
      <c r="D427" s="1" t="s">
        <v>2423</v>
      </c>
      <c r="E427" s="1" t="s">
        <v>2424</v>
      </c>
      <c r="F427" s="1" t="s">
        <v>2425</v>
      </c>
      <c r="G427" s="1" t="s">
        <v>74</v>
      </c>
      <c r="H427" s="1" t="str">
        <f aca="false">IF(G427="BUG","BUG-"&amp;A427,IF(G427="FUNCTIONAL","FUNCTIONAL-"&amp;A427,""))</f>
        <v/>
      </c>
      <c r="I427" s="1" t="s">
        <v>42</v>
      </c>
      <c r="L427" s="1" t="s">
        <v>2426</v>
      </c>
    </row>
    <row r="428" customFormat="false" ht="15" hidden="false" customHeight="true" outlineLevel="0" collapsed="false">
      <c r="A428" s="1" t="s">
        <v>2427</v>
      </c>
      <c r="B428" s="1" t="s">
        <v>2428</v>
      </c>
      <c r="C428" s="1" t="s">
        <v>2429</v>
      </c>
      <c r="D428" s="1" t="s">
        <v>2430</v>
      </c>
      <c r="E428" s="1" t="s">
        <v>2431</v>
      </c>
      <c r="F428" s="1" t="s">
        <v>2432</v>
      </c>
      <c r="G428" s="1" t="s">
        <v>74</v>
      </c>
      <c r="H428" s="1" t="str">
        <f aca="false">IF(G428="BUG","BUG-"&amp;A428,IF(G428="FUNCTIONAL","FUNCTIONAL-"&amp;A428,""))</f>
        <v/>
      </c>
      <c r="I428" s="1" t="s">
        <v>42</v>
      </c>
      <c r="L428" s="1" t="s">
        <v>2433</v>
      </c>
    </row>
    <row r="429" customFormat="false" ht="15" hidden="false" customHeight="true" outlineLevel="0" collapsed="false">
      <c r="A429" s="1" t="s">
        <v>2434</v>
      </c>
      <c r="B429" s="1" t="s">
        <v>2435</v>
      </c>
      <c r="C429" s="1" t="s">
        <v>2436</v>
      </c>
      <c r="D429" s="1" t="s">
        <v>2437</v>
      </c>
      <c r="E429" s="1" t="s">
        <v>2438</v>
      </c>
      <c r="F429" s="1" t="s">
        <v>2439</v>
      </c>
      <c r="G429" s="1" t="s">
        <v>74</v>
      </c>
      <c r="H429" s="1" t="str">
        <f aca="false">IF(G429="BUG","BUG-"&amp;A429,IF(G429="FUNCTIONAL","FUNCTIONAL-"&amp;A429,""))</f>
        <v/>
      </c>
      <c r="I429" s="1" t="s">
        <v>56</v>
      </c>
      <c r="L429" s="1" t="s">
        <v>2440</v>
      </c>
    </row>
    <row r="430" customFormat="false" ht="15" hidden="false" customHeight="true" outlineLevel="0" collapsed="false">
      <c r="A430" s="1" t="s">
        <v>2441</v>
      </c>
      <c r="B430" s="1" t="s">
        <v>2442</v>
      </c>
      <c r="C430" s="1" t="s">
        <v>2443</v>
      </c>
      <c r="D430" s="1" t="s">
        <v>2444</v>
      </c>
      <c r="E430" s="1" t="s">
        <v>2445</v>
      </c>
      <c r="F430" s="1" t="s">
        <v>2446</v>
      </c>
      <c r="G430" s="1" t="s">
        <v>74</v>
      </c>
      <c r="H430" s="1" t="str">
        <f aca="false">IF(G430="BUG","BUG-"&amp;A430,IF(G430="FUNCTIONAL","FUNCTIONAL-"&amp;A430,""))</f>
        <v/>
      </c>
      <c r="I430" s="1" t="s">
        <v>56</v>
      </c>
      <c r="L430" s="1" t="s">
        <v>2447</v>
      </c>
    </row>
    <row r="431" customFormat="false" ht="15" hidden="false" customHeight="true" outlineLevel="0" collapsed="false">
      <c r="A431" s="1" t="s">
        <v>2448</v>
      </c>
      <c r="B431" s="1" t="s">
        <v>2449</v>
      </c>
      <c r="C431" s="1" t="s">
        <v>2450</v>
      </c>
      <c r="D431" s="1" t="s">
        <v>2451</v>
      </c>
      <c r="E431" s="1" t="s">
        <v>2452</v>
      </c>
      <c r="F431" s="1" t="s">
        <v>2453</v>
      </c>
      <c r="G431" s="1" t="s">
        <v>74</v>
      </c>
      <c r="H431" s="1" t="str">
        <f aca="false">IF(G431="BUG","BUG-"&amp;A431,IF(G431="FUNCTIONAL","FUNCTIONAL-"&amp;A431,""))</f>
        <v/>
      </c>
      <c r="I431" s="1" t="s">
        <v>42</v>
      </c>
      <c r="L431" s="1" t="s">
        <v>2454</v>
      </c>
    </row>
    <row r="432" customFormat="false" ht="15" hidden="false" customHeight="true" outlineLevel="0" collapsed="false">
      <c r="A432" s="1" t="s">
        <v>2455</v>
      </c>
      <c r="B432" s="1" t="s">
        <v>2456</v>
      </c>
      <c r="C432" s="1" t="s">
        <v>2457</v>
      </c>
      <c r="D432" s="1" t="s">
        <v>2458</v>
      </c>
      <c r="E432" s="1" t="s">
        <v>2459</v>
      </c>
      <c r="F432" s="1" t="s">
        <v>2460</v>
      </c>
      <c r="G432" s="1" t="s">
        <v>74</v>
      </c>
      <c r="H432" s="1" t="str">
        <f aca="false">IF(G432="BUG","BUG-"&amp;A432,IF(G432="FUNCTIONAL","FUNCTIONAL-"&amp;A432,""))</f>
        <v/>
      </c>
      <c r="I432" s="1" t="s">
        <v>56</v>
      </c>
      <c r="L432" s="1" t="s">
        <v>2461</v>
      </c>
    </row>
    <row r="433" customFormat="false" ht="15" hidden="false" customHeight="true" outlineLevel="0" collapsed="false">
      <c r="A433" s="1" t="s">
        <v>2462</v>
      </c>
      <c r="B433" s="1" t="s">
        <v>2463</v>
      </c>
      <c r="C433" s="1" t="s">
        <v>2464</v>
      </c>
      <c r="D433" s="1" t="s">
        <v>2465</v>
      </c>
      <c r="E433" s="1" t="s">
        <v>2466</v>
      </c>
      <c r="F433" s="1" t="s">
        <v>2467</v>
      </c>
      <c r="G433" s="1" t="s">
        <v>74</v>
      </c>
      <c r="H433" s="1" t="str">
        <f aca="false">IF(G433="BUG","BUG-"&amp;A433,IF(G433="FUNCTIONAL","FUNCTIONAL-"&amp;A433,""))</f>
        <v/>
      </c>
      <c r="I433" s="1" t="s">
        <v>42</v>
      </c>
      <c r="L433" s="1" t="s">
        <v>2468</v>
      </c>
    </row>
    <row r="434" customFormat="false" ht="15" hidden="false" customHeight="true" outlineLevel="0" collapsed="false">
      <c r="A434" s="1" t="s">
        <v>2469</v>
      </c>
      <c r="B434" s="1" t="s">
        <v>2470</v>
      </c>
      <c r="C434" s="1" t="s">
        <v>2471</v>
      </c>
      <c r="D434" s="1" t="s">
        <v>2472</v>
      </c>
      <c r="E434" s="1" t="s">
        <v>2473</v>
      </c>
      <c r="F434" s="1" t="s">
        <v>2474</v>
      </c>
      <c r="G434" s="1" t="s">
        <v>74</v>
      </c>
      <c r="H434" s="1" t="str">
        <f aca="false">IF(G434="BUG","BUG-"&amp;A434,IF(G434="FUNCTIONAL","FUNCTIONAL-"&amp;A434,""))</f>
        <v/>
      </c>
      <c r="I434" s="1" t="s">
        <v>56</v>
      </c>
      <c r="L434" s="1" t="s">
        <v>2475</v>
      </c>
    </row>
    <row r="435" customFormat="false" ht="15" hidden="false" customHeight="true" outlineLevel="0" collapsed="false">
      <c r="A435" s="1" t="s">
        <v>2476</v>
      </c>
      <c r="B435" s="1" t="s">
        <v>2477</v>
      </c>
      <c r="C435" s="1" t="s">
        <v>2478</v>
      </c>
      <c r="D435" s="1" t="s">
        <v>2479</v>
      </c>
      <c r="E435" s="1" t="s">
        <v>2480</v>
      </c>
      <c r="F435" s="1" t="s">
        <v>2481</v>
      </c>
      <c r="G435" s="1" t="s">
        <v>74</v>
      </c>
      <c r="H435" s="1" t="str">
        <f aca="false">IF(G435="BUG","BUG-"&amp;A435,IF(G435="FUNCTIONAL","FUNCTIONAL-"&amp;A435,""))</f>
        <v/>
      </c>
      <c r="I435" s="1" t="s">
        <v>42</v>
      </c>
      <c r="L435" s="1" t="s">
        <v>2482</v>
      </c>
    </row>
    <row r="436" customFormat="false" ht="15" hidden="false" customHeight="true" outlineLevel="0" collapsed="false">
      <c r="A436" s="1" t="s">
        <v>2483</v>
      </c>
      <c r="B436" s="1" t="s">
        <v>2484</v>
      </c>
      <c r="C436" s="1" t="s">
        <v>2485</v>
      </c>
      <c r="D436" s="1" t="s">
        <v>1188</v>
      </c>
      <c r="E436" s="1" t="s">
        <v>2486</v>
      </c>
      <c r="F436" s="1" t="s">
        <v>2487</v>
      </c>
      <c r="G436" s="1" t="s">
        <v>74</v>
      </c>
      <c r="H436" s="1" t="str">
        <f aca="false">IF(G436="BUG","BUG-"&amp;A436,IF(G436="FUNCTIONAL","FUNCTIONAL-"&amp;A436,""))</f>
        <v/>
      </c>
      <c r="I436" s="1" t="s">
        <v>65</v>
      </c>
      <c r="L436" s="1" t="s">
        <v>2488</v>
      </c>
    </row>
    <row r="437" customFormat="false" ht="15" hidden="false" customHeight="true" outlineLevel="0" collapsed="false">
      <c r="A437" s="10" t="s">
        <v>2489</v>
      </c>
      <c r="B437" s="10" t="s">
        <v>2490</v>
      </c>
      <c r="C437" s="10" t="s">
        <v>2491</v>
      </c>
      <c r="D437" s="10" t="s">
        <v>2492</v>
      </c>
      <c r="E437" s="10" t="s">
        <v>2493</v>
      </c>
      <c r="F437" s="10" t="s">
        <v>2494</v>
      </c>
      <c r="G437" s="10" t="s">
        <v>74</v>
      </c>
      <c r="H437" s="10" t="str">
        <f aca="false">IF(G437="BUG","BUG-"&amp;A437,IF(G437="FUNCTIONAL","FUNCTIONAL-"&amp;A437,""))</f>
        <v/>
      </c>
      <c r="I437" s="10" t="s">
        <v>42</v>
      </c>
      <c r="L437" s="11" t="s">
        <v>2495</v>
      </c>
    </row>
    <row r="438" customFormat="false" ht="15" hidden="false" customHeight="true" outlineLevel="0" collapsed="false">
      <c r="A438" s="10" t="s">
        <v>2496</v>
      </c>
      <c r="B438" s="10" t="s">
        <v>2497</v>
      </c>
      <c r="C438" s="10" t="s">
        <v>2498</v>
      </c>
      <c r="D438" s="10" t="s">
        <v>2499</v>
      </c>
      <c r="E438" s="10" t="s">
        <v>2500</v>
      </c>
      <c r="F438" s="10" t="s">
        <v>2501</v>
      </c>
      <c r="G438" s="10" t="s">
        <v>74</v>
      </c>
      <c r="H438" s="10" t="str">
        <f aca="false">IF(G438="BUG","BUG-"&amp;A438,IF(G438="FUNCTIONAL","FUNCTIONAL-"&amp;A438,""))</f>
        <v/>
      </c>
      <c r="I438" s="10" t="s">
        <v>42</v>
      </c>
      <c r="L438" s="11" t="s">
        <v>2502</v>
      </c>
    </row>
    <row r="439" customFormat="false" ht="15" hidden="false" customHeight="true" outlineLevel="0" collapsed="false">
      <c r="A439" s="10" t="s">
        <v>2503</v>
      </c>
      <c r="B439" s="10" t="s">
        <v>2504</v>
      </c>
      <c r="C439" s="10" t="s">
        <v>2505</v>
      </c>
      <c r="D439" s="10" t="s">
        <v>2506</v>
      </c>
      <c r="E439" s="10" t="s">
        <v>2507</v>
      </c>
      <c r="F439" s="10" t="s">
        <v>2508</v>
      </c>
      <c r="G439" s="10" t="s">
        <v>74</v>
      </c>
      <c r="H439" s="10" t="str">
        <f aca="false">IF(G439="BUG","BUG-"&amp;A439,IF(G439="FUNCTIONAL","FUNCTIONAL-"&amp;A439,""))</f>
        <v/>
      </c>
      <c r="I439" s="10" t="s">
        <v>42</v>
      </c>
      <c r="L439" s="11" t="s">
        <v>2509</v>
      </c>
    </row>
    <row r="440" customFormat="false" ht="15" hidden="false" customHeight="true" outlineLevel="0" collapsed="false">
      <c r="A440" s="10" t="s">
        <v>2510</v>
      </c>
      <c r="B440" s="10" t="s">
        <v>2511</v>
      </c>
      <c r="C440" s="10" t="s">
        <v>2512</v>
      </c>
      <c r="D440" s="10" t="s">
        <v>2513</v>
      </c>
      <c r="E440" s="10" t="s">
        <v>2514</v>
      </c>
      <c r="F440" s="10" t="s">
        <v>2515</v>
      </c>
      <c r="G440" s="10" t="s">
        <v>74</v>
      </c>
      <c r="H440" s="10" t="str">
        <f aca="false">IF(G440="BUG","BUG-"&amp;A440,IF(G440="FUNCTIONAL","FUNCTIONAL-"&amp;A440,""))</f>
        <v/>
      </c>
      <c r="I440" s="10" t="s">
        <v>56</v>
      </c>
      <c r="L440" s="11" t="s">
        <v>2516</v>
      </c>
    </row>
    <row r="441" customFormat="false" ht="15" hidden="false" customHeight="true" outlineLevel="0" collapsed="false">
      <c r="A441" s="10" t="s">
        <v>2517</v>
      </c>
      <c r="B441" s="10" t="s">
        <v>2518</v>
      </c>
      <c r="C441" s="10" t="s">
        <v>2519</v>
      </c>
      <c r="D441" s="10" t="s">
        <v>2520</v>
      </c>
      <c r="E441" s="10" t="s">
        <v>2521</v>
      </c>
      <c r="F441" s="10" t="s">
        <v>2522</v>
      </c>
      <c r="G441" s="10" t="s">
        <v>74</v>
      </c>
      <c r="H441" s="10" t="str">
        <f aca="false">IF(G441="BUG","BUG-"&amp;A441,IF(G441="FUNCTIONAL","FUNCTIONAL-"&amp;A441,""))</f>
        <v/>
      </c>
      <c r="I441" s="10" t="s">
        <v>42</v>
      </c>
      <c r="L441" s="11" t="s">
        <v>2523</v>
      </c>
    </row>
    <row r="442" customFormat="false" ht="15" hidden="false" customHeight="true" outlineLevel="0" collapsed="false">
      <c r="A442" s="10" t="s">
        <v>2524</v>
      </c>
      <c r="B442" s="10" t="s">
        <v>2525</v>
      </c>
      <c r="C442" s="10" t="s">
        <v>2526</v>
      </c>
      <c r="D442" s="10" t="s">
        <v>2527</v>
      </c>
      <c r="E442" s="10" t="s">
        <v>2528</v>
      </c>
      <c r="F442" s="10" t="s">
        <v>2529</v>
      </c>
      <c r="G442" s="10" t="s">
        <v>74</v>
      </c>
      <c r="H442" s="10" t="str">
        <f aca="false">IF(G442="BUG","BUG-"&amp;A442,IF(G442="FUNCTIONAL","FUNCTIONAL-"&amp;A442,""))</f>
        <v/>
      </c>
      <c r="I442" s="10" t="s">
        <v>56</v>
      </c>
      <c r="L442" s="11" t="s">
        <v>2530</v>
      </c>
    </row>
    <row r="443" customFormat="false" ht="15" hidden="false" customHeight="true" outlineLevel="0" collapsed="false">
      <c r="A443" s="10" t="s">
        <v>2531</v>
      </c>
      <c r="B443" s="10" t="s">
        <v>2532</v>
      </c>
      <c r="C443" s="10" t="s">
        <v>2533</v>
      </c>
      <c r="D443" s="10" t="s">
        <v>2534</v>
      </c>
      <c r="E443" s="10" t="s">
        <v>2535</v>
      </c>
      <c r="F443" s="10" t="s">
        <v>2536</v>
      </c>
      <c r="G443" s="10" t="s">
        <v>74</v>
      </c>
      <c r="H443" s="10" t="str">
        <f aca="false">IF(G443="BUG","BUG-"&amp;A443,IF(G443="FUNCTIONAL","FUNCTIONAL-"&amp;A443,""))</f>
        <v/>
      </c>
      <c r="I443" s="10" t="s">
        <v>56</v>
      </c>
      <c r="L443" s="11" t="s">
        <v>2537</v>
      </c>
    </row>
    <row r="444" customFormat="false" ht="15" hidden="false" customHeight="true" outlineLevel="0" collapsed="false">
      <c r="A444" s="10" t="s">
        <v>2538</v>
      </c>
      <c r="B444" s="10" t="s">
        <v>2358</v>
      </c>
      <c r="C444" s="10" t="s">
        <v>2539</v>
      </c>
      <c r="D444" s="10" t="s">
        <v>2540</v>
      </c>
      <c r="E444" s="10" t="s">
        <v>2541</v>
      </c>
      <c r="F444" s="10" t="s">
        <v>2542</v>
      </c>
      <c r="G444" s="10" t="s">
        <v>74</v>
      </c>
      <c r="H444" s="10" t="str">
        <f aca="false">IF(G444="BUG","BUG-"&amp;A444,IF(G444="FUNCTIONAL","FUNCTIONAL-"&amp;A444,""))</f>
        <v/>
      </c>
      <c r="I444" s="10" t="s">
        <v>65</v>
      </c>
      <c r="L444" s="11" t="s">
        <v>2543</v>
      </c>
    </row>
    <row r="445" customFormat="false" ht="15" hidden="false" customHeight="true" outlineLevel="0" collapsed="false">
      <c r="A445" s="10" t="s">
        <v>2544</v>
      </c>
      <c r="B445" s="10" t="s">
        <v>2358</v>
      </c>
      <c r="C445" s="10" t="s">
        <v>2545</v>
      </c>
      <c r="D445" s="10" t="s">
        <v>2546</v>
      </c>
      <c r="E445" s="10" t="s">
        <v>2547</v>
      </c>
      <c r="F445" s="10" t="s">
        <v>2548</v>
      </c>
      <c r="G445" s="10" t="s">
        <v>74</v>
      </c>
      <c r="H445" s="10" t="str">
        <f aca="false">IF(G445="BUG","BUG-"&amp;A445,IF(G445="FUNCTIONAL","FUNCTIONAL-"&amp;A445,""))</f>
        <v/>
      </c>
      <c r="I445" s="10" t="s">
        <v>56</v>
      </c>
      <c r="L445" s="11" t="s">
        <v>2549</v>
      </c>
    </row>
    <row r="446" customFormat="false" ht="15" hidden="false" customHeight="true" outlineLevel="0" collapsed="false">
      <c r="A446" s="10" t="s">
        <v>2550</v>
      </c>
      <c r="B446" s="10" t="s">
        <v>2551</v>
      </c>
      <c r="C446" s="10" t="s">
        <v>2552</v>
      </c>
      <c r="D446" s="10" t="s">
        <v>2553</v>
      </c>
      <c r="E446" s="10" t="s">
        <v>2554</v>
      </c>
      <c r="F446" s="10" t="s">
        <v>2555</v>
      </c>
      <c r="G446" s="10" t="s">
        <v>538</v>
      </c>
      <c r="H446" s="10" t="str">
        <f aca="false">IF(G446="BUG","BUG-"&amp;A446,IF(G446="FUNCTIONAL","FUNCTIONAL-"&amp;A446,""))</f>
        <v/>
      </c>
      <c r="I446" s="10" t="s">
        <v>56</v>
      </c>
      <c r="L446" s="11" t="s">
        <v>2556</v>
      </c>
    </row>
    <row r="447" customFormat="false" ht="15" hidden="false" customHeight="true" outlineLevel="0" collapsed="false">
      <c r="A447" s="10" t="s">
        <v>2557</v>
      </c>
      <c r="B447" s="10" t="s">
        <v>2358</v>
      </c>
      <c r="C447" s="10" t="s">
        <v>2558</v>
      </c>
      <c r="D447" s="10" t="s">
        <v>2559</v>
      </c>
      <c r="E447" s="10" t="s">
        <v>2560</v>
      </c>
      <c r="F447" s="10" t="s">
        <v>2561</v>
      </c>
      <c r="G447" s="10" t="s">
        <v>74</v>
      </c>
      <c r="H447" s="10" t="str">
        <f aca="false">IF(G447="BUG","BUG-"&amp;A447,IF(G447="FUNCTIONAL","FUNCTIONAL-"&amp;A447,""))</f>
        <v/>
      </c>
      <c r="I447" s="10" t="s">
        <v>42</v>
      </c>
      <c r="L447" s="11" t="s">
        <v>2562</v>
      </c>
    </row>
    <row r="448" customFormat="false" ht="15" hidden="false" customHeight="true" outlineLevel="0" collapsed="false">
      <c r="A448" s="10" t="s">
        <v>2563</v>
      </c>
      <c r="B448" s="10" t="s">
        <v>2358</v>
      </c>
      <c r="C448" s="10" t="s">
        <v>2564</v>
      </c>
      <c r="D448" s="10" t="s">
        <v>2565</v>
      </c>
      <c r="E448" s="10" t="s">
        <v>2566</v>
      </c>
      <c r="F448" s="10" t="s">
        <v>2567</v>
      </c>
      <c r="G448" s="10" t="s">
        <v>74</v>
      </c>
      <c r="H448" s="10" t="str">
        <f aca="false">IF(G448="BUG","BUG-"&amp;A448,IF(G448="FUNCTIONAL","FUNCTIONAL-"&amp;A448,""))</f>
        <v/>
      </c>
      <c r="I448" s="10" t="s">
        <v>42</v>
      </c>
      <c r="L448" s="11" t="s">
        <v>2568</v>
      </c>
    </row>
    <row r="449" customFormat="false" ht="15" hidden="false" customHeight="true" outlineLevel="0" collapsed="false">
      <c r="A449" s="10" t="s">
        <v>2569</v>
      </c>
      <c r="B449" s="10" t="s">
        <v>2358</v>
      </c>
      <c r="C449" s="10" t="s">
        <v>2570</v>
      </c>
      <c r="D449" s="10" t="s">
        <v>2571</v>
      </c>
      <c r="E449" s="10" t="s">
        <v>2572</v>
      </c>
      <c r="F449" s="10" t="s">
        <v>2573</v>
      </c>
      <c r="G449" s="10" t="s">
        <v>74</v>
      </c>
      <c r="H449" s="10" t="str">
        <f aca="false">IF(G449="BUG","BUG-"&amp;A449,IF(G449="FUNCTIONAL","FUNCTIONAL-"&amp;A449,""))</f>
        <v/>
      </c>
      <c r="I449" s="10" t="s">
        <v>42</v>
      </c>
      <c r="L449" s="11" t="s">
        <v>2574</v>
      </c>
    </row>
    <row r="450" customFormat="false" ht="15" hidden="false" customHeight="true" outlineLevel="0" collapsed="false">
      <c r="A450" s="10" t="s">
        <v>2575</v>
      </c>
      <c r="B450" s="10" t="s">
        <v>2551</v>
      </c>
      <c r="C450" s="10" t="s">
        <v>2576</v>
      </c>
      <c r="D450" s="10" t="s">
        <v>2577</v>
      </c>
      <c r="E450" s="10" t="s">
        <v>2554</v>
      </c>
      <c r="F450" s="10" t="s">
        <v>2578</v>
      </c>
      <c r="G450" s="10" t="s">
        <v>538</v>
      </c>
      <c r="H450" s="10" t="str">
        <f aca="false">IF(G445="BUG","BUG-"&amp;A445,IF(G445="FUNCTIONAL","FUNCTIONAL-"&amp;A445,""))</f>
        <v/>
      </c>
      <c r="I450" s="10" t="s">
        <v>65</v>
      </c>
      <c r="L450" s="11" t="s">
        <v>2579</v>
      </c>
    </row>
    <row r="451" customFormat="false" ht="15" hidden="false" customHeight="true" outlineLevel="0" collapsed="false">
      <c r="A451" s="10" t="s">
        <v>2580</v>
      </c>
      <c r="B451" s="10" t="s">
        <v>2581</v>
      </c>
      <c r="C451" s="10" t="s">
        <v>2582</v>
      </c>
      <c r="D451" s="10" t="s">
        <v>2583</v>
      </c>
      <c r="E451" s="10" t="s">
        <v>2584</v>
      </c>
      <c r="F451" s="10" t="s">
        <v>2585</v>
      </c>
      <c r="G451" s="10" t="s">
        <v>74</v>
      </c>
      <c r="H451" s="10" t="str">
        <f aca="false">IF(G446="BUG","BUG-"&amp;A446,IF(G446="FUNCTIONAL","FUNCTIONAL-"&amp;A446,""))</f>
        <v/>
      </c>
      <c r="I451" s="10" t="s">
        <v>65</v>
      </c>
      <c r="L451" s="11" t="s">
        <v>2586</v>
      </c>
    </row>
    <row r="452" customFormat="false" ht="15" hidden="false" customHeight="true" outlineLevel="0" collapsed="false">
      <c r="A452" s="10" t="s">
        <v>2587</v>
      </c>
      <c r="B452" s="10" t="s">
        <v>2358</v>
      </c>
      <c r="C452" s="10" t="s">
        <v>2588</v>
      </c>
      <c r="D452" s="10" t="s">
        <v>2589</v>
      </c>
      <c r="E452" s="10" t="s">
        <v>2590</v>
      </c>
      <c r="F452" s="10" t="s">
        <v>2591</v>
      </c>
      <c r="G452" s="10" t="s">
        <v>74</v>
      </c>
      <c r="H452" s="10" t="str">
        <f aca="false">IF(G452="BUG","BUG-"&amp;A452,IF(G452="FUNCTIONAL","FUNCTIONAL-"&amp;A452,""))</f>
        <v/>
      </c>
      <c r="I452" s="10" t="s">
        <v>56</v>
      </c>
      <c r="L452" s="11" t="s">
        <v>2592</v>
      </c>
    </row>
    <row r="453" customFormat="false" ht="15" hidden="false" customHeight="true" outlineLevel="0" collapsed="false">
      <c r="A453" s="10" t="s">
        <v>2593</v>
      </c>
      <c r="B453" s="10" t="s">
        <v>2358</v>
      </c>
      <c r="C453" s="10" t="s">
        <v>2594</v>
      </c>
      <c r="D453" s="10" t="s">
        <v>2553</v>
      </c>
      <c r="E453" s="10" t="s">
        <v>2595</v>
      </c>
      <c r="F453" s="10" t="s">
        <v>2596</v>
      </c>
      <c r="G453" s="10" t="s">
        <v>538</v>
      </c>
      <c r="H453" s="10" t="str">
        <f aca="false">IF(G453="BUG","BUG-"&amp;A453,IF(G453="FUNCTIONAL","FUNCTIONAL-"&amp;A453,""))</f>
        <v/>
      </c>
      <c r="I453" s="10" t="s">
        <v>56</v>
      </c>
      <c r="L453" s="11" t="s">
        <v>2597</v>
      </c>
    </row>
    <row r="454" customFormat="false" ht="15" hidden="false" customHeight="true" outlineLevel="0" collapsed="false">
      <c r="A454" s="10" t="s">
        <v>2598</v>
      </c>
      <c r="B454" s="10" t="s">
        <v>2358</v>
      </c>
      <c r="C454" s="10" t="s">
        <v>2599</v>
      </c>
      <c r="D454" s="10" t="s">
        <v>2600</v>
      </c>
      <c r="E454" s="10" t="s">
        <v>2601</v>
      </c>
      <c r="F454" s="10" t="s">
        <v>2602</v>
      </c>
      <c r="G454" s="10" t="s">
        <v>74</v>
      </c>
      <c r="H454" s="10" t="str">
        <f aca="false">IF(G454="BUG","BUG-"&amp;A454,IF(G454="FUNCTIONAL","FUNCTIONAL-"&amp;A454,""))</f>
        <v/>
      </c>
      <c r="I454" s="10" t="s">
        <v>56</v>
      </c>
      <c r="L454" s="11" t="s">
        <v>2603</v>
      </c>
    </row>
    <row r="455" customFormat="false" ht="15" hidden="false" customHeight="true" outlineLevel="0" collapsed="false">
      <c r="A455" s="10" t="s">
        <v>2604</v>
      </c>
      <c r="B455" s="10" t="s">
        <v>2605</v>
      </c>
      <c r="C455" s="10" t="s">
        <v>2606</v>
      </c>
      <c r="D455" s="10" t="s">
        <v>2607</v>
      </c>
      <c r="E455" s="10" t="s">
        <v>2608</v>
      </c>
      <c r="F455" s="10" t="s">
        <v>2609</v>
      </c>
      <c r="G455" s="10" t="s">
        <v>538</v>
      </c>
      <c r="H455" s="10" t="str">
        <f aca="false">IF(G455="BUG","BUG-"&amp;A455,IF(G455="FUNCTIONAL","FUNCTIONAL-"&amp;A455,""))</f>
        <v/>
      </c>
      <c r="I455" s="10" t="s">
        <v>65</v>
      </c>
      <c r="L455" s="11" t="s">
        <v>2610</v>
      </c>
    </row>
    <row r="456" customFormat="false" ht="15" hidden="false" customHeight="true" outlineLevel="0" collapsed="false">
      <c r="A456" s="10" t="s">
        <v>2611</v>
      </c>
      <c r="B456" s="10" t="s">
        <v>2358</v>
      </c>
      <c r="C456" s="10" t="s">
        <v>2612</v>
      </c>
      <c r="D456" s="10" t="s">
        <v>2613</v>
      </c>
      <c r="E456" s="10" t="s">
        <v>2614</v>
      </c>
      <c r="F456" s="10" t="s">
        <v>2615</v>
      </c>
      <c r="G456" s="10" t="s">
        <v>74</v>
      </c>
      <c r="H456" s="10" t="str">
        <f aca="false">IF(G456="BUG","BUG-"&amp;A456,IF(G456="FUNCTIONAL","FUNCTIONAL-"&amp;A456,""))</f>
        <v/>
      </c>
      <c r="I456" s="10" t="s">
        <v>56</v>
      </c>
      <c r="L456" s="11" t="s">
        <v>2616</v>
      </c>
    </row>
    <row r="457" customFormat="false" ht="15" hidden="false" customHeight="true" outlineLevel="0" collapsed="false">
      <c r="A457" s="10" t="s">
        <v>2617</v>
      </c>
      <c r="B457" s="10" t="s">
        <v>2618</v>
      </c>
      <c r="C457" s="10" t="s">
        <v>2619</v>
      </c>
      <c r="D457" s="10" t="s">
        <v>2620</v>
      </c>
      <c r="E457" s="10" t="s">
        <v>2621</v>
      </c>
      <c r="F457" s="10" t="s">
        <v>2622</v>
      </c>
      <c r="H457" s="10" t="str">
        <f aca="false">IF(G457="BUG","BUG-"&amp;A457,IF(G457="FUNCTIONAL","FUNCTIONAL-"&amp;A457,""))</f>
        <v/>
      </c>
      <c r="I457" s="10" t="s">
        <v>56</v>
      </c>
      <c r="L457" s="11" t="s">
        <v>2623</v>
      </c>
    </row>
    <row r="458" customFormat="false" ht="15" hidden="false" customHeight="true" outlineLevel="0" collapsed="false">
      <c r="A458" s="10" t="s">
        <v>2624</v>
      </c>
      <c r="B458" s="10" t="s">
        <v>2625</v>
      </c>
      <c r="C458" s="10" t="s">
        <v>2626</v>
      </c>
      <c r="D458" s="10" t="s">
        <v>2627</v>
      </c>
      <c r="E458" s="10" t="s">
        <v>2628</v>
      </c>
      <c r="F458" s="10" t="s">
        <v>2629</v>
      </c>
      <c r="H458" s="10" t="str">
        <f aca="false">IF(G458="BUG","BUG-"&amp;A458,IF(G458="FUNCTIONAL","FUNCTIONAL-"&amp;A458,""))</f>
        <v/>
      </c>
      <c r="I458" s="10" t="s">
        <v>65</v>
      </c>
      <c r="L458" s="11" t="s">
        <v>2630</v>
      </c>
    </row>
    <row r="459" customFormat="false" ht="15" hidden="false" customHeight="true" outlineLevel="0" collapsed="false">
      <c r="A459" s="10" t="s">
        <v>2631</v>
      </c>
      <c r="B459" s="10" t="s">
        <v>2632</v>
      </c>
      <c r="C459" s="10" t="s">
        <v>2633</v>
      </c>
      <c r="D459" s="10" t="s">
        <v>2634</v>
      </c>
      <c r="E459" s="10" t="s">
        <v>2635</v>
      </c>
      <c r="F459" s="10" t="s">
        <v>2636</v>
      </c>
      <c r="G459" s="10" t="s">
        <v>74</v>
      </c>
      <c r="H459" s="10" t="str">
        <f aca="false">IF(G459="BUG","BUG-"&amp;A459,IF(G459="FUNCTIONAL","FUNCTIONAL-"&amp;A459,""))</f>
        <v/>
      </c>
      <c r="I459" s="10" t="s">
        <v>42</v>
      </c>
      <c r="L459" s="11" t="s">
        <v>2637</v>
      </c>
    </row>
    <row r="460" customFormat="false" ht="15" hidden="false" customHeight="true" outlineLevel="0" collapsed="false">
      <c r="A460" s="10" t="s">
        <v>2638</v>
      </c>
      <c r="B460" s="10" t="s">
        <v>2632</v>
      </c>
      <c r="C460" s="10" t="s">
        <v>2639</v>
      </c>
      <c r="D460" s="10" t="s">
        <v>2634</v>
      </c>
      <c r="E460" s="10" t="s">
        <v>2640</v>
      </c>
      <c r="F460" s="10" t="s">
        <v>2641</v>
      </c>
      <c r="G460" s="10" t="s">
        <v>74</v>
      </c>
      <c r="H460" s="10" t="str">
        <f aca="false">IF(G460="BUG","BUG-"&amp;A460,IF(G460="FUNCTIONAL","FUNCTIONAL-"&amp;A460,""))</f>
        <v/>
      </c>
      <c r="I460" s="10" t="s">
        <v>65</v>
      </c>
      <c r="L460" s="11" t="s">
        <v>2642</v>
      </c>
    </row>
    <row r="461" customFormat="false" ht="15" hidden="false" customHeight="true" outlineLevel="0" collapsed="false">
      <c r="A461" s="10" t="s">
        <v>2643</v>
      </c>
      <c r="B461" s="10" t="s">
        <v>2632</v>
      </c>
      <c r="C461" s="10" t="s">
        <v>2644</v>
      </c>
      <c r="D461" s="10" t="s">
        <v>2634</v>
      </c>
      <c r="E461" s="10" t="s">
        <v>2645</v>
      </c>
      <c r="F461" s="10" t="s">
        <v>2646</v>
      </c>
      <c r="G461" s="10" t="s">
        <v>74</v>
      </c>
      <c r="H461" s="10" t="str">
        <f aca="false">IF(G461="BUG","BUG-"&amp;A461,IF(G461="FUNCTIONAL","FUNCTIONAL-"&amp;A461,""))</f>
        <v/>
      </c>
      <c r="I461" s="10" t="s">
        <v>65</v>
      </c>
      <c r="L461" s="11" t="s">
        <v>2647</v>
      </c>
    </row>
    <row r="462" customFormat="false" ht="15" hidden="false" customHeight="true" outlineLevel="0" collapsed="false">
      <c r="A462" s="10" t="s">
        <v>2510</v>
      </c>
      <c r="B462" s="10" t="s">
        <v>2648</v>
      </c>
      <c r="C462" s="10" t="s">
        <v>2649</v>
      </c>
      <c r="D462" s="10" t="s">
        <v>2650</v>
      </c>
      <c r="E462" s="10" t="s">
        <v>2651</v>
      </c>
      <c r="F462" s="10" t="s">
        <v>2652</v>
      </c>
      <c r="H462" s="10" t="str">
        <f aca="false">IF(G462="BUG","BUG-"&amp;A462,IF(G462="FUNCTIONAL","FUNCTIONAL-"&amp;A462,""))</f>
        <v/>
      </c>
      <c r="I462" s="10" t="s">
        <v>42</v>
      </c>
      <c r="L462" s="11" t="s">
        <v>2653</v>
      </c>
    </row>
    <row r="463" customFormat="false" ht="15" hidden="false" customHeight="true" outlineLevel="0" collapsed="false">
      <c r="A463" s="10" t="s">
        <v>2517</v>
      </c>
      <c r="B463" s="10" t="s">
        <v>2648</v>
      </c>
      <c r="C463" s="10" t="s">
        <v>2654</v>
      </c>
      <c r="D463" s="10" t="s">
        <v>2655</v>
      </c>
      <c r="E463" s="10" t="s">
        <v>2656</v>
      </c>
      <c r="F463" s="10" t="s">
        <v>2657</v>
      </c>
      <c r="H463" s="10" t="str">
        <f aca="false">IF(G463="BUG","BUG-"&amp;A463,IF(G463="FUNCTIONAL","FUNCTIONAL-"&amp;A463,""))</f>
        <v/>
      </c>
      <c r="I463" s="10" t="s">
        <v>56</v>
      </c>
      <c r="L463" s="11" t="s">
        <v>2658</v>
      </c>
    </row>
    <row r="464" customFormat="false" ht="15" hidden="false" customHeight="true" outlineLevel="0" collapsed="false">
      <c r="A464" s="10" t="s">
        <v>2524</v>
      </c>
      <c r="B464" s="10" t="s">
        <v>2659</v>
      </c>
      <c r="C464" s="10" t="s">
        <v>2660</v>
      </c>
      <c r="D464" s="10" t="s">
        <v>2661</v>
      </c>
      <c r="E464" s="10" t="s">
        <v>2662</v>
      </c>
      <c r="F464" s="10" t="s">
        <v>2663</v>
      </c>
      <c r="G464" s="10" t="s">
        <v>538</v>
      </c>
      <c r="H464" s="10" t="str">
        <f aca="false">IF(G464="BUG","BUG-"&amp;A464,IF(G464="FUNCTIONAL","FUNCTIONAL-"&amp;A464,""))</f>
        <v/>
      </c>
      <c r="I464" s="10" t="s">
        <v>56</v>
      </c>
      <c r="L464" s="11" t="s">
        <v>2664</v>
      </c>
    </row>
    <row r="465" customFormat="false" ht="15" hidden="false" customHeight="true" outlineLevel="0" collapsed="false">
      <c r="A465" s="10" t="s">
        <v>2531</v>
      </c>
      <c r="B465" s="10" t="s">
        <v>2659</v>
      </c>
      <c r="C465" s="10" t="s">
        <v>2665</v>
      </c>
      <c r="D465" s="10" t="s">
        <v>2661</v>
      </c>
      <c r="E465" s="10" t="s">
        <v>2666</v>
      </c>
      <c r="F465" s="10" t="s">
        <v>2667</v>
      </c>
      <c r="G465" s="10" t="s">
        <v>538</v>
      </c>
      <c r="H465" s="10" t="str">
        <f aca="false">IF(G465="BUG","BUG-"&amp;A465,IF(G465="FUNCTIONAL","FUNCTIONAL-"&amp;A465,""))</f>
        <v/>
      </c>
      <c r="I465" s="10" t="s">
        <v>56</v>
      </c>
      <c r="L465" s="11" t="s">
        <v>2668</v>
      </c>
    </row>
    <row r="466" customFormat="false" ht="15" hidden="false" customHeight="true" outlineLevel="0" collapsed="false">
      <c r="A466" s="10" t="s">
        <v>1336</v>
      </c>
      <c r="B466" s="10" t="s">
        <v>2659</v>
      </c>
      <c r="C466" s="10" t="s">
        <v>2669</v>
      </c>
      <c r="D466" s="10" t="s">
        <v>2661</v>
      </c>
      <c r="E466" s="10" t="s">
        <v>2670</v>
      </c>
      <c r="F466" s="10" t="s">
        <v>2671</v>
      </c>
      <c r="G466" s="10" t="s">
        <v>538</v>
      </c>
      <c r="H466" s="10" t="str">
        <f aca="false">IF(G466="BUG","BUG-"&amp;A466,IF(G466="FUNCTIONAL","FUNCTIONAL-"&amp;A466,""))</f>
        <v/>
      </c>
      <c r="I466" s="10" t="s">
        <v>65</v>
      </c>
      <c r="L466" s="11" t="s">
        <v>2672</v>
      </c>
    </row>
    <row r="467" customFormat="false" ht="15" hidden="false" customHeight="true" outlineLevel="0" collapsed="false">
      <c r="A467" s="10" t="s">
        <v>2544</v>
      </c>
      <c r="B467" s="10" t="s">
        <v>2659</v>
      </c>
      <c r="C467" s="10" t="s">
        <v>2673</v>
      </c>
      <c r="D467" s="10" t="s">
        <v>2674</v>
      </c>
      <c r="E467" s="10" t="s">
        <v>2675</v>
      </c>
      <c r="F467" s="10" t="s">
        <v>2676</v>
      </c>
      <c r="H467" s="10" t="str">
        <f aca="false">IF(G467="BUG","BUG-"&amp;A467,IF(G467="FUNCTIONAL","FUNCTIONAL-"&amp;A467,""))</f>
        <v/>
      </c>
      <c r="I467" s="10" t="s">
        <v>42</v>
      </c>
      <c r="L467" s="11" t="s">
        <v>2677</v>
      </c>
    </row>
    <row r="468" customFormat="false" ht="15" hidden="false" customHeight="true" outlineLevel="0" collapsed="false">
      <c r="A468" s="10" t="s">
        <v>2678</v>
      </c>
      <c r="B468" s="10" t="s">
        <v>2679</v>
      </c>
      <c r="C468" s="10" t="s">
        <v>2680</v>
      </c>
      <c r="D468" s="10" t="s">
        <v>2681</v>
      </c>
      <c r="E468" s="10" t="s">
        <v>2682</v>
      </c>
      <c r="F468" s="10" t="s">
        <v>2683</v>
      </c>
      <c r="G468" s="10" t="s">
        <v>538</v>
      </c>
      <c r="H468" s="10" t="str">
        <f aca="false">IF(G468="BUG","BUG-"&amp;A468,IF(G468="FUNCTIONAL","FUNCTIONAL-"&amp;A468,""))</f>
        <v/>
      </c>
      <c r="I468" s="10" t="s">
        <v>42</v>
      </c>
      <c r="J468" s="10" t="s">
        <v>2684</v>
      </c>
      <c r="L468" s="11" t="s">
        <v>2685</v>
      </c>
    </row>
    <row r="469" customFormat="false" ht="15" hidden="false" customHeight="true" outlineLevel="0" collapsed="false">
      <c r="A469" s="10" t="s">
        <v>2686</v>
      </c>
      <c r="B469" s="10" t="s">
        <v>2679</v>
      </c>
      <c r="C469" s="10" t="s">
        <v>2687</v>
      </c>
      <c r="D469" s="10" t="s">
        <v>2688</v>
      </c>
      <c r="E469" s="10" t="s">
        <v>2689</v>
      </c>
      <c r="F469" s="10" t="s">
        <v>2690</v>
      </c>
      <c r="G469" s="10" t="s">
        <v>538</v>
      </c>
      <c r="H469" s="10" t="str">
        <f aca="false">IF(G469="BUG","BUG-"&amp;A469,IF(G469="FUNCTIONAL","FUNCTIONAL-"&amp;A469,""))</f>
        <v/>
      </c>
      <c r="I469" s="10" t="s">
        <v>42</v>
      </c>
      <c r="J469" s="10" t="s">
        <v>2684</v>
      </c>
      <c r="L469" s="11" t="s">
        <v>2691</v>
      </c>
    </row>
    <row r="470" customFormat="false" ht="15" hidden="false" customHeight="true" outlineLevel="0" collapsed="false">
      <c r="A470" s="10" t="s">
        <v>2692</v>
      </c>
      <c r="B470" s="10" t="s">
        <v>2679</v>
      </c>
      <c r="C470" s="10" t="s">
        <v>2693</v>
      </c>
      <c r="D470" s="10" t="s">
        <v>2688</v>
      </c>
      <c r="E470" s="10" t="s">
        <v>2694</v>
      </c>
      <c r="F470" s="10" t="s">
        <v>2695</v>
      </c>
      <c r="G470" s="10" t="s">
        <v>538</v>
      </c>
      <c r="H470" s="10" t="str">
        <f aca="false">IF(G470="BUG","BUG-"&amp;A470,IF(G470="FUNCTIONAL","FUNCTIONAL-"&amp;A470,""))</f>
        <v/>
      </c>
      <c r="I470" s="10" t="s">
        <v>42</v>
      </c>
      <c r="J470" s="10" t="s">
        <v>2684</v>
      </c>
      <c r="L470" s="11" t="s">
        <v>2696</v>
      </c>
    </row>
    <row r="471" customFormat="false" ht="15" hidden="false" customHeight="true" outlineLevel="0" collapsed="false">
      <c r="A471" s="10" t="s">
        <v>2697</v>
      </c>
      <c r="B471" s="10" t="s">
        <v>2679</v>
      </c>
      <c r="C471" s="10" t="s">
        <v>2698</v>
      </c>
      <c r="D471" s="10" t="s">
        <v>2688</v>
      </c>
      <c r="E471" s="10" t="s">
        <v>2699</v>
      </c>
      <c r="F471" s="10" t="s">
        <v>2700</v>
      </c>
      <c r="G471" s="10" t="s">
        <v>538</v>
      </c>
      <c r="H471" s="10" t="str">
        <f aca="false">IF(G471="BUG","BUG-"&amp;A471,IF(G471="FUNCTIONAL","FUNCTIONAL-"&amp;A471,""))</f>
        <v/>
      </c>
      <c r="I471" s="10" t="s">
        <v>56</v>
      </c>
      <c r="J471" s="10" t="s">
        <v>2684</v>
      </c>
      <c r="L471" s="11" t="s">
        <v>2701</v>
      </c>
    </row>
    <row r="472" customFormat="false" ht="15" hidden="false" customHeight="true" outlineLevel="0" collapsed="false">
      <c r="A472" s="10" t="s">
        <v>2702</v>
      </c>
      <c r="B472" s="10" t="s">
        <v>2679</v>
      </c>
      <c r="C472" s="10" t="s">
        <v>2703</v>
      </c>
      <c r="D472" s="10" t="s">
        <v>2688</v>
      </c>
      <c r="E472" s="10" t="s">
        <v>2704</v>
      </c>
      <c r="F472" s="10" t="s">
        <v>2705</v>
      </c>
      <c r="G472" s="10" t="s">
        <v>538</v>
      </c>
      <c r="H472" s="10" t="str">
        <f aca="false">IF(G472="BUG","BUG-"&amp;A472,IF(G472="FUNCTIONAL","FUNCTIONAL-"&amp;A472,""))</f>
        <v/>
      </c>
      <c r="I472" s="10" t="s">
        <v>42</v>
      </c>
      <c r="J472" s="10" t="s">
        <v>2684</v>
      </c>
      <c r="L472" s="11" t="s">
        <v>2706</v>
      </c>
    </row>
    <row r="473" customFormat="false" ht="15" hidden="false" customHeight="true" outlineLevel="0" collapsed="false">
      <c r="A473" s="10" t="s">
        <v>2707</v>
      </c>
      <c r="B473" s="10" t="s">
        <v>2679</v>
      </c>
      <c r="C473" s="10" t="s">
        <v>2708</v>
      </c>
      <c r="D473" s="10" t="s">
        <v>2688</v>
      </c>
      <c r="E473" s="10" t="s">
        <v>2709</v>
      </c>
      <c r="F473" s="10" t="s">
        <v>2710</v>
      </c>
      <c r="G473" s="10" t="s">
        <v>538</v>
      </c>
      <c r="H473" s="10" t="str">
        <f aca="false">IF(G473="BUG","BUG-"&amp;A473,IF(G473="FUNCTIONAL","FUNCTIONAL-"&amp;A473,""))</f>
        <v/>
      </c>
      <c r="I473" s="10" t="s">
        <v>56</v>
      </c>
      <c r="J473" s="10" t="s">
        <v>2684</v>
      </c>
      <c r="L473" s="11" t="s">
        <v>2711</v>
      </c>
    </row>
    <row r="474" customFormat="false" ht="15" hidden="false" customHeight="true" outlineLevel="0" collapsed="false">
      <c r="A474" s="10" t="s">
        <v>2712</v>
      </c>
      <c r="B474" s="10" t="s">
        <v>2679</v>
      </c>
      <c r="C474" s="10" t="s">
        <v>2713</v>
      </c>
      <c r="D474" s="10" t="s">
        <v>2688</v>
      </c>
      <c r="E474" s="10" t="s">
        <v>2714</v>
      </c>
      <c r="F474" s="10" t="s">
        <v>2715</v>
      </c>
      <c r="G474" s="10" t="s">
        <v>538</v>
      </c>
      <c r="H474" s="10" t="str">
        <f aca="false">IF(G474="BUG","BUG-"&amp;A474,IF(G474="FUNCTIONAL","FUNCTIONAL-"&amp;A474,""))</f>
        <v/>
      </c>
      <c r="I474" s="10" t="s">
        <v>42</v>
      </c>
      <c r="J474" s="10" t="s">
        <v>2684</v>
      </c>
      <c r="L474" s="11" t="s">
        <v>2716</v>
      </c>
    </row>
    <row r="475" customFormat="false" ht="15" hidden="false" customHeight="true" outlineLevel="0" collapsed="false">
      <c r="A475" s="10" t="s">
        <v>2717</v>
      </c>
      <c r="B475" s="10" t="s">
        <v>2679</v>
      </c>
      <c r="C475" s="10" t="s">
        <v>2718</v>
      </c>
      <c r="D475" s="10" t="s">
        <v>2688</v>
      </c>
      <c r="E475" s="10" t="s">
        <v>2719</v>
      </c>
      <c r="F475" s="10" t="s">
        <v>2720</v>
      </c>
      <c r="G475" s="10" t="s">
        <v>538</v>
      </c>
      <c r="H475" s="10" t="str">
        <f aca="false">IF(G475="BUG","BUG-"&amp;A475,IF(G475="FUNCTIONAL","FUNCTIONAL-"&amp;A475,""))</f>
        <v/>
      </c>
      <c r="I475" s="10" t="s">
        <v>56</v>
      </c>
      <c r="J475" s="10" t="s">
        <v>2684</v>
      </c>
      <c r="L475" s="11" t="s">
        <v>2721</v>
      </c>
    </row>
    <row r="476" customFormat="false" ht="15" hidden="false" customHeight="true" outlineLevel="0" collapsed="false">
      <c r="A476" s="10" t="s">
        <v>2722</v>
      </c>
      <c r="B476" s="10" t="s">
        <v>2679</v>
      </c>
      <c r="C476" s="10" t="s">
        <v>2723</v>
      </c>
      <c r="D476" s="10" t="s">
        <v>2724</v>
      </c>
      <c r="E476" s="10" t="s">
        <v>2725</v>
      </c>
      <c r="F476" s="10" t="s">
        <v>2726</v>
      </c>
      <c r="G476" s="10" t="s">
        <v>538</v>
      </c>
      <c r="H476" s="10" t="str">
        <f aca="false">IF(G476="BUG","BUG-"&amp;A476,IF(G476="FUNCTIONAL","FUNCTIONAL-"&amp;A476,""))</f>
        <v/>
      </c>
      <c r="I476" s="10" t="s">
        <v>42</v>
      </c>
      <c r="J476" s="10" t="s">
        <v>2684</v>
      </c>
      <c r="L476" s="11" t="s">
        <v>2727</v>
      </c>
    </row>
    <row r="477" customFormat="false" ht="15" hidden="false" customHeight="true" outlineLevel="0" collapsed="false">
      <c r="A477" s="10" t="s">
        <v>2728</v>
      </c>
      <c r="B477" s="10" t="s">
        <v>2679</v>
      </c>
      <c r="C477" s="10" t="s">
        <v>2729</v>
      </c>
      <c r="D477" s="10" t="s">
        <v>2730</v>
      </c>
      <c r="E477" s="10" t="s">
        <v>2731</v>
      </c>
      <c r="F477" s="10" t="s">
        <v>2732</v>
      </c>
      <c r="G477" s="10" t="s">
        <v>538</v>
      </c>
      <c r="H477" s="10" t="str">
        <f aca="false">IF(G477="BUG","BUG-"&amp;A477,IF(G477="FUNCTIONAL","FUNCTIONAL-"&amp;A477,""))</f>
        <v/>
      </c>
      <c r="I477" s="10" t="s">
        <v>42</v>
      </c>
      <c r="J477" s="10" t="s">
        <v>2684</v>
      </c>
      <c r="L477" s="11" t="s">
        <v>2733</v>
      </c>
    </row>
    <row r="478" customFormat="false" ht="15" hidden="false" customHeight="true" outlineLevel="0" collapsed="false">
      <c r="A478" s="10" t="s">
        <v>2734</v>
      </c>
      <c r="B478" s="10" t="s">
        <v>2679</v>
      </c>
      <c r="C478" s="10" t="s">
        <v>2735</v>
      </c>
      <c r="D478" s="10" t="s">
        <v>2730</v>
      </c>
      <c r="E478" s="10" t="s">
        <v>2736</v>
      </c>
      <c r="F478" s="10" t="s">
        <v>2737</v>
      </c>
      <c r="G478" s="10" t="s">
        <v>538</v>
      </c>
      <c r="H478" s="10" t="str">
        <f aca="false">IF(G478="BUG","BUG-"&amp;A478,IF(G478="FUNCTIONAL","FUNCTIONAL-"&amp;A478,""))</f>
        <v/>
      </c>
      <c r="I478" s="10" t="s">
        <v>56</v>
      </c>
      <c r="J478" s="10" t="s">
        <v>2684</v>
      </c>
      <c r="L478" s="11" t="s">
        <v>2738</v>
      </c>
    </row>
    <row r="479" customFormat="false" ht="15" hidden="false" customHeight="true" outlineLevel="0" collapsed="false">
      <c r="A479" s="10" t="s">
        <v>2739</v>
      </c>
      <c r="B479" s="10" t="s">
        <v>2740</v>
      </c>
      <c r="C479" s="10" t="s">
        <v>2741</v>
      </c>
      <c r="D479" s="10" t="s">
        <v>2742</v>
      </c>
      <c r="E479" s="10" t="s">
        <v>2743</v>
      </c>
      <c r="F479" s="10" t="s">
        <v>2744</v>
      </c>
      <c r="G479" s="10" t="s">
        <v>55</v>
      </c>
      <c r="H479" s="10" t="str">
        <f aca="false">IF(G479="BUG","BUG-"&amp;A479,IF(G479="FUNCTIONAL","FUNCTIONAL-"&amp;A479,""))</f>
        <v>BUG-TC-N637</v>
      </c>
      <c r="I479" s="10" t="s">
        <v>42</v>
      </c>
      <c r="K479" s="11" t="s">
        <v>2745</v>
      </c>
      <c r="L479" s="11" t="s">
        <v>2746</v>
      </c>
    </row>
    <row r="480" customFormat="false" ht="15" hidden="false" customHeight="true" outlineLevel="0" collapsed="false">
      <c r="A480" s="10" t="s">
        <v>2747</v>
      </c>
      <c r="B480" s="10" t="s">
        <v>2748</v>
      </c>
      <c r="C480" s="10" t="s">
        <v>2749</v>
      </c>
      <c r="D480" s="10" t="s">
        <v>2750</v>
      </c>
      <c r="E480" s="10" t="s">
        <v>2751</v>
      </c>
      <c r="F480" s="10" t="s">
        <v>2752</v>
      </c>
      <c r="G480" s="10" t="s">
        <v>55</v>
      </c>
      <c r="H480" s="10" t="str">
        <f aca="false">IF(G480="BUG","BUG-"&amp;A480,IF(G480="FUNCTIONAL","FUNCTIONAL-"&amp;A480,""))</f>
        <v>BUG-TC-N638</v>
      </c>
      <c r="I480" s="10" t="s">
        <v>56</v>
      </c>
      <c r="K480" s="11" t="s">
        <v>2745</v>
      </c>
      <c r="L480" s="11" t="s">
        <v>2753</v>
      </c>
    </row>
    <row r="481" customFormat="false" ht="15" hidden="false" customHeight="true" outlineLevel="0" collapsed="false">
      <c r="A481" s="19" t="s">
        <v>2754</v>
      </c>
      <c r="B481" s="19" t="s">
        <v>2755</v>
      </c>
      <c r="C481" s="19" t="s">
        <v>2756</v>
      </c>
      <c r="D481" s="19" t="s">
        <v>2757</v>
      </c>
      <c r="E481" s="19" t="s">
        <v>2758</v>
      </c>
      <c r="F481" s="19" t="s">
        <v>2759</v>
      </c>
      <c r="G481" s="19" t="s">
        <v>74</v>
      </c>
      <c r="H481" s="19"/>
      <c r="I481" s="19" t="s">
        <v>42</v>
      </c>
      <c r="J481" s="19"/>
      <c r="K481" s="19"/>
      <c r="L481" s="19" t="s">
        <v>2760</v>
      </c>
    </row>
    <row r="482" customFormat="false" ht="15" hidden="false" customHeight="true" outlineLevel="0" collapsed="false">
      <c r="A482" s="19" t="s">
        <v>2761</v>
      </c>
      <c r="B482" s="19" t="s">
        <v>2755</v>
      </c>
      <c r="C482" s="19" t="s">
        <v>2762</v>
      </c>
      <c r="D482" s="19" t="s">
        <v>2763</v>
      </c>
      <c r="E482" s="19" t="s">
        <v>2764</v>
      </c>
      <c r="F482" s="19" t="s">
        <v>2765</v>
      </c>
      <c r="G482" s="19" t="s">
        <v>74</v>
      </c>
      <c r="H482" s="19"/>
      <c r="I482" s="19" t="s">
        <v>56</v>
      </c>
      <c r="J482" s="19"/>
      <c r="K482" s="19"/>
      <c r="L482" s="19" t="s">
        <v>2766</v>
      </c>
    </row>
    <row r="483" customFormat="false" ht="15" hidden="false" customHeight="true" outlineLevel="0" collapsed="false">
      <c r="A483" s="19" t="s">
        <v>2767</v>
      </c>
      <c r="B483" s="19" t="s">
        <v>2755</v>
      </c>
      <c r="C483" s="19" t="s">
        <v>2768</v>
      </c>
      <c r="D483" s="19" t="s">
        <v>2688</v>
      </c>
      <c r="E483" s="19" t="s">
        <v>2769</v>
      </c>
      <c r="F483" s="19" t="s">
        <v>2770</v>
      </c>
      <c r="G483" s="19" t="s">
        <v>538</v>
      </c>
      <c r="H483" s="19"/>
      <c r="I483" s="19" t="s">
        <v>65</v>
      </c>
      <c r="J483" s="19"/>
      <c r="K483" s="19"/>
      <c r="L483" s="19" t="s">
        <v>2771</v>
      </c>
    </row>
    <row r="484" customFormat="false" ht="15" hidden="false" customHeight="true" outlineLevel="0" collapsed="false">
      <c r="A484" s="19" t="s">
        <v>2772</v>
      </c>
      <c r="B484" s="19" t="s">
        <v>2773</v>
      </c>
      <c r="C484" s="19" t="s">
        <v>2774</v>
      </c>
      <c r="D484" s="19" t="s">
        <v>2763</v>
      </c>
      <c r="E484" s="19" t="s">
        <v>2775</v>
      </c>
      <c r="F484" s="19" t="s">
        <v>2776</v>
      </c>
      <c r="G484" s="19" t="s">
        <v>74</v>
      </c>
      <c r="H484" s="19"/>
      <c r="I484" s="19" t="s">
        <v>42</v>
      </c>
      <c r="J484" s="19"/>
      <c r="K484" s="19"/>
      <c r="L484" s="19" t="s">
        <v>2777</v>
      </c>
    </row>
    <row r="485" customFormat="false" ht="15" hidden="false" customHeight="true" outlineLevel="0" collapsed="false">
      <c r="A485" s="19" t="s">
        <v>2778</v>
      </c>
      <c r="B485" s="19" t="s">
        <v>2773</v>
      </c>
      <c r="C485" s="19" t="s">
        <v>2779</v>
      </c>
      <c r="D485" s="19" t="s">
        <v>2780</v>
      </c>
      <c r="E485" s="19" t="s">
        <v>2781</v>
      </c>
      <c r="F485" s="19" t="s">
        <v>2782</v>
      </c>
      <c r="G485" s="19" t="s">
        <v>74</v>
      </c>
      <c r="H485" s="19"/>
      <c r="I485" s="19" t="s">
        <v>56</v>
      </c>
      <c r="J485" s="19"/>
      <c r="K485" s="19"/>
      <c r="L485" s="19" t="s">
        <v>2783</v>
      </c>
    </row>
    <row r="486" customFormat="false" ht="15" hidden="false" customHeight="true" outlineLevel="0" collapsed="false">
      <c r="A486" s="19" t="s">
        <v>2784</v>
      </c>
      <c r="B486" s="19" t="s">
        <v>2773</v>
      </c>
      <c r="C486" s="19" t="s">
        <v>2785</v>
      </c>
      <c r="D486" s="19" t="s">
        <v>2780</v>
      </c>
      <c r="E486" s="19" t="s">
        <v>2786</v>
      </c>
      <c r="F486" s="19" t="s">
        <v>2787</v>
      </c>
      <c r="G486" s="19" t="s">
        <v>74</v>
      </c>
      <c r="H486" s="19"/>
      <c r="I486" s="19" t="s">
        <v>56</v>
      </c>
      <c r="J486" s="19"/>
      <c r="K486" s="19"/>
      <c r="L486" s="19" t="s">
        <v>2788</v>
      </c>
    </row>
    <row r="487" customFormat="false" ht="15" hidden="false" customHeight="true" outlineLevel="0" collapsed="false">
      <c r="A487" s="19" t="s">
        <v>2789</v>
      </c>
      <c r="B487" s="19" t="s">
        <v>2790</v>
      </c>
      <c r="C487" s="19" t="s">
        <v>2791</v>
      </c>
      <c r="D487" s="19" t="s">
        <v>2757</v>
      </c>
      <c r="E487" s="19" t="s">
        <v>2792</v>
      </c>
      <c r="F487" s="19" t="s">
        <v>2793</v>
      </c>
      <c r="G487" s="19" t="s">
        <v>74</v>
      </c>
      <c r="H487" s="19" t="str">
        <f aca="false">IF(G487="BUG","BUG-"&amp;A487,IF(G487="FUNCTIONAL","FUNCTIONAL-"&amp;A487,""))</f>
        <v/>
      </c>
      <c r="I487" s="19" t="s">
        <v>42</v>
      </c>
      <c r="J487" s="19"/>
      <c r="K487" s="19"/>
      <c r="L487" s="19" t="s">
        <v>2794</v>
      </c>
    </row>
    <row r="488" customFormat="false" ht="15" hidden="false" customHeight="true" outlineLevel="0" collapsed="false">
      <c r="A488" s="19" t="s">
        <v>2795</v>
      </c>
      <c r="B488" s="19" t="s">
        <v>2790</v>
      </c>
      <c r="C488" s="19" t="s">
        <v>2796</v>
      </c>
      <c r="D488" s="19" t="s">
        <v>2763</v>
      </c>
      <c r="E488" s="19" t="s">
        <v>2797</v>
      </c>
      <c r="F488" s="19" t="s">
        <v>2798</v>
      </c>
      <c r="G488" s="19" t="s">
        <v>74</v>
      </c>
      <c r="H488" s="19" t="str">
        <f aca="false">IF(G488="BUG","BUG-"&amp;A488,IF(G488="FUNCTIONAL","FUNCTIONAL-"&amp;A488,""))</f>
        <v/>
      </c>
      <c r="I488" s="19" t="s">
        <v>42</v>
      </c>
      <c r="J488" s="19"/>
      <c r="K488" s="19"/>
      <c r="L488" s="19" t="s">
        <v>2799</v>
      </c>
    </row>
    <row r="489" customFormat="false" ht="15" hidden="false" customHeight="true" outlineLevel="0" collapsed="false">
      <c r="A489" s="19" t="s">
        <v>2800</v>
      </c>
      <c r="B489" s="19" t="s">
        <v>2790</v>
      </c>
      <c r="C489" s="19" t="s">
        <v>2801</v>
      </c>
      <c r="D489" s="19" t="s">
        <v>2763</v>
      </c>
      <c r="E489" s="19" t="s">
        <v>2802</v>
      </c>
      <c r="F489" s="19" t="s">
        <v>2803</v>
      </c>
      <c r="G489" s="19" t="s">
        <v>74</v>
      </c>
      <c r="H489" s="19" t="str">
        <f aca="false">IF(G489="BUG","BUG-"&amp;A489,IF(G489="FUNCTIONAL","FUNCTIONAL-"&amp;A489,""))</f>
        <v/>
      </c>
      <c r="I489" s="19" t="s">
        <v>56</v>
      </c>
      <c r="J489" s="19"/>
      <c r="K489" s="19"/>
      <c r="L489" s="19" t="s">
        <v>2804</v>
      </c>
    </row>
    <row r="490" customFormat="false" ht="15" hidden="false" customHeight="true" outlineLevel="0" collapsed="false">
      <c r="A490" s="19" t="s">
        <v>2805</v>
      </c>
      <c r="B490" s="19" t="s">
        <v>2790</v>
      </c>
      <c r="C490" s="19" t="s">
        <v>2806</v>
      </c>
      <c r="D490" s="19" t="s">
        <v>2763</v>
      </c>
      <c r="E490" s="19" t="s">
        <v>2807</v>
      </c>
      <c r="F490" s="19" t="s">
        <v>2808</v>
      </c>
      <c r="G490" s="19" t="s">
        <v>74</v>
      </c>
      <c r="H490" s="19" t="str">
        <f aca="false">IF(G490="BUG","BUG-"&amp;A490,IF(G490="FUNCTIONAL","FUNCTIONAL-"&amp;A490,""))</f>
        <v/>
      </c>
      <c r="I490" s="19" t="s">
        <v>56</v>
      </c>
      <c r="J490" s="19"/>
      <c r="K490" s="19"/>
      <c r="L490" s="19" t="s">
        <v>2809</v>
      </c>
    </row>
    <row r="491" customFormat="false" ht="15" hidden="false" customHeight="true" outlineLevel="0" collapsed="false">
      <c r="A491" s="19" t="s">
        <v>2810</v>
      </c>
      <c r="B491" s="19" t="s">
        <v>2790</v>
      </c>
      <c r="C491" s="19" t="s">
        <v>2811</v>
      </c>
      <c r="D491" s="19" t="s">
        <v>2763</v>
      </c>
      <c r="E491" s="19" t="s">
        <v>2812</v>
      </c>
      <c r="F491" s="19" t="s">
        <v>2813</v>
      </c>
      <c r="G491" s="19" t="s">
        <v>74</v>
      </c>
      <c r="H491" s="19" t="str">
        <f aca="false">IF(G491="BUG","BUG-"&amp;A491,IF(G491="FUNCTIONAL","FUNCTIONAL-"&amp;A491,""))</f>
        <v/>
      </c>
      <c r="I491" s="19" t="s">
        <v>56</v>
      </c>
      <c r="J491" s="19"/>
      <c r="K491" s="19"/>
      <c r="L491" s="19" t="s">
        <v>2814</v>
      </c>
    </row>
    <row r="492" customFormat="false" ht="15" hidden="false" customHeight="true" outlineLevel="0" collapsed="false">
      <c r="A492" s="19" t="s">
        <v>2815</v>
      </c>
      <c r="B492" s="19" t="s">
        <v>2790</v>
      </c>
      <c r="C492" s="19" t="s">
        <v>2816</v>
      </c>
      <c r="D492" s="19" t="s">
        <v>2763</v>
      </c>
      <c r="E492" s="19" t="s">
        <v>2817</v>
      </c>
      <c r="F492" s="19" t="s">
        <v>2818</v>
      </c>
      <c r="G492" s="19" t="s">
        <v>74</v>
      </c>
      <c r="H492" s="19" t="str">
        <f aca="false">IF(G492="BUG","BUG-"&amp;A492,IF(G492="FUNCTIONAL","FUNCTIONAL-"&amp;A492,""))</f>
        <v/>
      </c>
      <c r="I492" s="19" t="s">
        <v>56</v>
      </c>
      <c r="J492" s="19"/>
      <c r="K492" s="19"/>
      <c r="L492" s="19" t="s">
        <v>2819</v>
      </c>
    </row>
    <row r="493" customFormat="false" ht="15" hidden="false" customHeight="true" outlineLevel="0" collapsed="false">
      <c r="A493" s="19" t="s">
        <v>2820</v>
      </c>
      <c r="B493" s="19" t="s">
        <v>2790</v>
      </c>
      <c r="C493" s="19" t="s">
        <v>2821</v>
      </c>
      <c r="D493" s="19" t="s">
        <v>2763</v>
      </c>
      <c r="E493" s="19" t="s">
        <v>2822</v>
      </c>
      <c r="F493" s="19" t="s">
        <v>2823</v>
      </c>
      <c r="G493" s="19" t="s">
        <v>74</v>
      </c>
      <c r="H493" s="19" t="str">
        <f aca="false">IF(G493="BUG","BUG-"&amp;A493,IF(G493="FUNCTIONAL","FUNCTIONAL-"&amp;A493,""))</f>
        <v/>
      </c>
      <c r="I493" s="19" t="s">
        <v>56</v>
      </c>
      <c r="J493" s="19"/>
      <c r="K493" s="19"/>
      <c r="L493" s="19" t="s">
        <v>2824</v>
      </c>
    </row>
    <row r="494" customFormat="false" ht="15" hidden="false" customHeight="true" outlineLevel="0" collapsed="false">
      <c r="A494" s="19" t="s">
        <v>2825</v>
      </c>
      <c r="B494" s="19" t="s">
        <v>2790</v>
      </c>
      <c r="C494" s="19" t="s">
        <v>2826</v>
      </c>
      <c r="D494" s="19" t="s">
        <v>2763</v>
      </c>
      <c r="E494" s="19" t="s">
        <v>2827</v>
      </c>
      <c r="F494" s="19" t="s">
        <v>2828</v>
      </c>
      <c r="G494" s="19" t="s">
        <v>74</v>
      </c>
      <c r="H494" s="19" t="str">
        <f aca="false">IF(G494="BUG","BUG-"&amp;A494,IF(G494="FUNCTIONAL","FUNCTIONAL-"&amp;A494,""))</f>
        <v/>
      </c>
      <c r="I494" s="19" t="s">
        <v>42</v>
      </c>
      <c r="J494" s="19"/>
      <c r="K494" s="19"/>
      <c r="L494" s="19" t="s">
        <v>2829</v>
      </c>
    </row>
    <row r="495" customFormat="false" ht="15" hidden="false" customHeight="true" outlineLevel="0" collapsed="false">
      <c r="A495" s="19" t="s">
        <v>2830</v>
      </c>
      <c r="B495" s="19" t="s">
        <v>2790</v>
      </c>
      <c r="C495" s="19" t="s">
        <v>2831</v>
      </c>
      <c r="D495" s="19" t="s">
        <v>2763</v>
      </c>
      <c r="E495" s="19" t="s">
        <v>2832</v>
      </c>
      <c r="F495" s="19" t="s">
        <v>2833</v>
      </c>
      <c r="G495" s="19" t="s">
        <v>74</v>
      </c>
      <c r="H495" s="19" t="str">
        <f aca="false">IF(G495="BUG","BUG-"&amp;A495,IF(G495="FUNCTIONAL","FUNCTIONAL-"&amp;A495,""))</f>
        <v/>
      </c>
      <c r="I495" s="19" t="s">
        <v>42</v>
      </c>
      <c r="J495" s="19"/>
      <c r="K495" s="19"/>
      <c r="L495" s="19" t="s">
        <v>2834</v>
      </c>
    </row>
    <row r="496" customFormat="false" ht="15" hidden="false" customHeight="true" outlineLevel="0" collapsed="false">
      <c r="A496" s="19" t="s">
        <v>2835</v>
      </c>
      <c r="B496" s="19" t="s">
        <v>2790</v>
      </c>
      <c r="C496" s="19" t="s">
        <v>2836</v>
      </c>
      <c r="D496" s="19" t="s">
        <v>2763</v>
      </c>
      <c r="E496" s="19" t="s">
        <v>2837</v>
      </c>
      <c r="F496" s="19" t="s">
        <v>2838</v>
      </c>
      <c r="G496" s="19" t="s">
        <v>74</v>
      </c>
      <c r="H496" s="19" t="str">
        <f aca="false">IF(G496="BUG","BUG-"&amp;A496,IF(G496="FUNCTIONAL","FUNCTIONAL-"&amp;A496,""))</f>
        <v/>
      </c>
      <c r="I496" s="19" t="s">
        <v>42</v>
      </c>
      <c r="J496" s="19"/>
      <c r="K496" s="19"/>
      <c r="L496" s="19" t="s">
        <v>2839</v>
      </c>
    </row>
    <row r="497" customFormat="false" ht="15" hidden="false" customHeight="true" outlineLevel="0" collapsed="false">
      <c r="A497" s="19" t="s">
        <v>2840</v>
      </c>
      <c r="B497" s="19" t="s">
        <v>2790</v>
      </c>
      <c r="C497" s="19" t="s">
        <v>2841</v>
      </c>
      <c r="D497" s="19" t="s">
        <v>2763</v>
      </c>
      <c r="E497" s="19" t="s">
        <v>2842</v>
      </c>
      <c r="F497" s="19" t="s">
        <v>2843</v>
      </c>
      <c r="G497" s="19" t="s">
        <v>74</v>
      </c>
      <c r="H497" s="19" t="str">
        <f aca="false">IF(G497="BUG","BUG-"&amp;A497,IF(G497="FUNCTIONAL","FUNCTIONAL-"&amp;A497,""))</f>
        <v/>
      </c>
      <c r="I497" s="19" t="s">
        <v>42</v>
      </c>
      <c r="J497" s="19"/>
      <c r="K497" s="19"/>
      <c r="L497" s="19" t="s">
        <v>2844</v>
      </c>
    </row>
    <row r="498" customFormat="false" ht="15" hidden="false" customHeight="true" outlineLevel="0" collapsed="false">
      <c r="A498" s="19" t="s">
        <v>2845</v>
      </c>
      <c r="B498" s="19" t="s">
        <v>2790</v>
      </c>
      <c r="C498" s="19" t="s">
        <v>2846</v>
      </c>
      <c r="D498" s="19" t="s">
        <v>2763</v>
      </c>
      <c r="E498" s="19" t="s">
        <v>2847</v>
      </c>
      <c r="F498" s="19" t="s">
        <v>2848</v>
      </c>
      <c r="G498" s="19" t="s">
        <v>74</v>
      </c>
      <c r="H498" s="19" t="str">
        <f aca="false">IF(G498="BUG","BUG-"&amp;A498,IF(G498="FUNCTIONAL","FUNCTIONAL-"&amp;A498,""))</f>
        <v/>
      </c>
      <c r="I498" s="19" t="s">
        <v>56</v>
      </c>
      <c r="J498" s="19"/>
      <c r="K498" s="19"/>
      <c r="L498" s="19" t="s">
        <v>2849</v>
      </c>
    </row>
    <row r="499" customFormat="false" ht="15" hidden="false" customHeight="true" outlineLevel="0" collapsed="false">
      <c r="A499" s="19" t="s">
        <v>2850</v>
      </c>
      <c r="B499" s="19" t="s">
        <v>2851</v>
      </c>
      <c r="C499" s="19" t="s">
        <v>2852</v>
      </c>
      <c r="D499" s="19" t="s">
        <v>2688</v>
      </c>
      <c r="E499" s="19" t="s">
        <v>2853</v>
      </c>
      <c r="F499" s="19" t="s">
        <v>2854</v>
      </c>
      <c r="G499" s="19" t="s">
        <v>538</v>
      </c>
      <c r="H499" s="19" t="str">
        <f aca="false">IF(G499="BUG","BUG-"&amp;A499,IF(G499="FUNCTIONAL","FUNCTIONAL-"&amp;A499,""))</f>
        <v/>
      </c>
      <c r="I499" s="19" t="s">
        <v>65</v>
      </c>
      <c r="J499" s="19"/>
      <c r="K499" s="19"/>
      <c r="L499" s="19" t="s">
        <v>2771</v>
      </c>
    </row>
    <row r="500" customFormat="false" ht="15" hidden="false" customHeight="true" outlineLevel="0" collapsed="false">
      <c r="A500" s="10" t="s">
        <v>2855</v>
      </c>
      <c r="B500" s="10" t="s">
        <v>525</v>
      </c>
      <c r="C500" s="10" t="s">
        <v>2856</v>
      </c>
      <c r="D500" s="10" t="s">
        <v>61</v>
      </c>
      <c r="E500" s="10" t="s">
        <v>536</v>
      </c>
      <c r="F500" s="10" t="s">
        <v>2857</v>
      </c>
      <c r="G500" s="10" t="s">
        <v>538</v>
      </c>
      <c r="H500" s="10" t="str">
        <f aca="false">IF(G500="BUG","BUG-"&amp;A500,IF(G500="FUNCTIONAL","FUNCTIONAL-"&amp;A500,""))</f>
        <v/>
      </c>
      <c r="I500" s="10" t="s">
        <v>56</v>
      </c>
      <c r="J500" s="10" t="s">
        <v>539</v>
      </c>
      <c r="K500" s="11" t="s">
        <v>540</v>
      </c>
      <c r="L500" s="11" t="s">
        <v>2858</v>
      </c>
    </row>
    <row r="501" customFormat="false" ht="15" hidden="false" customHeight="true" outlineLevel="0" collapsed="false">
      <c r="A501" s="10" t="s">
        <v>2859</v>
      </c>
      <c r="B501" s="10" t="s">
        <v>2860</v>
      </c>
      <c r="C501" s="10" t="s">
        <v>2861</v>
      </c>
      <c r="D501" s="10" t="s">
        <v>2688</v>
      </c>
      <c r="E501" s="10" t="s">
        <v>2862</v>
      </c>
      <c r="F501" s="10" t="s">
        <v>2863</v>
      </c>
      <c r="G501" s="10" t="s">
        <v>2864</v>
      </c>
      <c r="H501" s="10" t="str">
        <f aca="false">IF(G501="BUG","BUG-"&amp;A501,IF(G501="FUNCTIONAL","FUNCTIONAL-"&amp;A501,""))</f>
        <v/>
      </c>
      <c r="I501" s="10" t="s">
        <v>65</v>
      </c>
      <c r="J501" s="10" t="s">
        <v>2865</v>
      </c>
      <c r="L501" s="11" t="s">
        <v>2866</v>
      </c>
    </row>
    <row r="502" customFormat="false" ht="15" hidden="false" customHeight="true" outlineLevel="0" collapsed="false">
      <c r="A502" s="10" t="s">
        <v>2867</v>
      </c>
      <c r="B502" s="10" t="s">
        <v>2860</v>
      </c>
      <c r="C502" s="10" t="s">
        <v>2868</v>
      </c>
      <c r="D502" s="10" t="s">
        <v>2688</v>
      </c>
      <c r="E502" s="10" t="s">
        <v>2869</v>
      </c>
      <c r="F502" s="10" t="s">
        <v>2870</v>
      </c>
      <c r="G502" s="10" t="s">
        <v>2864</v>
      </c>
      <c r="H502" s="10" t="str">
        <f aca="false">IF(G502="BUG","BUG-"&amp;A502,IF(G502="FUNCTIONAL","FUNCTIONAL-"&amp;A502,""))</f>
        <v/>
      </c>
      <c r="I502" s="10" t="s">
        <v>65</v>
      </c>
      <c r="J502" s="10" t="s">
        <v>2865</v>
      </c>
      <c r="L502" s="11" t="s">
        <v>2871</v>
      </c>
    </row>
    <row r="503" customFormat="false" ht="15" hidden="false" customHeight="true" outlineLevel="0" collapsed="false">
      <c r="A503" s="10" t="s">
        <v>2872</v>
      </c>
      <c r="B503" s="10" t="s">
        <v>2860</v>
      </c>
      <c r="C503" s="10" t="s">
        <v>2873</v>
      </c>
      <c r="D503" s="10" t="s">
        <v>2688</v>
      </c>
      <c r="E503" s="10" t="s">
        <v>2874</v>
      </c>
      <c r="F503" s="10" t="s">
        <v>2875</v>
      </c>
      <c r="G503" s="10" t="s">
        <v>2864</v>
      </c>
      <c r="H503" s="10" t="str">
        <f aca="false">IF(G503="BUG","BUG-"&amp;A503,IF(G503="FUNCTIONAL","FUNCTIONAL-"&amp;A503,""))</f>
        <v/>
      </c>
      <c r="I503" s="10" t="s">
        <v>65</v>
      </c>
      <c r="J503" s="10" t="s">
        <v>2865</v>
      </c>
      <c r="L503" s="11" t="s">
        <v>2871</v>
      </c>
    </row>
    <row r="504" customFormat="false" ht="15" hidden="false" customHeight="true" outlineLevel="0" collapsed="false">
      <c r="A504" s="10" t="s">
        <v>2876</v>
      </c>
      <c r="B504" s="10" t="s">
        <v>2877</v>
      </c>
      <c r="C504" s="10" t="s">
        <v>2878</v>
      </c>
      <c r="D504" s="10" t="s">
        <v>2879</v>
      </c>
      <c r="E504" s="10" t="s">
        <v>2880</v>
      </c>
      <c r="F504" s="10" t="s">
        <v>2881</v>
      </c>
      <c r="G504" s="10" t="s">
        <v>2864</v>
      </c>
      <c r="H504" s="10" t="str">
        <f aca="false">IF(G504="BUG","BUG-"&amp;A504,IF(G504="FUNCTIONAL","FUNCTIONAL-"&amp;A504,""))</f>
        <v/>
      </c>
      <c r="I504" s="10" t="s">
        <v>42</v>
      </c>
      <c r="J504" s="10" t="s">
        <v>2882</v>
      </c>
      <c r="L504" s="11" t="s">
        <v>2883</v>
      </c>
    </row>
    <row r="505" customFormat="false" ht="15" hidden="false" customHeight="true" outlineLevel="0" collapsed="false">
      <c r="A505" s="10" t="s">
        <v>2884</v>
      </c>
      <c r="B505" s="10" t="s">
        <v>2877</v>
      </c>
      <c r="C505" s="10" t="s">
        <v>2885</v>
      </c>
      <c r="D505" s="10" t="s">
        <v>61</v>
      </c>
      <c r="E505" s="10" t="s">
        <v>2886</v>
      </c>
      <c r="F505" s="10" t="s">
        <v>2887</v>
      </c>
      <c r="G505" s="10" t="s">
        <v>2864</v>
      </c>
      <c r="H505" s="10" t="str">
        <f aca="false">IF(G505="BUG","BUG-"&amp;A505,IF(G505="FUNCTIONAL","FUNCTIONAL-"&amp;A505,""))</f>
        <v/>
      </c>
      <c r="I505" s="10" t="s">
        <v>65</v>
      </c>
      <c r="J505" s="10" t="s">
        <v>2882</v>
      </c>
      <c r="L505" s="11" t="s">
        <v>2871</v>
      </c>
    </row>
    <row r="506" customFormat="false" ht="15" hidden="false" customHeight="true" outlineLevel="0" collapsed="false">
      <c r="A506" s="10" t="s">
        <v>2888</v>
      </c>
      <c r="B506" s="10" t="s">
        <v>2877</v>
      </c>
      <c r="C506" s="10" t="s">
        <v>2889</v>
      </c>
      <c r="D506" s="10" t="s">
        <v>61</v>
      </c>
      <c r="E506" s="10" t="s">
        <v>2890</v>
      </c>
      <c r="F506" s="10" t="s">
        <v>2891</v>
      </c>
      <c r="G506" s="10" t="s">
        <v>2864</v>
      </c>
      <c r="H506" s="10" t="str">
        <f aca="false">IF(G506="BUG","BUG-"&amp;A506,IF(G506="FUNCTIONAL","FUNCTIONAL-"&amp;A506,""))</f>
        <v/>
      </c>
      <c r="I506" s="10" t="s">
        <v>42</v>
      </c>
      <c r="J506" s="10" t="s">
        <v>2882</v>
      </c>
      <c r="L506" s="11" t="s">
        <v>2892</v>
      </c>
    </row>
    <row r="507" customFormat="false" ht="15" hidden="false" customHeight="true" outlineLevel="0" collapsed="false">
      <c r="A507" s="10" t="s">
        <v>2893</v>
      </c>
      <c r="B507" s="10" t="s">
        <v>2877</v>
      </c>
      <c r="C507" s="10" t="s">
        <v>2894</v>
      </c>
      <c r="D507" s="10" t="s">
        <v>61</v>
      </c>
      <c r="E507" s="10" t="s">
        <v>2895</v>
      </c>
      <c r="F507" s="10" t="s">
        <v>2896</v>
      </c>
      <c r="G507" s="10" t="s">
        <v>2864</v>
      </c>
      <c r="H507" s="10" t="str">
        <f aca="false">IF(G507="BUG","BUG-"&amp;A507,IF(G507="FUNCTIONAL","FUNCTIONAL-"&amp;A507,""))</f>
        <v/>
      </c>
      <c r="I507" s="10" t="s">
        <v>56</v>
      </c>
      <c r="J507" s="10" t="s">
        <v>2882</v>
      </c>
      <c r="L507" s="11" t="s">
        <v>2897</v>
      </c>
    </row>
    <row r="508" customFormat="false" ht="15" hidden="false" customHeight="true" outlineLevel="0" collapsed="false">
      <c r="A508" s="10" t="s">
        <v>2898</v>
      </c>
      <c r="B508" s="10" t="s">
        <v>2877</v>
      </c>
      <c r="C508" s="10" t="s">
        <v>2899</v>
      </c>
      <c r="D508" s="10" t="s">
        <v>61</v>
      </c>
      <c r="E508" s="10" t="s">
        <v>2900</v>
      </c>
      <c r="F508" s="10" t="s">
        <v>2901</v>
      </c>
      <c r="G508" s="10" t="s">
        <v>2864</v>
      </c>
      <c r="H508" s="10" t="str">
        <f aca="false">IF(G508="BUG","BUG-"&amp;A508,IF(G508="FUNCTIONAL","FUNCTIONAL-"&amp;A508,""))</f>
        <v/>
      </c>
      <c r="I508" s="10" t="s">
        <v>65</v>
      </c>
      <c r="J508" s="10" t="s">
        <v>2882</v>
      </c>
      <c r="L508" s="11" t="s">
        <v>2871</v>
      </c>
    </row>
    <row r="509" customFormat="false" ht="15" hidden="false" customHeight="true" outlineLevel="0" collapsed="false">
      <c r="A509" s="10" t="s">
        <v>2902</v>
      </c>
      <c r="B509" s="10" t="s">
        <v>2903</v>
      </c>
      <c r="C509" s="10" t="s">
        <v>2904</v>
      </c>
      <c r="D509" s="10" t="s">
        <v>2905</v>
      </c>
      <c r="E509" s="10" t="s">
        <v>2906</v>
      </c>
      <c r="F509" s="10" t="s">
        <v>2907</v>
      </c>
      <c r="G509" s="10" t="s">
        <v>2908</v>
      </c>
      <c r="H509" s="10" t="str">
        <f aca="false">IF(G509="BUG","BUG-"&amp;A509,IF(G509="FUNCTIONAL","FUNCTIONAL-"&amp;A509,""))</f>
        <v/>
      </c>
      <c r="I509" s="10" t="s">
        <v>42</v>
      </c>
      <c r="J509" s="10" t="s">
        <v>2909</v>
      </c>
      <c r="L509" s="11" t="s">
        <v>2910</v>
      </c>
    </row>
    <row r="510" customFormat="false" ht="15" hidden="false" customHeight="true" outlineLevel="0" collapsed="false">
      <c r="A510" s="10" t="s">
        <v>2911</v>
      </c>
      <c r="B510" s="10" t="s">
        <v>2903</v>
      </c>
      <c r="C510" s="10" t="s">
        <v>2912</v>
      </c>
      <c r="D510" s="10" t="s">
        <v>2905</v>
      </c>
      <c r="E510" s="10" t="s">
        <v>2913</v>
      </c>
      <c r="F510" s="10" t="s">
        <v>2914</v>
      </c>
      <c r="G510" s="10" t="s">
        <v>2908</v>
      </c>
      <c r="H510" s="10" t="str">
        <f aca="false">IF(G510="BUG","BUG-"&amp;A510,IF(G510="FUNCTIONAL","FUNCTIONAL-"&amp;A510,""))</f>
        <v/>
      </c>
      <c r="I510" s="10" t="s">
        <v>42</v>
      </c>
      <c r="J510" s="10" t="s">
        <v>2909</v>
      </c>
      <c r="L510" s="11" t="s">
        <v>2910</v>
      </c>
    </row>
    <row r="511" customFormat="false" ht="15" hidden="false" customHeight="true" outlineLevel="0" collapsed="false">
      <c r="A511" s="10" t="s">
        <v>2915</v>
      </c>
      <c r="B511" s="10" t="s">
        <v>2916</v>
      </c>
      <c r="C511" s="10" t="s">
        <v>2917</v>
      </c>
      <c r="D511" s="10" t="s">
        <v>61</v>
      </c>
      <c r="E511" s="10" t="s">
        <v>2918</v>
      </c>
      <c r="F511" s="10" t="s">
        <v>2919</v>
      </c>
      <c r="G511" s="10" t="s">
        <v>2908</v>
      </c>
      <c r="H511" s="10" t="str">
        <f aca="false">IF(G511="BUG","BUG-"&amp;A511,IF(G511="FUNCTIONAL","FUNCTIONAL-"&amp;A511,""))</f>
        <v/>
      </c>
      <c r="I511" s="10" t="s">
        <v>42</v>
      </c>
      <c r="J511" s="10" t="s">
        <v>2920</v>
      </c>
      <c r="L511" s="11" t="s">
        <v>2921</v>
      </c>
    </row>
    <row r="512" customFormat="false" ht="15" hidden="false" customHeight="true" outlineLevel="0" collapsed="false">
      <c r="A512" s="10" t="s">
        <v>2922</v>
      </c>
      <c r="B512" s="10" t="s">
        <v>2916</v>
      </c>
      <c r="C512" s="10" t="s">
        <v>2923</v>
      </c>
      <c r="D512" s="10" t="s">
        <v>61</v>
      </c>
      <c r="E512" s="10" t="s">
        <v>2924</v>
      </c>
      <c r="F512" s="10" t="s">
        <v>2925</v>
      </c>
      <c r="G512" s="10" t="s">
        <v>2908</v>
      </c>
      <c r="H512" s="10" t="str">
        <f aca="false">IF(G512="BUG","BUG-"&amp;A512,IF(G512="FUNCTIONAL","FUNCTIONAL-"&amp;A512,""))</f>
        <v/>
      </c>
      <c r="I512" s="10" t="s">
        <v>56</v>
      </c>
      <c r="J512" s="10" t="s">
        <v>2920</v>
      </c>
      <c r="L512" s="11" t="s">
        <v>2926</v>
      </c>
    </row>
    <row r="513" customFormat="false" ht="15" hidden="false" customHeight="true" outlineLevel="0" collapsed="false">
      <c r="A513" s="10" t="s">
        <v>2927</v>
      </c>
      <c r="B513" s="10" t="s">
        <v>2928</v>
      </c>
      <c r="C513" s="10" t="s">
        <v>2929</v>
      </c>
      <c r="D513" s="10" t="s">
        <v>2930</v>
      </c>
      <c r="E513" s="10" t="s">
        <v>2931</v>
      </c>
      <c r="F513" s="10" t="s">
        <v>2932</v>
      </c>
      <c r="G513" s="10" t="s">
        <v>2933</v>
      </c>
      <c r="H513" s="10" t="str">
        <f aca="false">IF(G513="BUG","BUG-"&amp;A513,IF(G513="FUNCTIONAL","FUNCTIONAL-"&amp;A513,""))</f>
        <v/>
      </c>
      <c r="I513" s="10" t="s">
        <v>56</v>
      </c>
      <c r="J513" s="10" t="s">
        <v>2934</v>
      </c>
      <c r="L513" s="11" t="s">
        <v>2935</v>
      </c>
    </row>
    <row r="514" customFormat="false" ht="15" hidden="false" customHeight="true" outlineLevel="0" collapsed="false">
      <c r="A514" s="10" t="s">
        <v>2936</v>
      </c>
      <c r="B514" s="10" t="s">
        <v>2937</v>
      </c>
      <c r="C514" s="10" t="s">
        <v>2938</v>
      </c>
      <c r="D514" s="10" t="s">
        <v>2930</v>
      </c>
      <c r="E514" s="10" t="s">
        <v>2939</v>
      </c>
      <c r="F514" s="10" t="s">
        <v>2940</v>
      </c>
      <c r="G514" s="10" t="s">
        <v>2933</v>
      </c>
      <c r="H514" s="10" t="str">
        <f aca="false">IF(G514="BUG","BUG-"&amp;A514,IF(G514="FUNCTIONAL","FUNCTIONAL-"&amp;A514,""))</f>
        <v/>
      </c>
      <c r="I514" s="10" t="s">
        <v>56</v>
      </c>
      <c r="J514" s="10" t="s">
        <v>2941</v>
      </c>
      <c r="L514" s="11" t="s">
        <v>2942</v>
      </c>
    </row>
    <row r="515" customFormat="false" ht="15" hidden="false" customHeight="true" outlineLevel="0" collapsed="false">
      <c r="A515" s="10" t="s">
        <v>2943</v>
      </c>
      <c r="B515" s="10" t="s">
        <v>2944</v>
      </c>
      <c r="C515" s="10" t="s">
        <v>2945</v>
      </c>
      <c r="D515" s="10" t="s">
        <v>2946</v>
      </c>
      <c r="E515" s="10" t="s">
        <v>2947</v>
      </c>
      <c r="F515" s="10" t="s">
        <v>2948</v>
      </c>
      <c r="G515" s="10" t="s">
        <v>2933</v>
      </c>
      <c r="H515" s="10" t="str">
        <f aca="false">IF(G515="BUG","BUG-"&amp;A515,IF(G515="FUNCTIONAL","FUNCTIONAL-"&amp;A515,""))</f>
        <v/>
      </c>
      <c r="I515" s="10" t="s">
        <v>42</v>
      </c>
      <c r="J515" s="10" t="s">
        <v>2949</v>
      </c>
      <c r="L515" s="11" t="s">
        <v>2950</v>
      </c>
    </row>
    <row r="516" customFormat="false" ht="15" hidden="false" customHeight="true" outlineLevel="0" collapsed="false">
      <c r="A516" s="10" t="s">
        <v>2951</v>
      </c>
      <c r="B516" s="10" t="s">
        <v>2944</v>
      </c>
      <c r="C516" s="10" t="s">
        <v>2952</v>
      </c>
      <c r="D516" s="10" t="s">
        <v>2953</v>
      </c>
      <c r="E516" s="10" t="s">
        <v>2954</v>
      </c>
      <c r="F516" s="10" t="s">
        <v>2955</v>
      </c>
      <c r="G516" s="10" t="s">
        <v>2933</v>
      </c>
      <c r="H516" s="10" t="str">
        <f aca="false">IF(G516="BUG","BUG-"&amp;A516,IF(G516="FUNCTIONAL","FUNCTIONAL-"&amp;A516,""))</f>
        <v/>
      </c>
      <c r="I516" s="10" t="s">
        <v>42</v>
      </c>
      <c r="J516" s="10" t="s">
        <v>2949</v>
      </c>
      <c r="L516" s="11" t="s">
        <v>2956</v>
      </c>
    </row>
    <row r="517" customFormat="false" ht="15" hidden="false" customHeight="true" outlineLevel="0" collapsed="false">
      <c r="A517" s="10" t="s">
        <v>2957</v>
      </c>
      <c r="B517" s="10" t="s">
        <v>2958</v>
      </c>
      <c r="C517" s="10" t="s">
        <v>2959</v>
      </c>
      <c r="D517" s="10" t="s">
        <v>2960</v>
      </c>
      <c r="E517" s="10" t="s">
        <v>2961</v>
      </c>
      <c r="F517" s="10" t="s">
        <v>2962</v>
      </c>
      <c r="G517" s="10" t="s">
        <v>74</v>
      </c>
      <c r="H517" s="10" t="str">
        <f aca="false">IF(G517="BUG","BUG-"&amp;A517,IF(G517="FUNCTIONAL","FUNCTIONAL-"&amp;A517,""))</f>
        <v/>
      </c>
      <c r="I517" s="10" t="s">
        <v>42</v>
      </c>
      <c r="J517" s="10" t="s">
        <v>2963</v>
      </c>
      <c r="L517" s="11" t="s">
        <v>2964</v>
      </c>
    </row>
    <row r="518" customFormat="false" ht="15" hidden="false" customHeight="true" outlineLevel="0" collapsed="false">
      <c r="A518" s="10" t="s">
        <v>2965</v>
      </c>
      <c r="B518" s="10" t="s">
        <v>2966</v>
      </c>
      <c r="C518" s="10" t="s">
        <v>2967</v>
      </c>
      <c r="D518" s="10" t="s">
        <v>2688</v>
      </c>
      <c r="E518" s="10" t="s">
        <v>2968</v>
      </c>
      <c r="F518" s="10" t="s">
        <v>2969</v>
      </c>
      <c r="G518" s="10" t="s">
        <v>2864</v>
      </c>
      <c r="H518" s="10" t="str">
        <f aca="false">IF(G518="BUG","BUG-"&amp;A518,IF(G518="FUNCTIONAL","FUNCTIONAL-"&amp;A518,""))</f>
        <v/>
      </c>
      <c r="I518" s="10" t="s">
        <v>65</v>
      </c>
      <c r="J518" s="10" t="s">
        <v>2970</v>
      </c>
      <c r="L518" s="11" t="s">
        <v>2971</v>
      </c>
    </row>
    <row r="519" customFormat="false" ht="15" hidden="false" customHeight="true" outlineLevel="0" collapsed="false">
      <c r="A519" s="10" t="s">
        <v>2972</v>
      </c>
      <c r="B519" s="10" t="s">
        <v>2973</v>
      </c>
      <c r="C519" s="10" t="s">
        <v>2974</v>
      </c>
      <c r="D519" s="10" t="s">
        <v>2688</v>
      </c>
      <c r="E519" s="10" t="s">
        <v>2975</v>
      </c>
      <c r="F519" s="10" t="s">
        <v>2976</v>
      </c>
      <c r="G519" s="10" t="s">
        <v>2864</v>
      </c>
      <c r="H519" s="10" t="str">
        <f aca="false">IF(G519="BUG","BUG-"&amp;A519,IF(G519="FUNCTIONAL","FUNCTIONAL-"&amp;A519,""))</f>
        <v/>
      </c>
      <c r="I519" s="10" t="s">
        <v>65</v>
      </c>
      <c r="J519" s="10" t="s">
        <v>2977</v>
      </c>
      <c r="L519" s="11" t="s">
        <v>2978</v>
      </c>
    </row>
    <row r="520" customFormat="false" ht="15" hidden="false" customHeight="true" outlineLevel="0" collapsed="false">
      <c r="A520" s="10" t="s">
        <v>2979</v>
      </c>
      <c r="B520" s="10" t="s">
        <v>2973</v>
      </c>
      <c r="C520" s="10" t="s">
        <v>2980</v>
      </c>
      <c r="D520" s="10" t="s">
        <v>2688</v>
      </c>
      <c r="E520" s="10" t="s">
        <v>2981</v>
      </c>
      <c r="F520" s="10" t="s">
        <v>2896</v>
      </c>
      <c r="G520" s="10" t="s">
        <v>2864</v>
      </c>
      <c r="H520" s="10" t="str">
        <f aca="false">IF(G520="BUG","BUG-"&amp;A520,IF(G520="FUNCTIONAL","FUNCTIONAL-"&amp;A520,""))</f>
        <v/>
      </c>
      <c r="I520" s="10" t="s">
        <v>65</v>
      </c>
      <c r="J520" s="10" t="s">
        <v>2977</v>
      </c>
      <c r="L520" s="11" t="s">
        <v>2978</v>
      </c>
    </row>
    <row r="521" customFormat="false" ht="15" hidden="false" customHeight="true" outlineLevel="0" collapsed="false">
      <c r="A521" s="10" t="s">
        <v>2982</v>
      </c>
      <c r="B521" s="10" t="s">
        <v>2983</v>
      </c>
      <c r="C521" s="10" t="s">
        <v>2984</v>
      </c>
      <c r="D521" s="10" t="s">
        <v>2985</v>
      </c>
      <c r="E521" s="10" t="s">
        <v>2986</v>
      </c>
      <c r="F521" s="10" t="s">
        <v>2987</v>
      </c>
      <c r="G521" s="10" t="s">
        <v>2933</v>
      </c>
      <c r="H521" s="10" t="str">
        <f aca="false">IF(G521="BUG","BUG-"&amp;A521,IF(G521="FUNCTIONAL","FUNCTIONAL-"&amp;A521,""))</f>
        <v/>
      </c>
      <c r="I521" s="10" t="s">
        <v>42</v>
      </c>
      <c r="J521" s="10" t="s">
        <v>2988</v>
      </c>
      <c r="L521" s="11" t="s">
        <v>2989</v>
      </c>
    </row>
    <row r="522" customFormat="false" ht="15" hidden="false" customHeight="true" outlineLevel="0" collapsed="false">
      <c r="A522" s="10" t="s">
        <v>2990</v>
      </c>
      <c r="B522" s="10" t="s">
        <v>2983</v>
      </c>
      <c r="C522" s="10" t="s">
        <v>2991</v>
      </c>
      <c r="D522" s="10" t="s">
        <v>2992</v>
      </c>
      <c r="E522" s="10" t="s">
        <v>2993</v>
      </c>
      <c r="F522" s="10" t="s">
        <v>2994</v>
      </c>
      <c r="G522" s="10" t="s">
        <v>2933</v>
      </c>
      <c r="H522" s="10" t="str">
        <f aca="false">IF(G522="BUG","BUG-"&amp;A522,IF(G522="FUNCTIONAL","FUNCTIONAL-"&amp;A522,""))</f>
        <v/>
      </c>
      <c r="I522" s="10" t="s">
        <v>42</v>
      </c>
      <c r="J522" s="10" t="s">
        <v>2995</v>
      </c>
      <c r="L522" s="11" t="s">
        <v>2996</v>
      </c>
    </row>
    <row r="523" customFormat="false" ht="15" hidden="false" customHeight="true" outlineLevel="0" collapsed="false">
      <c r="A523" s="10" t="s">
        <v>2997</v>
      </c>
      <c r="B523" s="10" t="s">
        <v>2983</v>
      </c>
      <c r="C523" s="10" t="s">
        <v>2998</v>
      </c>
      <c r="D523" s="10" t="s">
        <v>2992</v>
      </c>
      <c r="E523" s="10" t="s">
        <v>2999</v>
      </c>
      <c r="F523" s="10" t="s">
        <v>3000</v>
      </c>
      <c r="G523" s="10" t="s">
        <v>2933</v>
      </c>
      <c r="H523" s="10" t="str">
        <f aca="false">IF(G523="BUG","BUG-"&amp;A523,IF(G523="FUNCTIONAL","FUNCTIONAL-"&amp;A523,""))</f>
        <v/>
      </c>
      <c r="I523" s="10" t="s">
        <v>42</v>
      </c>
      <c r="J523" s="10" t="s">
        <v>2995</v>
      </c>
      <c r="L523" s="11" t="s">
        <v>3001</v>
      </c>
    </row>
    <row r="524" customFormat="false" ht="15" hidden="false" customHeight="true" outlineLevel="0" collapsed="false">
      <c r="A524" s="10" t="s">
        <v>3002</v>
      </c>
      <c r="B524" s="10" t="s">
        <v>3003</v>
      </c>
      <c r="C524" s="10" t="s">
        <v>3004</v>
      </c>
      <c r="D524" s="10" t="s">
        <v>3005</v>
      </c>
      <c r="E524" s="10" t="s">
        <v>3006</v>
      </c>
      <c r="F524" s="10" t="s">
        <v>3007</v>
      </c>
      <c r="G524" s="10" t="s">
        <v>2933</v>
      </c>
      <c r="H524" s="10" t="str">
        <f aca="false">IF(G524="BUG","BUG-"&amp;A524,IF(G524="FUNCTIONAL","FUNCTIONAL-"&amp;A524,""))</f>
        <v/>
      </c>
      <c r="I524" s="10" t="s">
        <v>56</v>
      </c>
      <c r="J524" s="10" t="s">
        <v>2995</v>
      </c>
      <c r="L524" s="11" t="s">
        <v>3008</v>
      </c>
    </row>
    <row r="525" customFormat="false" ht="15" hidden="false" customHeight="true" outlineLevel="0" collapsed="false">
      <c r="A525" s="10" t="s">
        <v>3009</v>
      </c>
      <c r="B525" s="10" t="s">
        <v>1222</v>
      </c>
      <c r="C525" s="10" t="s">
        <v>3010</v>
      </c>
      <c r="D525" s="10" t="s">
        <v>3011</v>
      </c>
      <c r="E525" s="10" t="s">
        <v>3012</v>
      </c>
      <c r="F525" s="10" t="s">
        <v>3013</v>
      </c>
      <c r="H525" s="10" t="str">
        <f aca="false">IF(G525="BUG","BUG-"&amp;A525,IF(G525="FUNCTIONAL","FUNCTIONAL-"&amp;A525,""))</f>
        <v/>
      </c>
      <c r="I525" s="10" t="s">
        <v>56</v>
      </c>
      <c r="J525" s="10" t="s">
        <v>3014</v>
      </c>
      <c r="L525" s="11" t="s">
        <v>3015</v>
      </c>
    </row>
    <row r="526" customFormat="false" ht="15" hidden="false" customHeight="false" outlineLevel="0" collapsed="false">
      <c r="A526" s="10" t="s">
        <v>3016</v>
      </c>
      <c r="B526" s="10" t="s">
        <v>3017</v>
      </c>
      <c r="C526" s="10" t="s">
        <v>3018</v>
      </c>
      <c r="D526" s="10" t="s">
        <v>3019</v>
      </c>
      <c r="E526" s="10" t="s">
        <v>3020</v>
      </c>
      <c r="F526" s="10" t="s">
        <v>3021</v>
      </c>
      <c r="G526" s="10" t="s">
        <v>2908</v>
      </c>
      <c r="H526" s="10" t="str">
        <f aca="false">IF(G526="BUG","BUG-"&amp;A526,IF(G526="FUNCTIONAL","FUNCTIONAL-"&amp;A526,""))</f>
        <v/>
      </c>
      <c r="I526" s="10" t="s">
        <v>42</v>
      </c>
      <c r="J526" s="10" t="s">
        <v>3022</v>
      </c>
      <c r="L526" s="11" t="s">
        <v>3023</v>
      </c>
    </row>
    <row r="527" customFormat="false" ht="15" hidden="false" customHeight="false" outlineLevel="0" collapsed="false">
      <c r="A527" s="10" t="s">
        <v>3024</v>
      </c>
      <c r="B527" s="10" t="s">
        <v>3017</v>
      </c>
      <c r="C527" s="10" t="s">
        <v>3025</v>
      </c>
      <c r="D527" s="10" t="s">
        <v>3026</v>
      </c>
      <c r="E527" s="10" t="s">
        <v>3027</v>
      </c>
      <c r="F527" s="10" t="s">
        <v>3028</v>
      </c>
      <c r="G527" s="10" t="s">
        <v>2908</v>
      </c>
      <c r="H527" s="10" t="str">
        <f aca="false">IF(G527="BUG","BUG-"&amp;A527,IF(G527="FUNCTIONAL","FUNCTIONAL-"&amp;A527,""))</f>
        <v/>
      </c>
      <c r="I527" s="10" t="s">
        <v>42</v>
      </c>
      <c r="J527" s="10" t="s">
        <v>3022</v>
      </c>
      <c r="L527" s="11" t="s">
        <v>3029</v>
      </c>
    </row>
    <row r="528" customFormat="false" ht="15" hidden="false" customHeight="false" outlineLevel="0" collapsed="false">
      <c r="A528" s="10" t="s">
        <v>3030</v>
      </c>
      <c r="B528" s="10" t="s">
        <v>3017</v>
      </c>
      <c r="C528" s="10" t="s">
        <v>3031</v>
      </c>
      <c r="D528" s="10" t="s">
        <v>3032</v>
      </c>
      <c r="E528" s="10" t="s">
        <v>3033</v>
      </c>
      <c r="F528" s="10" t="s">
        <v>3034</v>
      </c>
      <c r="G528" s="10" t="s">
        <v>2908</v>
      </c>
      <c r="H528" s="10" t="str">
        <f aca="false">IF(G528="BUG","BUG-"&amp;A528,IF(G528="FUNCTIONAL","FUNCTIONAL-"&amp;A528,""))</f>
        <v/>
      </c>
      <c r="I528" s="10" t="s">
        <v>42</v>
      </c>
      <c r="J528" s="10" t="s">
        <v>3022</v>
      </c>
      <c r="L528" s="11" t="s">
        <v>3029</v>
      </c>
    </row>
    <row r="529" customFormat="false" ht="15" hidden="false" customHeight="false" outlineLevel="0" collapsed="false">
      <c r="A529" s="10" t="s">
        <v>3035</v>
      </c>
      <c r="B529" s="10" t="s">
        <v>3017</v>
      </c>
      <c r="C529" s="10" t="s">
        <v>3036</v>
      </c>
      <c r="D529" s="10" t="s">
        <v>3032</v>
      </c>
      <c r="E529" s="10" t="s">
        <v>3037</v>
      </c>
      <c r="F529" s="10" t="s">
        <v>3038</v>
      </c>
      <c r="G529" s="10" t="s">
        <v>2908</v>
      </c>
      <c r="H529" s="10" t="str">
        <f aca="false">IF(G529="BUG","BUG-"&amp;A529,IF(G529="FUNCTIONAL","FUNCTIONAL-"&amp;A529,""))</f>
        <v/>
      </c>
      <c r="I529" s="10" t="s">
        <v>42</v>
      </c>
      <c r="J529" s="10" t="s">
        <v>3022</v>
      </c>
      <c r="L529" s="11" t="s">
        <v>3029</v>
      </c>
    </row>
    <row r="530" customFormat="false" ht="15" hidden="false" customHeight="false" outlineLevel="0" collapsed="false">
      <c r="A530" s="10" t="s">
        <v>3039</v>
      </c>
      <c r="B530" s="10" t="s">
        <v>3017</v>
      </c>
      <c r="C530" s="10" t="s">
        <v>3040</v>
      </c>
      <c r="D530" s="10" t="s">
        <v>3041</v>
      </c>
      <c r="E530" s="10" t="s">
        <v>3042</v>
      </c>
      <c r="F530" s="10" t="s">
        <v>3043</v>
      </c>
      <c r="G530" s="10" t="s">
        <v>2908</v>
      </c>
      <c r="H530" s="10" t="str">
        <f aca="false">IF(G530="BUG","BUG-"&amp;A530,IF(G530="FUNCTIONAL","FUNCTIONAL-"&amp;A530,""))</f>
        <v/>
      </c>
      <c r="I530" s="10" t="s">
        <v>56</v>
      </c>
      <c r="J530" s="10" t="s">
        <v>3022</v>
      </c>
      <c r="L530" s="11" t="s">
        <v>3044</v>
      </c>
    </row>
    <row r="531" customFormat="false" ht="15" hidden="false" customHeight="false" outlineLevel="0" collapsed="false">
      <c r="A531" s="10" t="s">
        <v>3045</v>
      </c>
      <c r="B531" s="10" t="s">
        <v>3017</v>
      </c>
      <c r="C531" s="10" t="s">
        <v>3046</v>
      </c>
      <c r="D531" s="10" t="s">
        <v>3047</v>
      </c>
      <c r="E531" s="10" t="s">
        <v>3048</v>
      </c>
      <c r="F531" s="10" t="s">
        <v>3043</v>
      </c>
      <c r="G531" s="10" t="s">
        <v>2908</v>
      </c>
      <c r="H531" s="10" t="str">
        <f aca="false">IF(G531="BUG","BUG-"&amp;A531,IF(G531="FUNCTIONAL","FUNCTIONAL-"&amp;A531,""))</f>
        <v/>
      </c>
      <c r="I531" s="10" t="s">
        <v>56</v>
      </c>
      <c r="J531" s="10" t="s">
        <v>3022</v>
      </c>
      <c r="L531" s="11" t="s">
        <v>3049</v>
      </c>
    </row>
    <row r="532" customFormat="false" ht="15" hidden="false" customHeight="false" outlineLevel="0" collapsed="false">
      <c r="A532" s="10" t="s">
        <v>3050</v>
      </c>
      <c r="B532" s="10" t="s">
        <v>3017</v>
      </c>
      <c r="C532" s="10" t="s">
        <v>3051</v>
      </c>
      <c r="D532" s="10" t="s">
        <v>3052</v>
      </c>
      <c r="E532" s="10" t="s">
        <v>3053</v>
      </c>
      <c r="F532" s="10" t="s">
        <v>3054</v>
      </c>
      <c r="G532" s="10" t="s">
        <v>2908</v>
      </c>
      <c r="H532" s="10" t="str">
        <f aca="false">IF(G532="BUG","BUG-"&amp;A532,IF(G532="FUNCTIONAL","FUNCTIONAL-"&amp;A532,""))</f>
        <v/>
      </c>
      <c r="I532" s="10" t="s">
        <v>42</v>
      </c>
      <c r="J532" s="10" t="s">
        <v>3022</v>
      </c>
      <c r="L532" s="11" t="s">
        <v>3055</v>
      </c>
    </row>
    <row r="533" customFormat="false" ht="15" hidden="false" customHeight="false" outlineLevel="0" collapsed="false">
      <c r="A533" s="10" t="s">
        <v>3056</v>
      </c>
      <c r="B533" s="10" t="s">
        <v>3017</v>
      </c>
      <c r="C533" s="10" t="s">
        <v>3057</v>
      </c>
      <c r="D533" s="10" t="s">
        <v>3058</v>
      </c>
      <c r="E533" s="10" t="s">
        <v>3059</v>
      </c>
      <c r="F533" s="10" t="s">
        <v>3060</v>
      </c>
      <c r="G533" s="10" t="s">
        <v>2864</v>
      </c>
      <c r="H533" s="10" t="str">
        <f aca="false">IF(G533="BUG","BUG-"&amp;A533,IF(G533="FUNCTIONAL","FUNCTIONAL-"&amp;A533,""))</f>
        <v/>
      </c>
      <c r="I533" s="10" t="s">
        <v>42</v>
      </c>
      <c r="J533" s="10" t="s">
        <v>3022</v>
      </c>
      <c r="L533" s="11" t="s">
        <v>3061</v>
      </c>
    </row>
    <row r="534" customFormat="false" ht="15" hidden="false" customHeight="false" outlineLevel="0" collapsed="false">
      <c r="A534" s="10" t="s">
        <v>3062</v>
      </c>
      <c r="B534" s="10" t="s">
        <v>3017</v>
      </c>
      <c r="C534" s="10" t="s">
        <v>3063</v>
      </c>
      <c r="D534" s="10" t="s">
        <v>3058</v>
      </c>
      <c r="E534" s="10" t="s">
        <v>3064</v>
      </c>
      <c r="F534" s="10" t="s">
        <v>3065</v>
      </c>
      <c r="G534" s="10" t="s">
        <v>2864</v>
      </c>
      <c r="H534" s="10" t="str">
        <f aca="false">IF(G534="BUG","BUG-"&amp;A534,IF(G534="FUNCTIONAL","FUNCTIONAL-"&amp;A534,""))</f>
        <v/>
      </c>
      <c r="I534" s="10" t="s">
        <v>42</v>
      </c>
      <c r="J534" s="10" t="s">
        <v>3022</v>
      </c>
      <c r="L534" s="11" t="s">
        <v>3066</v>
      </c>
    </row>
    <row r="535" customFormat="false" ht="15" hidden="false" customHeight="false" outlineLevel="0" collapsed="false">
      <c r="A535" s="10" t="s">
        <v>3067</v>
      </c>
      <c r="B535" s="10" t="s">
        <v>3017</v>
      </c>
      <c r="C535" s="10" t="s">
        <v>3068</v>
      </c>
      <c r="D535" s="10" t="s">
        <v>3058</v>
      </c>
      <c r="E535" s="10" t="s">
        <v>3064</v>
      </c>
      <c r="F535" s="10" t="s">
        <v>3069</v>
      </c>
      <c r="G535" s="10" t="s">
        <v>2864</v>
      </c>
      <c r="H535" s="10" t="str">
        <f aca="false">IF(G535="BUG","BUG-"&amp;A535,IF(G535="FUNCTIONAL","FUNCTIONAL-"&amp;A535,""))</f>
        <v/>
      </c>
      <c r="I535" s="10" t="s">
        <v>42</v>
      </c>
      <c r="J535" s="10" t="s">
        <v>3022</v>
      </c>
      <c r="L535" s="11" t="s">
        <v>3066</v>
      </c>
    </row>
    <row r="536" customFormat="false" ht="15" hidden="false" customHeight="false" outlineLevel="0" collapsed="false">
      <c r="A536" s="10" t="s">
        <v>3070</v>
      </c>
      <c r="B536" s="10" t="s">
        <v>3017</v>
      </c>
      <c r="C536" s="10" t="s">
        <v>3071</v>
      </c>
      <c r="D536" s="10" t="s">
        <v>3072</v>
      </c>
      <c r="E536" s="10" t="s">
        <v>3073</v>
      </c>
      <c r="F536" s="10" t="s">
        <v>3074</v>
      </c>
      <c r="G536" s="10" t="s">
        <v>2908</v>
      </c>
      <c r="H536" s="10" t="str">
        <f aca="false">IF(G536="BUG","BUG-"&amp;A536,IF(G536="FUNCTIONAL","FUNCTIONAL-"&amp;A536,""))</f>
        <v/>
      </c>
      <c r="I536" s="10" t="s">
        <v>56</v>
      </c>
      <c r="J536" s="10" t="s">
        <v>3022</v>
      </c>
      <c r="L536" s="11" t="s">
        <v>3023</v>
      </c>
    </row>
    <row r="537" customFormat="false" ht="15" hidden="false" customHeight="false" outlineLevel="0" collapsed="false">
      <c r="A537" s="10" t="s">
        <v>3075</v>
      </c>
      <c r="B537" s="10" t="s">
        <v>3017</v>
      </c>
      <c r="C537" s="10" t="s">
        <v>3076</v>
      </c>
      <c r="D537" s="10" t="s">
        <v>3032</v>
      </c>
      <c r="E537" s="10" t="s">
        <v>3077</v>
      </c>
      <c r="F537" s="10" t="s">
        <v>3078</v>
      </c>
      <c r="G537" s="10" t="s">
        <v>2908</v>
      </c>
      <c r="H537" s="10" t="str">
        <f aca="false">IF(G537="BUG","BUG-"&amp;A537,IF(G537="FUNCTIONAL","FUNCTIONAL-"&amp;A537,""))</f>
        <v/>
      </c>
      <c r="I537" s="10" t="s">
        <v>56</v>
      </c>
      <c r="J537" s="10" t="s">
        <v>3022</v>
      </c>
      <c r="L537" s="11" t="s">
        <v>3029</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20" t="s">
        <v>3079</v>
      </c>
    </row>
    <row r="2" customFormat="false" ht="15" hidden="false" customHeight="true" outlineLevel="0" collapsed="false">
      <c r="A2" s="4" t="s">
        <v>32</v>
      </c>
      <c r="B2" s="4" t="s">
        <v>3080</v>
      </c>
      <c r="D2" s="4" t="s">
        <v>27</v>
      </c>
      <c r="E2" s="4" t="s">
        <v>3081</v>
      </c>
    </row>
    <row r="3" customFormat="false" ht="15" hidden="false" customHeight="true" outlineLevel="0" collapsed="false">
      <c r="A3" s="6" t="s">
        <v>41</v>
      </c>
      <c r="B3" s="21" t="n">
        <f aca="false">COUNTIF('Test Case'!G:G,"OK")</f>
        <v>17</v>
      </c>
      <c r="D3" s="6" t="s">
        <v>36</v>
      </c>
      <c r="E3" s="21" t="n">
        <f aca="false">COUNTIF('Test Case'!B:B,"Setup")</f>
        <v>11</v>
      </c>
    </row>
    <row r="4" customFormat="false" ht="15" hidden="false" customHeight="true" outlineLevel="0" collapsed="false">
      <c r="A4" s="6" t="s">
        <v>55</v>
      </c>
      <c r="B4" s="21" t="n">
        <f aca="false">COUNTIF('Test Case'!G:G,"BUG")</f>
        <v>12</v>
      </c>
      <c r="D4" s="6" t="s">
        <v>114</v>
      </c>
      <c r="E4" s="21" t="n">
        <f aca="false">COUNTIF('Test Case'!B:B,"Genitori - Home")</f>
        <v>12</v>
      </c>
    </row>
    <row r="5" customFormat="false" ht="15" hidden="false" customHeight="true" outlineLevel="0" collapsed="false">
      <c r="A5" s="6" t="s">
        <v>64</v>
      </c>
      <c r="B5" s="21" t="n">
        <f aca="false">COUNTIF('Test Case'!G:G,"FUNCTIONAL")</f>
        <v>16</v>
      </c>
      <c r="D5" s="6" t="s">
        <v>144</v>
      </c>
      <c r="E5" s="21" t="n">
        <f aca="false">COUNTIF('Test Case'!B:B,"Genitori - Cerca")</f>
        <v>12</v>
      </c>
    </row>
    <row r="6" customFormat="false" ht="15" hidden="false" customHeight="true" outlineLevel="0" collapsed="false">
      <c r="A6" s="6" t="s">
        <v>74</v>
      </c>
      <c r="B6" s="21" t="n">
        <f aca="false">COUNTIF('Test Case'!G:G,"DA TESTARE")</f>
        <v>360</v>
      </c>
      <c r="D6" s="6" t="s">
        <v>201</v>
      </c>
      <c r="E6" s="21" t="n">
        <f aca="false">COUNTIF('Test Case'!B:B,"Genitori - Attivita")</f>
        <v>16</v>
      </c>
    </row>
    <row r="7" customFormat="false" ht="15" hidden="false" customHeight="true" outlineLevel="0" collapsed="false">
      <c r="A7" s="8" t="s">
        <v>3082</v>
      </c>
      <c r="B7" s="22" t="n">
        <f aca="false">COUNTA('Test Case'!A2:A10000)</f>
        <v>536</v>
      </c>
      <c r="D7" s="6" t="s">
        <v>226</v>
      </c>
      <c r="E7" s="21" t="n">
        <f aca="false">COUNTIF('Test Case'!B:B,"Genitori - Prenotazione")</f>
        <v>17</v>
      </c>
    </row>
    <row r="8" customFormat="false" ht="15" hidden="false" customHeight="true" outlineLevel="0" collapsed="false">
      <c r="D8" s="6" t="s">
        <v>262</v>
      </c>
      <c r="E8" s="21" t="n">
        <f aca="false">COUNTIF('Test Case'!B:B,"Genitori - Gruppi")</f>
        <v>17</v>
      </c>
    </row>
    <row r="9" customFormat="false" ht="15" hidden="false" customHeight="true" outlineLevel="0" collapsed="false">
      <c r="D9" s="6" t="s">
        <v>352</v>
      </c>
      <c r="E9" s="21" t="n">
        <f aca="false">COUNTIF('Test Case'!B:B,"Gestore - Richieste Gruppo")</f>
        <v>4</v>
      </c>
    </row>
    <row r="10" customFormat="false" ht="15" hidden="false" customHeight="true" outlineLevel="0" collapsed="false">
      <c r="D10" s="6" t="s">
        <v>374</v>
      </c>
      <c r="E10" s="21" t="n">
        <f aca="false">COUNTIF('Test Case'!B:B,"Genitori - Accompagnamento")</f>
        <v>8</v>
      </c>
    </row>
    <row r="11" customFormat="false" ht="15" hidden="false" customHeight="true" outlineLevel="0" collapsed="false">
      <c r="D11" s="6" t="s">
        <v>415</v>
      </c>
      <c r="E11" s="21" t="n">
        <f aca="false">COUNTIF('Test Case'!B:B,"Genitori - Calendario")</f>
        <v>2</v>
      </c>
    </row>
    <row r="12" customFormat="false" ht="15" hidden="false" customHeight="true" outlineLevel="0" collapsed="false">
      <c r="D12" s="6" t="s">
        <v>430</v>
      </c>
      <c r="E12" s="21" t="n">
        <f aca="false">COUNTIF('Test Case'!B:B,"Genitori - Profilo")</f>
        <v>23</v>
      </c>
    </row>
    <row r="13" customFormat="false" ht="15" hidden="false" customHeight="true" outlineLevel="0" collapsed="false">
      <c r="D13" s="6" t="s">
        <v>463</v>
      </c>
      <c r="E13" s="21" t="n">
        <f aca="false">COUNTIF('Test Case'!B:B,"Gestore - Dashboard")</f>
        <v>4</v>
      </c>
    </row>
    <row r="14" customFormat="false" ht="15" hidden="false" customHeight="true" outlineLevel="0" collapsed="false">
      <c r="D14" s="6" t="s">
        <v>472</v>
      </c>
      <c r="E14" s="21" t="n">
        <f aca="false">COUNTIF('Test Case'!B:B,"Gestore - Attivita")</f>
        <v>9</v>
      </c>
    </row>
    <row r="15" customFormat="false" ht="15" hidden="false" customHeight="true" outlineLevel="0" collapsed="false">
      <c r="D15" s="6" t="s">
        <v>497</v>
      </c>
      <c r="E15" s="21" t="n">
        <f aca="false">COUNTIF('Test Case'!B:B,"Gestore - Promozioni")</f>
        <v>2</v>
      </c>
    </row>
    <row r="16" customFormat="false" ht="15" hidden="false" customHeight="true" outlineLevel="0" collapsed="false">
      <c r="D16" s="6" t="s">
        <v>507</v>
      </c>
      <c r="E16" s="21" t="n">
        <f aca="false">COUNTIF('Test Case'!B:B,"Gestore - Profilo Centro")</f>
        <v>4</v>
      </c>
    </row>
    <row r="17" customFormat="false" ht="15" hidden="false" customHeight="true" outlineLevel="0" collapsed="false">
      <c r="D17" s="6" t="s">
        <v>517</v>
      </c>
      <c r="E17" s="21" t="n">
        <f aca="false">COUNTIF('Test Case'!B:B,"Admin - Dashboard")</f>
        <v>2</v>
      </c>
    </row>
    <row r="18" customFormat="false" ht="15" hidden="false" customHeight="true" outlineLevel="0" collapsed="false">
      <c r="D18" s="6" t="s">
        <v>525</v>
      </c>
      <c r="E18" s="21" t="n">
        <f aca="false">COUNTIF('Test Case'!B:B,"Admin - Gestione")</f>
        <v>8</v>
      </c>
    </row>
    <row r="19" customFormat="false" ht="15" hidden="false" customHeight="true" outlineLevel="0" collapsed="false">
      <c r="D19" s="6" t="s">
        <v>557</v>
      </c>
      <c r="E19" s="21" t="n">
        <f aca="false">COUNTIF('Test Case'!B:B,"Admin - Richieste Gruppo")</f>
        <v>1</v>
      </c>
    </row>
    <row r="20" customFormat="false" ht="15" hidden="false" customHeight="true" outlineLevel="0" collapsed="false">
      <c r="D20" s="6" t="s">
        <v>564</v>
      </c>
      <c r="E20" s="21" t="n">
        <f aca="false">COUNTIF('Test Case'!B:B,"Admin - Analytics")</f>
        <v>3</v>
      </c>
    </row>
    <row r="21" customFormat="false" ht="15" hidden="false" customHeight="true" outlineLevel="0" collapsed="false">
      <c r="D21" s="6" t="s">
        <v>582</v>
      </c>
      <c r="E21" s="21" t="n">
        <f aca="false">COUNTIF('Test Case'!B:B,"Multi-tenant / PWA")</f>
        <v>7</v>
      </c>
    </row>
    <row r="22" customFormat="false" ht="15" hidden="false" customHeight="true" outlineLevel="0" collapsed="false">
      <c r="D22" s="6" t="s">
        <v>611</v>
      </c>
      <c r="E22" s="21" t="n">
        <f aca="false">COUNTIF('Test Case'!B:B,"Fuori scope attuale")</f>
        <v>3</v>
      </c>
    </row>
    <row r="23" customFormat="false" ht="15" hidden="false" customHeight="true" outlineLevel="0" collapsed="false">
      <c r="D23" s="6" t="s">
        <v>635</v>
      </c>
      <c r="E23" s="21" t="n">
        <f aca="false">COUNTIF('Test Case'!B:B,"Genitori - Home (Planner/Per Bambino)")</f>
        <v>14</v>
      </c>
    </row>
    <row r="24" customFormat="false" ht="15" hidden="false" customHeight="true" outlineLevel="0" collapsed="false">
      <c r="D24" s="6" t="s">
        <v>778</v>
      </c>
      <c r="E24" s="21" t="n">
        <f aca="false">COUNTIF('Test Case'!B:B,"Gestore - Inviti")</f>
        <v>6</v>
      </c>
    </row>
    <row r="25" customFormat="false" ht="15" hidden="false" customHeight="true" outlineLevel="0" collapsed="false">
      <c r="D25" s="6" t="s">
        <v>803</v>
      </c>
      <c r="E25" s="21" t="n">
        <f aca="false">COUNTIF('Test Case'!B:B,"Genitori - Registrazione")</f>
        <v>2</v>
      </c>
    </row>
    <row r="26" customFormat="false" ht="15" hidden="false" customHeight="true" outlineLevel="0" collapsed="false">
      <c r="D26" s="6" t="s">
        <v>982</v>
      </c>
      <c r="E26" s="21" t="n">
        <f aca="false">COUNTIF('Test Case'!B:B,"Gestore - Le mie richieste")</f>
        <v>4</v>
      </c>
    </row>
    <row r="27" customFormat="false" ht="15" hidden="false" customHeight="true" outlineLevel="0" collapsed="false">
      <c r="D27" s="6" t="s">
        <v>995</v>
      </c>
      <c r="E27" s="21" t="n">
        <f aca="false">COUNTIF('Test Case'!B:B,"Gestore - Report presenze")</f>
        <v>2</v>
      </c>
    </row>
    <row r="28" customFormat="false" ht="15" hidden="false" customHeight="true" outlineLevel="0" collapsed="false">
      <c r="D28" s="1" t="s">
        <v>1053</v>
      </c>
      <c r="E28" s="1" t="n">
        <f aca="false">COUNTIF('Test Case'!B:B,"Admin - Nuovi pannelli")</f>
        <v>3</v>
      </c>
    </row>
    <row r="29" customFormat="false" ht="15" hidden="false" customHeight="true" outlineLevel="0" collapsed="false">
      <c r="D29" s="1" t="s">
        <v>890</v>
      </c>
      <c r="E29" s="1" t="n">
        <f aca="false">COUNTIF('Test Case'!B:B,"Gestore - Account")</f>
        <v>1</v>
      </c>
    </row>
    <row r="30" customFormat="false" ht="15" hidden="false" customHeight="true" outlineLevel="0" collapsed="false">
      <c r="D30" s="1" t="s">
        <v>857</v>
      </c>
      <c r="E30" s="1" t="n">
        <f aca="false">COUNTIF('Test Case'!B:B,"Gestore - Il mio account")</f>
        <v>2</v>
      </c>
    </row>
    <row r="31" customFormat="false" ht="15" hidden="false" customHeight="true" outlineLevel="0" collapsed="false">
      <c r="D31" s="1" t="s">
        <v>864</v>
      </c>
      <c r="E31" s="1" t="n">
        <f aca="false">COUNTIF('Test Case'!B:B,"Gestore - Registro presenze")</f>
        <v>6</v>
      </c>
    </row>
    <row r="32" customFormat="false" ht="15" hidden="false" customHeight="true" outlineLevel="0" collapsed="false">
      <c r="D32" s="1" t="s">
        <v>1157</v>
      </c>
      <c r="E32" s="1" t="n">
        <f aca="false">COUNTIF('Test Case'!B:B,"NEXTGEN - Setup")</f>
        <v>6</v>
      </c>
    </row>
    <row r="33" customFormat="false" ht="15" hidden="false" customHeight="true" outlineLevel="0" collapsed="false">
      <c r="D33" s="1" t="s">
        <v>1192</v>
      </c>
      <c r="E33" s="1" t="n">
        <f aca="false">COUNTIF('Test Case'!B:B,"NEXTGEN - Dashboard Genitore")</f>
        <v>3</v>
      </c>
    </row>
    <row r="34" customFormat="false" ht="15" hidden="false" customHeight="true" outlineLevel="0" collapsed="false">
      <c r="D34" s="1" t="s">
        <v>1206</v>
      </c>
      <c r="E34" s="1" t="n">
        <f aca="false">COUNTIF('Test Case'!B:B,"NEXTGEN - Ricerca e scoperta")</f>
        <v>3</v>
      </c>
    </row>
    <row r="35" customFormat="false" ht="15" hidden="false" customHeight="true" outlineLevel="0" collapsed="false">
      <c r="D35" s="1" t="s">
        <v>1222</v>
      </c>
      <c r="E35" s="1" t="n">
        <f aca="false">COUNTIF('Test Case'!B:B,"NEXTGEN - Planner")</f>
        <v>8</v>
      </c>
    </row>
    <row r="36" customFormat="false" ht="15" hidden="false" customHeight="true" outlineLevel="0" collapsed="false">
      <c r="D36" s="1" t="s">
        <v>1259</v>
      </c>
      <c r="E36" s="1" t="n">
        <f aca="false">COUNTIF('Test Case'!B:B,"NEXTGEN - Home (rifinitura)")</f>
        <v>11</v>
      </c>
    </row>
    <row r="37" customFormat="false" ht="15" hidden="false" customHeight="true" outlineLevel="0" collapsed="false">
      <c r="D37" s="1" t="s">
        <v>1314</v>
      </c>
      <c r="E37" s="1" t="n">
        <f aca="false">COUNTIF('Test Case'!B:B,"Versione LEGACY/NEXTGEN - Toggle")</f>
        <v>5</v>
      </c>
    </row>
    <row r="38" customFormat="false" ht="15" hidden="false" customHeight="true" outlineLevel="0" collapsed="false">
      <c r="D38" s="1" t="s">
        <v>1342</v>
      </c>
      <c r="E38" s="1" t="n">
        <f aca="false">COUNTIF('Test Case'!B:B,"NEXTGEN - Community")</f>
        <v>9</v>
      </c>
    </row>
    <row r="39" customFormat="false" ht="15" hidden="false" customHeight="true" outlineLevel="0" collapsed="false">
      <c r="D39" s="1" t="s">
        <v>1689</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2026-08-27T10:57:34Z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