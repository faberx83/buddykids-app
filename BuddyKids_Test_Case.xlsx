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<sst xmlns="http://schemas.openxmlformats.org/spreadsheetml/2006/main" count="4001" uniqueCount="2618">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</sst>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6"/>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tru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tru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row r="452" customFormat="false" ht="15" hidden="false" customHeight="true" outlineLevel="0" collapsed="false">
      <c r="A452" s="10" t="s">
        <v>2584</v>
      </c>
      <c r="B452" s="10" t="s">
        <v>2354</v>
      </c>
      <c r="C452" s="10" t="s">
        <v>2585</v>
      </c>
      <c r="D452" s="10" t="s">
        <v>2586</v>
      </c>
      <c r="E452" s="10" t="s">
        <v>2587</v>
      </c>
      <c r="F452" s="10" t="s">
        <v>2588</v>
      </c>
      <c r="G452" s="10" t="s">
        <v>74</v>
      </c>
      <c r="H452" s="10" t="str">
        <f aca="false">IF(G452="BUG","BUG-"&amp;A452,IF(G452="FUNCTIONAL","FUNCTIONAL-"&amp;A452,""))</f>
        <v/>
      </c>
      <c r="I452" s="10" t="s">
        <v>56</v>
      </c>
      <c r="L452" s="11" t="s">
        <v>2589</v>
      </c>
    </row>
    <row r="453" customFormat="false" ht="15" hidden="false" customHeight="true" outlineLevel="0" collapsed="false">
      <c r="A453" s="10" t="s">
        <v>2590</v>
      </c>
      <c r="B453" s="10" t="s">
        <v>2354</v>
      </c>
      <c r="C453" s="10" t="s">
        <v>2591</v>
      </c>
      <c r="D453" s="10" t="s">
        <v>2549</v>
      </c>
      <c r="E453" s="10" t="s">
        <v>2592</v>
      </c>
      <c r="F453" s="10" t="s">
        <v>2593</v>
      </c>
      <c r="G453" s="10" t="s">
        <v>2552</v>
      </c>
      <c r="H453" s="10" t="str">
        <f aca="false">IF(G453="BUG","BUG-"&amp;A453,IF(G453="FUNCTIONAL","FUNCTIONAL-"&amp;A453,""))</f>
        <v/>
      </c>
      <c r="I453" s="10" t="s">
        <v>56</v>
      </c>
      <c r="L453" s="11" t="s">
        <v>2594</v>
      </c>
    </row>
    <row r="454" customFormat="false" ht="15" hidden="false" customHeight="true" outlineLevel="0" collapsed="false">
      <c r="A454" s="10" t="s">
        <v>2595</v>
      </c>
      <c r="B454" s="10" t="s">
        <v>2354</v>
      </c>
      <c r="C454" s="10" t="s">
        <v>2596</v>
      </c>
      <c r="D454" s="10" t="s">
        <v>2597</v>
      </c>
      <c r="E454" s="10" t="s">
        <v>2598</v>
      </c>
      <c r="F454" s="10" t="s">
        <v>2599</v>
      </c>
      <c r="G454" s="10" t="s">
        <v>74</v>
      </c>
      <c r="H454" s="10" t="str">
        <f aca="false">IF(G454="BUG","BUG-"&amp;A454,IF(G454="FUNCTIONAL","FUNCTIONAL-"&amp;A454,""))</f>
        <v/>
      </c>
      <c r="I454" s="10" t="s">
        <v>56</v>
      </c>
      <c r="L454" s="11" t="s">
        <v>2600</v>
      </c>
    </row>
    <row r="455" customFormat="false" ht="15" hidden="false" customHeight="true" outlineLevel="0" collapsed="false">
      <c r="A455" s="10" t="s">
        <v>2601</v>
      </c>
      <c r="B455" s="10" t="s">
        <v>2602</v>
      </c>
      <c r="C455" s="10" t="s">
        <v>2603</v>
      </c>
      <c r="D455" s="10" t="s">
        <v>2604</v>
      </c>
      <c r="E455" s="10" t="s">
        <v>2605</v>
      </c>
      <c r="F455" s="10" t="s">
        <v>2606</v>
      </c>
      <c r="G455" s="10" t="s">
        <v>2552</v>
      </c>
      <c r="H455" s="10" t="str">
        <f aca="false">IF(G455="BUG","BUG-"&amp;A455,IF(G455="FUNCTIONAL","FUNCTIONAL-"&amp;A455,""))</f>
        <v/>
      </c>
      <c r="I455" s="10" t="s">
        <v>65</v>
      </c>
      <c r="L455" s="11" t="s">
        <v>2607</v>
      </c>
    </row>
    <row r="456" customFormat="false" ht="15" hidden="false" customHeight="false" outlineLevel="0" collapsed="false">
      <c r="A456" s="10" t="s">
        <v>2608</v>
      </c>
      <c r="B456" s="10" t="s">
        <v>2354</v>
      </c>
      <c r="C456" s="10" t="s">
        <v>2609</v>
      </c>
      <c r="D456" s="10" t="s">
        <v>2610</v>
      </c>
      <c r="E456" s="10" t="s">
        <v>2611</v>
      </c>
      <c r="F456" s="10" t="s">
        <v>2612</v>
      </c>
      <c r="G456" s="10" t="s">
        <v>74</v>
      </c>
      <c r="H456" s="10" t="str">
        <f aca="false">IF(G456="BUG","BUG-"&amp;A456,IF(G456="FUNCTIONAL","FUNCTIONAL-"&amp;A456,""))</f>
        <v/>
      </c>
      <c r="I456" s="10" t="s">
        <v>56</v>
      </c>
      <c r="L456" s="11" t="s">
        <v>2613</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2614</v>
      </c>
    </row>
    <row r="2" customFormat="false" ht="15" hidden="false" customHeight="true" outlineLevel="0" collapsed="false">
      <c r="A2" s="4" t="s">
        <v>32</v>
      </c>
      <c r="B2" s="4" t="s">
        <v>2615</v>
      </c>
      <c r="D2" s="4" t="s">
        <v>27</v>
      </c>
      <c r="E2" s="4" t="s">
        <v>2616</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339</v>
      </c>
      <c r="D6" s="6" t="s">
        <v>201</v>
      </c>
      <c r="E6" s="20" t="n">
        <f aca="false">COUNTIF('Test Case'!B:B,"Genitori - Attivita")</f>
        <v>16</v>
      </c>
    </row>
    <row r="7" customFormat="false" ht="15" hidden="false" customHeight="true" outlineLevel="0" collapsed="false">
      <c r="A7" s="8" t="s">
        <v>2617</v>
      </c>
      <c r="B7" s="21" t="n">
        <f aca="false">COUNTA('Test Case'!A2:A10000)</f>
        <v>455</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2026-08-04T18:16:13Z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