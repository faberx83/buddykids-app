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<sst xmlns="http://schemas.openxmlformats.org/spreadsheetml/2006/main" count="3866" uniqueCount="2525">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</sst>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tru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tru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tru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tru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tru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tru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tru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tru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tru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tru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tru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row r="438" customFormat="false" ht="15" hidden="false" customHeight="true" outlineLevel="0" collapsed="false">
      <c r="A438" s="10" t="s">
        <v>2493</v>
      </c>
      <c r="B438" s="10" t="s">
        <v>2494</v>
      </c>
      <c r="C438" s="10" t="s">
        <v>2495</v>
      </c>
      <c r="D438" s="10" t="s">
        <v>2496</v>
      </c>
      <c r="E438" s="10" t="s">
        <v>2497</v>
      </c>
      <c r="F438" s="10" t="s">
        <v>2498</v>
      </c>
      <c r="G438" s="10" t="s">
        <v>74</v>
      </c>
      <c r="H438" s="10" t="str">
        <f aca="false">IF(G438="BUG","BUG-"&amp;A438,IF(G438="FUNCTIONAL","FUNCTIONAL-"&amp;A438,""))</f>
        <v/>
      </c>
      <c r="I438" s="10" t="s">
        <v>42</v>
      </c>
      <c r="L438" s="11" t="s">
        <v>2499</v>
      </c>
    </row>
    <row r="439" customFormat="false" ht="15" hidden="false" customHeight="true" outlineLevel="0" collapsed="false">
      <c r="A439" s="10" t="s">
        <v>2500</v>
      </c>
      <c r="B439" s="10" t="s">
        <v>2501</v>
      </c>
      <c r="C439" s="10" t="s">
        <v>2502</v>
      </c>
      <c r="D439" s="10" t="s">
        <v>2503</v>
      </c>
      <c r="E439" s="10" t="s">
        <v>2504</v>
      </c>
      <c r="F439" s="10" t="s">
        <v>2505</v>
      </c>
      <c r="G439" s="10" t="s">
        <v>74</v>
      </c>
      <c r="H439" s="10" t="str">
        <f aca="false">IF(G439="BUG","BUG-"&amp;A439,IF(G439="FUNCTIONAL","FUNCTIONAL-"&amp;A439,""))</f>
        <v/>
      </c>
      <c r="I439" s="10" t="s">
        <v>56</v>
      </c>
      <c r="L439" s="11" t="s">
        <v>2506</v>
      </c>
    </row>
    <row r="440" customFormat="false" ht="15" hidden="false" customHeight="true" outlineLevel="0" collapsed="false">
      <c r="A440" s="10" t="s">
        <v>2507</v>
      </c>
      <c r="B440" s="10" t="s">
        <v>2508</v>
      </c>
      <c r="C440" s="10" t="s">
        <v>2509</v>
      </c>
      <c r="D440" s="10" t="s">
        <v>2510</v>
      </c>
      <c r="E440" s="10" t="s">
        <v>2511</v>
      </c>
      <c r="F440" s="10" t="s">
        <v>2512</v>
      </c>
      <c r="G440" s="10" t="s">
        <v>74</v>
      </c>
      <c r="H440" s="10" t="str">
        <f aca="false">IF(G440="BUG","BUG-"&amp;A440,IF(G440="FUNCTIONAL","FUNCTIONAL-"&amp;A440,""))</f>
        <v/>
      </c>
      <c r="I440" s="10" t="s">
        <v>42</v>
      </c>
      <c r="L440" s="11" t="s">
        <v>2513</v>
      </c>
    </row>
    <row r="441" customFormat="false" ht="15" hidden="false" customHeight="false" outlineLevel="0" collapsed="false">
      <c r="A441" s="10" t="s">
        <v>2514</v>
      </c>
      <c r="B441" s="10" t="s">
        <v>2515</v>
      </c>
      <c r="C441" s="10" t="s">
        <v>2516</v>
      </c>
      <c r="D441" s="10" t="s">
        <v>2517</v>
      </c>
      <c r="E441" s="10" t="s">
        <v>2518</v>
      </c>
      <c r="F441" s="10" t="s">
        <v>2519</v>
      </c>
      <c r="G441" s="10" t="s">
        <v>74</v>
      </c>
      <c r="H441" s="10" t="str">
        <f aca="false">IF(G441="BUG","BUG-"&amp;A441,IF(G441="FUNCTIONAL","FUNCTIONAL-"&amp;A441,""))</f>
        <v/>
      </c>
      <c r="I441" s="10" t="s">
        <v>56</v>
      </c>
      <c r="L441" s="11" t="s">
        <v>2520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2521</v>
      </c>
    </row>
    <row r="2" customFormat="false" ht="15" hidden="false" customHeight="true" outlineLevel="0" collapsed="false">
      <c r="A2" s="4" t="s">
        <v>32</v>
      </c>
      <c r="B2" s="4" t="s">
        <v>2522</v>
      </c>
      <c r="D2" s="4" t="s">
        <v>27</v>
      </c>
      <c r="E2" s="4" t="s">
        <v>2523</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328</v>
      </c>
      <c r="D6" s="6" t="s">
        <v>201</v>
      </c>
      <c r="E6" s="20" t="n">
        <f aca="false">COUNTIF('Test Case'!B:B,"Genitori - Attivita")</f>
        <v>16</v>
      </c>
    </row>
    <row r="7" customFormat="false" ht="15" hidden="false" customHeight="true" outlineLevel="0" collapsed="false">
      <c r="A7" s="8" t="s">
        <v>2524</v>
      </c>
      <c r="B7" s="21" t="n">
        <f aca="false">COUNTA('Test Case'!A2:A10000)</f>
        <v>440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2026-08-03T08:21:44Z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