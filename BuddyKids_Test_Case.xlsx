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1" min="1" max="1"/>
    <col width="90" customWidth="1" style="21" min="2" max="2"/>
  </cols>
  <sheetData>
    <row r="1" ht="19.5" customHeight="1" s="22">
      <c r="A1" s="23" t="inlineStr">
        <is>
          <t>BuddyKids — Matrice di Test</t>
        </is>
      </c>
    </row>
    <row r="2" ht="15" customHeight="1" s="22">
      <c r="A2" s="24" t="inlineStr">
        <is>
          <t>Guida alla compilazione della colonna Esito</t>
        </is>
      </c>
    </row>
    <row r="4" ht="18" customHeight="1" s="22">
      <c r="A4" s="25" t="inlineStr">
        <is>
          <t>Colonna</t>
        </is>
      </c>
      <c r="B4" s="26" t="inlineStr">
        <is>
          <t>Significato</t>
        </is>
      </c>
    </row>
    <row r="5" ht="30" customHeight="1" s="22">
      <c r="A5" s="27" t="inlineStr">
        <is>
          <t>Esito = OK</t>
        </is>
      </c>
      <c r="B5" s="28" t="inlineStr">
        <is>
          <t>Il test e stato eseguito e il comportamento corrisponde al risultato atteso.</t>
        </is>
      </c>
    </row>
    <row r="6" ht="30" customHeight="1" s="22">
      <c r="A6" s="27" t="inlineStr">
        <is>
          <t>Esito = BUG</t>
        </is>
      </c>
      <c r="B6" s="28" t="inlineStr">
        <is>
          <t>Il comportamento non corrisponde a quanto previsto per un errore tecnico (crash, dato sbagliato, funzione che non risponde). Genera automaticamente un ID 'BUG-TC-xxx' in colonna ID Anomalia.</t>
        </is>
      </c>
    </row>
    <row r="7" ht="30" customHeight="1" s="22">
      <c r="A7" s="27" t="inlineStr">
        <is>
          <t>Esito = FUNCTIONAL</t>
        </is>
      </c>
      <c r="B7" s="28" t="inlineStr">
        <is>
          <t>Il comportamento e quello atteso OGGI, ma manca un requisito/funzionalita non ancora costruita (non e un errore, e un gap di scope). Genera automaticamente un ID 'FUNCTIONAL-TC-xxx'.</t>
        </is>
      </c>
    </row>
    <row r="8" ht="30" customHeight="1" s="22">
      <c r="A8" s="27" t="inlineStr">
        <is>
          <t>Esito = DA TESTARE</t>
        </is>
      </c>
      <c r="B8" s="28" t="inlineStr">
        <is>
          <t>Non ancora verificato sul deploy reale — da compilare durante il test.</t>
        </is>
      </c>
    </row>
    <row r="9" ht="30" customHeight="1" s="22">
      <c r="A9" s="27" t="inlineStr">
        <is>
          <t>Priorita</t>
        </is>
      </c>
      <c r="B9" s="28" t="inlineStr">
        <is>
          <t>Alta = blocca un flusso centrale (registrazione, prenotazione, pagamento simulato, sicurezza ruoli). Media = funzionalita secondaria ma visibile. Bassa = rifinitura/nice-to-have.</t>
        </is>
      </c>
    </row>
    <row r="10" ht="30" customHeight="1" s="22">
      <c r="A10" s="27" t="inlineStr">
        <is>
          <t>Task collegato</t>
        </is>
      </c>
      <c r="B10" s="28" t="inlineStr">
        <is>
          <t>Riferimento al numero di task interno gia tracciato in questa conversazione, quando applicabile.</t>
        </is>
      </c>
    </row>
    <row r="11" ht="30" customHeight="1" s="22">
      <c r="A11" s="27" t="inlineStr">
        <is>
          <t>Note</t>
        </is>
      </c>
      <c r="B11" s="28" t="inlineStr">
        <is>
          <t>Ipotesi/diagnosi gia note dal codice sorgente (utile per non re-investigare da zero) o dettagli aggiuntivi.</t>
        </is>
      </c>
    </row>
    <row r="13" ht="15" customHeight="1" s="22">
      <c r="A13" s="29" t="inlineStr">
        <is>
          <t>Ordine di test consigliato</t>
        </is>
      </c>
    </row>
    <row r="14" ht="15" customHeight="1" s="22">
      <c r="A14" s="28" t="inlineStr">
        <is>
          <t>1. Setup — crea le tre utenze (genitore, gestore, admin) prima di tutto il resto.</t>
        </is>
      </c>
    </row>
    <row r="15" ht="15" customHeight="1" s="22">
      <c r="A15" s="28" t="inlineStr">
        <is>
          <t>2. Genitori — Home, Cerca, Attivita, Prenotazione.</t>
        </is>
      </c>
    </row>
    <row r="16" ht="23.25" customHeight="1" s="22">
      <c r="A16" s="28" t="inlineStr">
        <is>
          <t>3. Genitori — Gruppi (crea gruppo, invita una seconda utenza genitore reale per testare davvero l'adesione multi-famiglia) e Accompagnamento.</t>
        </is>
      </c>
    </row>
    <row r="17" ht="15" customHeight="1" s="22">
      <c r="A17" s="28" t="inlineStr">
        <is>
          <t>4. Gestore — ricevi e rispondi alla Richiesta Gruppo generata al punto 3.</t>
        </is>
      </c>
    </row>
    <row r="18" ht="15" customHeight="1" s="22">
      <c r="A18" s="28" t="inlineStr">
        <is>
          <t>5. Gestore — Attivita/Promozioni/Profilo centro.</t>
        </is>
      </c>
    </row>
    <row r="19" ht="15" customHeight="1" s="22">
      <c r="A19" s="28" t="inlineStr">
        <is>
          <t>6. Admin — Dashboard/Gestione/Analytics/Richieste Gruppo/Tag.</t>
        </is>
      </c>
    </row>
    <row r="20" ht="15" customHeight="1" s="22">
      <c r="A20" s="28"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215"/>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0" min="1" max="1"/>
    <col width="24" customWidth="1" style="30" min="2" max="2"/>
    <col width="36" customWidth="1" style="30" min="3" max="3"/>
    <col width="40.83" customWidth="1" style="30" min="4" max="4"/>
    <col width="60.16" customWidth="1" style="30" min="5" max="5"/>
    <col width="70.16" customWidth="1" style="30" min="6" max="6"/>
    <col width="18" customWidth="1" style="30" min="7" max="7"/>
    <col width="20.51" customWidth="1" style="30" min="8" max="8"/>
    <col width="12.16" customWidth="1" style="30" min="9" max="9"/>
    <col width="18.16" customWidth="1" style="30" min="10" max="10"/>
    <col width="77.66" customWidth="1" style="31" min="11" max="12"/>
    <col width="39" customWidth="1" style="30" min="13" max="16384"/>
  </cols>
  <sheetData>
    <row r="1" ht="31.5" customHeight="1" s="22">
      <c r="A1" s="32" t="inlineStr">
        <is>
          <t>ID Test</t>
        </is>
      </c>
      <c r="B1" s="32" t="inlineStr">
        <is>
          <t>Area</t>
        </is>
      </c>
      <c r="C1" s="32" t="inlineStr">
        <is>
          <t>Scenario</t>
        </is>
      </c>
      <c r="D1" s="32" t="inlineStr">
        <is>
          <t>Precondizioni</t>
        </is>
      </c>
      <c r="E1" s="32" t="inlineStr">
        <is>
          <t>Passi</t>
        </is>
      </c>
      <c r="F1" s="32" t="inlineStr">
        <is>
          <t>Risultato atteso</t>
        </is>
      </c>
      <c r="G1" s="32" t="inlineStr">
        <is>
          <t>Esito</t>
        </is>
      </c>
      <c r="H1" s="32" t="inlineStr">
        <is>
          <t>ID Anomalia</t>
        </is>
      </c>
      <c r="I1" s="32" t="inlineStr">
        <is>
          <t>Priorita</t>
        </is>
      </c>
      <c r="J1" s="32" t="inlineStr">
        <is>
          <t>Task collegato</t>
        </is>
      </c>
      <c r="K1" s="33" t="inlineStr">
        <is>
          <t>STATO ANOMALIA</t>
        </is>
      </c>
      <c r="L1" s="32" t="inlineStr">
        <is>
          <t>Note</t>
        </is>
      </c>
    </row>
    <row r="2" ht="45" customHeight="1" s="22">
      <c r="A2" s="34" t="inlineStr">
        <is>
          <t>TC-001</t>
        </is>
      </c>
      <c r="B2" s="35" t="inlineStr">
        <is>
          <t>Setup</t>
        </is>
      </c>
      <c r="C2" s="35" t="inlineStr">
        <is>
          <t>Registrazione nuovo account genitore</t>
        </is>
      </c>
      <c r="D2" s="35" t="inlineStr">
        <is>
          <t>Nessun account con quella email</t>
        </is>
      </c>
      <c r="E2" s="35" t="inlineStr">
        <is>
          <t>Vai su /auth/login -&gt; tab 'Registrati' -&gt; inserisci email+password (min 6 caratteri) -&gt; invia</t>
        </is>
      </c>
      <c r="F2" s="35" t="inlineStr">
        <is>
          <t>Messaggio 'Controlla la tua email per confermare la registrazione'; riga creata in public.profiles con role='parent'</t>
        </is>
      </c>
      <c r="G2" s="35" t="inlineStr">
        <is>
          <t>OK</t>
        </is>
      </c>
      <c r="H2" s="35">
        <f>IF(G2="BUG","BUG-"&amp;A2,IF(G2="FUNCTIONAL","FUNCTIONAL-"&amp;A2,""))</f>
        <v/>
      </c>
      <c r="I2" s="35" t="inlineStr">
        <is>
          <t>Alta</t>
        </is>
      </c>
      <c r="J2" s="35" t="n"/>
      <c r="K2" s="36" t="inlineStr">
        <is>
          <t>FIX (messaggio post-registrazione già mostrato in pagina, verificato nel codice) / NON-CODICE (dominio email invio - vedi task #53, azione su dashboard Supabase, non da codice)</t>
        </is>
      </c>
      <c r="L2" s="36" t="inlineStr">
        <is>
          <t>1) Dopo aver inserito email e password, la pagina dovrebbe aggiornarsi mentre rimane sul login
2) la mail, ora, arriva da supabase: segnarsi di sistemare tutte le mail con indirizzi e domini corretti</t>
        </is>
      </c>
    </row>
    <row r="3" ht="45" customHeight="1" s="22">
      <c r="A3" s="34" t="inlineStr">
        <is>
          <t>TC-002</t>
        </is>
      </c>
      <c r="B3" s="35" t="inlineStr">
        <is>
          <t>Setup</t>
        </is>
      </c>
      <c r="C3" s="35" t="inlineStr">
        <is>
          <t>Conferma email e primo accesso</t>
        </is>
      </c>
      <c r="D3" s="35" t="inlineStr">
        <is>
          <t>Registrazione completata (TC precedente)</t>
        </is>
      </c>
      <c r="E3" s="35" t="inlineStr">
        <is>
          <t>Apri il link di conferma ricevuto via email -&gt; verifica redirect su /auth/callback -&gt; poi login con email+password</t>
        </is>
      </c>
      <c r="F3" s="35" t="inlineStr">
        <is>
          <t>Login riuscito, redirect a '/'</t>
        </is>
      </c>
      <c r="G3" s="35" t="inlineStr">
        <is>
          <t>OK</t>
        </is>
      </c>
      <c r="H3" s="35">
        <f>IF(G3="BUG","BUG-"&amp;A3,IF(G3="FUNCTIONAL","FUNCTIONAL-"&amp;A3,""))</f>
        <v/>
      </c>
      <c r="I3" s="35" t="inlineStr">
        <is>
          <t>Alta</t>
        </is>
      </c>
      <c r="J3" s="35" t="n"/>
      <c r="K3" s="36" t="n"/>
      <c r="L3" s="36" t="n"/>
    </row>
    <row r="4" ht="45" customHeight="1" s="22">
      <c r="A4" s="34" t="inlineStr">
        <is>
          <t>TC-003</t>
        </is>
      </c>
      <c r="B4" s="35" t="inlineStr">
        <is>
          <t>Setup</t>
        </is>
      </c>
      <c r="C4" s="35" t="inlineStr">
        <is>
          <t>Login con credenziali errate</t>
        </is>
      </c>
      <c r="D4" s="35" t="inlineStr">
        <is>
          <t>Account esistente</t>
        </is>
      </c>
      <c r="E4" s="35" t="inlineStr">
        <is>
          <t>Vai su /auth/login -&gt; inserisci password sbagliata -&gt; invia</t>
        </is>
      </c>
      <c r="F4" s="35" t="inlineStr">
        <is>
          <t>Messaggio di errore visibile, nessun accesso</t>
        </is>
      </c>
      <c r="G4" s="35" t="inlineStr">
        <is>
          <t>BUG</t>
        </is>
      </c>
      <c r="H4" s="35">
        <f>IF(G4="BUG","BUG-"&amp;A4,IF(G4="FUNCTIONAL","FUNCTIONAL-"&amp;A4,""))</f>
        <v/>
      </c>
      <c r="I4" s="35" t="inlineStr">
        <is>
          <t>Media</t>
        </is>
      </c>
      <c r="J4" s="35" t="n"/>
      <c r="K4" s="36" t="inlineStr">
        <is>
          <t>TO DEPLOY (fixato in questa sessione: messaggi di errore login tradotti in italiano) | RISOLTO: bug label email/password non associate, vedi Note | RISOLTO (hardening test)</t>
        </is>
      </c>
      <c r="L4" s="36"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2">
      <c r="A5" s="34" t="inlineStr">
        <is>
          <t>TC-004</t>
        </is>
      </c>
      <c r="B5" s="35" t="inlineStr">
        <is>
          <t>Setup</t>
        </is>
      </c>
      <c r="C5" s="35" t="inlineStr">
        <is>
          <t>Password dimenticata</t>
        </is>
      </c>
      <c r="D5" s="35" t="inlineStr">
        <is>
          <t>Nessuna</t>
        </is>
      </c>
      <c r="E5" s="35" t="inlineStr">
        <is>
          <t>Click su 'Password dimenticata?' in /auth/login</t>
        </is>
      </c>
      <c r="F5" s="35" t="inlineStr">
        <is>
          <t>Dovrebbe avviare un flusso di reset password</t>
        </is>
      </c>
      <c r="G5" s="35" t="inlineStr">
        <is>
          <t>FUNCTIONAL</t>
        </is>
      </c>
      <c r="H5" s="35">
        <f>IF(G5="BUG","BUG-"&amp;A5,IF(G5="FUNCTIONAL","FUNCTIONAL-"&amp;A5,""))</f>
        <v/>
      </c>
      <c r="I5" s="35" t="inlineStr">
        <is>
          <t>Bassa</t>
        </is>
      </c>
      <c r="J5" s="35" t="inlineStr">
        <is>
          <t>#11 area affine</t>
        </is>
      </c>
      <c r="K5" s="36" t="inlineStr">
        <is>
          <t>TO DEPLOY (fixato in questa sessione: reset password reale via Supabase)</t>
        </is>
      </c>
      <c r="L5" s="36" t="inlineStr">
        <is>
          <t>Noto: badge ComingSoon, nessuna azione reale implementata</t>
        </is>
      </c>
    </row>
    <row r="6" ht="45" customHeight="1" s="22">
      <c r="A6" s="34" t="inlineStr">
        <is>
          <t>TC-005</t>
        </is>
      </c>
      <c r="B6" s="35" t="inlineStr">
        <is>
          <t>Setup</t>
        </is>
      </c>
      <c r="C6" s="35" t="inlineStr">
        <is>
          <t>Promozione account a Gestore centro</t>
        </is>
      </c>
      <c r="D6" s="35" t="inlineStr">
        <is>
          <t>Account genitore registrato, accesso allo SQL Editor Supabase</t>
        </is>
      </c>
      <c r="E6" s="35" t="inlineStr">
        <is>
          <t>Esegui: update public.profiles set role='center_admin', center_id=(select id from centers where slug='...') where email='...'</t>
        </is>
      </c>
      <c r="F6" s="35" t="inlineStr">
        <is>
          <t>Il profilo ha role=center_admin e center_id valorizzato</t>
        </is>
      </c>
      <c r="G6" s="35" t="inlineStr">
        <is>
          <t>DA TESTARE</t>
        </is>
      </c>
      <c r="H6" s="35">
        <f>IF(G6="BUG","BUG-"&amp;A6,IF(G6="FUNCTIONAL","FUNCTIONAL-"&amp;A6,""))</f>
        <v/>
      </c>
      <c r="I6" s="35" t="inlineStr">
        <is>
          <t>Alta</t>
        </is>
      </c>
      <c r="J6" s="35" t="n"/>
      <c r="K6" s="36" t="inlineStr">
        <is>
          <t>PARZIALE: TO DEPLOY (branding pagina login + CTA logout fixati) / NOT CLEAR (creazione account self-service senza SQL - task #44, serve tua decisione su workflow di approvazione)</t>
        </is>
      </c>
      <c r="L6"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2">
      <c r="A7" s="34" t="inlineStr">
        <is>
          <t>TC-006</t>
        </is>
      </c>
      <c r="B7" s="35" t="inlineStr">
        <is>
          <t>Setup</t>
        </is>
      </c>
      <c r="C7" s="35" t="inlineStr">
        <is>
          <t>Login Gestore su dominio partner/alias</t>
        </is>
      </c>
      <c r="D7" s="35" t="inlineStr">
        <is>
          <t>Account promosso (TC precedente)</t>
        </is>
      </c>
      <c r="E7" s="35" t="inlineStr">
        <is>
          <t>Vai sull'alias/dominio partner -&gt; login -&gt; verifica redirect a /center</t>
        </is>
      </c>
      <c r="F7" s="35" t="inlineStr">
        <is>
          <t>Accesso alla dashboard Gestore, sidebar con Dashboard/Il mio centro/Attivita/Promozioni/Richieste Gruppo</t>
        </is>
      </c>
      <c r="G7" s="35" t="inlineStr">
        <is>
          <t>DA TESTARE</t>
        </is>
      </c>
      <c r="H7" s="35">
        <f>IF(G7="BUG","BUG-"&amp;A7,IF(G7="FUNCTIONAL","FUNCTIONAL-"&amp;A7,""))</f>
        <v/>
      </c>
      <c r="I7" s="35" t="inlineStr">
        <is>
          <t>Alta</t>
        </is>
      </c>
      <c r="J7" s="35" t="inlineStr">
        <is>
          <t>#6</t>
        </is>
      </c>
      <c r="K7" s="36" t="inlineStr">
        <is>
          <t>TO DEPLOY (fixato: login tenant-aware, redirect corretto)</t>
        </is>
      </c>
      <c r="L7" s="36" t="n"/>
    </row>
    <row r="8" ht="45" customHeight="1" s="22">
      <c r="A8" s="34" t="inlineStr">
        <is>
          <t>TC-007</t>
        </is>
      </c>
      <c r="B8" s="35" t="inlineStr">
        <is>
          <t>Setup</t>
        </is>
      </c>
      <c r="C8" s="35" t="inlineStr">
        <is>
          <t>Promozione account ad Admin piattaforma</t>
        </is>
      </c>
      <c r="D8" s="35" t="inlineStr">
        <is>
          <t>Account genitore registrato</t>
        </is>
      </c>
      <c r="E8" s="35" t="inlineStr">
        <is>
          <t>Esegui: update public.profiles set role='platform_admin' where email='...'</t>
        </is>
      </c>
      <c r="F8" s="35" t="inlineStr">
        <is>
          <t>Il profilo ha role=platform_admin</t>
        </is>
      </c>
      <c r="G8" s="35" t="inlineStr">
        <is>
          <t>DA TESTARE</t>
        </is>
      </c>
      <c r="H8" s="35">
        <f>IF(G8="BUG","BUG-"&amp;A8,IF(G8="FUNCTIONAL","FUNCTIONAL-"&amp;A8,""))</f>
        <v/>
      </c>
      <c r="I8" s="35" t="inlineStr">
        <is>
          <t>Alta</t>
        </is>
      </c>
      <c r="J8" s="35" t="n"/>
      <c r="K8" s="36" t="inlineStr">
        <is>
          <t>PARZIALE: TO DEPLOY (branding pagina login + CTA logout fixati) / NOT CLEAR (creazione account self-service senza SQL - task #44, serve tua decisione)</t>
        </is>
      </c>
      <c r="L8" s="36"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2">
      <c r="A9" s="34" t="inlineStr">
        <is>
          <t>TC-008</t>
        </is>
      </c>
      <c r="B9" s="35" t="inlineStr">
        <is>
          <t>Setup</t>
        </is>
      </c>
      <c r="C9" s="35" t="inlineStr">
        <is>
          <t>Login Admin su dominio admin/alias</t>
        </is>
      </c>
      <c r="D9" s="35" t="inlineStr">
        <is>
          <t>Account promosso (TC precedente)</t>
        </is>
      </c>
      <c r="E9" s="35" t="inlineStr">
        <is>
          <t>Vai sull'alias/dominio admin -&gt; login -&gt; verifica redirect a /admin</t>
        </is>
      </c>
      <c r="F9" s="35" t="inlineStr">
        <is>
          <t>Accesso alla dashboard Admin</t>
        </is>
      </c>
      <c r="G9" s="35" t="inlineStr">
        <is>
          <t>DA TESTARE</t>
        </is>
      </c>
      <c r="H9" s="35">
        <f>IF(G9="BUG","BUG-"&amp;A9,IF(G9="FUNCTIONAL","FUNCTIONAL-"&amp;A9,""))</f>
        <v/>
      </c>
      <c r="I9" s="35" t="inlineStr">
        <is>
          <t>Alta</t>
        </is>
      </c>
      <c r="J9" s="35" t="inlineStr">
        <is>
          <t>#8</t>
        </is>
      </c>
      <c r="K9" s="36" t="inlineStr">
        <is>
          <t>TO DEPLOY (fixato: login tenant-aware, redirect corretto)</t>
        </is>
      </c>
      <c r="L9" s="36" t="n"/>
    </row>
    <row r="10" ht="45" customHeight="1" s="22">
      <c r="A10" s="34" t="inlineStr">
        <is>
          <t>TC-009</t>
        </is>
      </c>
      <c r="B10" s="35" t="inlineStr">
        <is>
          <t>Setup</t>
        </is>
      </c>
      <c r="C10" s="35" t="inlineStr">
        <is>
          <t>Accesso negato a /center con ruolo parent</t>
        </is>
      </c>
      <c r="D10" s="35" t="inlineStr">
        <is>
          <t>Account con role=parent</t>
        </is>
      </c>
      <c r="E10" s="35" t="inlineStr">
        <is>
          <t>Vai sul dominio partner e prova ad accedere</t>
        </is>
      </c>
      <c r="F10" s="35" t="inlineStr">
        <is>
          <t>Se non loggato: redirect a login sullo stesso host; se loggato come parent: redirect al dominio principale</t>
        </is>
      </c>
      <c r="G10" s="35" t="inlineStr">
        <is>
          <t>DA TESTARE</t>
        </is>
      </c>
      <c r="H10" s="35">
        <f>IF(G10="BUG","BUG-"&amp;A10,IF(G10="FUNCTIONAL","FUNCTIONAL-"&amp;A10,""))</f>
        <v/>
      </c>
      <c r="I10" s="35" t="inlineStr">
        <is>
          <t>Alta</t>
        </is>
      </c>
      <c r="J10" s="35" t="n"/>
      <c r="K10" s="36" t="inlineStr">
        <is>
          <t>NOT CLEAR (nota è sulla riformulazione del test, non un bug applicativo - legato a #44)</t>
        </is>
      </c>
      <c r="L10" s="36" t="inlineStr">
        <is>
          <t>Test case tecnico - da riformulare con processo "utente" senza accesso ai db o conoscenza dell'infrastruttura tecnica</t>
        </is>
      </c>
    </row>
    <row r="11" ht="45" customHeight="1" s="22">
      <c r="A11" s="34" t="inlineStr">
        <is>
          <t>TC-010</t>
        </is>
      </c>
      <c r="B11" s="35" t="inlineStr">
        <is>
          <t>Setup</t>
        </is>
      </c>
      <c r="C11" s="35" t="inlineStr">
        <is>
          <t>Accesso negato a /admin con ruolo center_admin</t>
        </is>
      </c>
      <c r="D11" s="35" t="inlineStr">
        <is>
          <t>Account con role=center_admin</t>
        </is>
      </c>
      <c r="E11" s="35" t="inlineStr">
        <is>
          <t>Vai sul dominio admin e prova ad accedere</t>
        </is>
      </c>
      <c r="F11" s="35" t="inlineStr">
        <is>
          <t>Redirect al dominio principale (l'admin e' superset, il gestore no)</t>
        </is>
      </c>
      <c r="G11" s="35" t="inlineStr">
        <is>
          <t>DA TESTARE</t>
        </is>
      </c>
      <c r="H11" s="35">
        <f>IF(G11="BUG","BUG-"&amp;A11,IF(G11="FUNCTIONAL","FUNCTIONAL-"&amp;A11,""))</f>
        <v/>
      </c>
      <c r="I11" s="35" t="inlineStr">
        <is>
          <t>Alta</t>
        </is>
      </c>
      <c r="J11" s="35" t="n"/>
      <c r="K11" s="36" t="inlineStr">
        <is>
          <t>NOT CLEAR (nota è sulla riformulazione del test, non un bug applicativo - legato a #44)</t>
        </is>
      </c>
      <c r="L11" s="36" t="inlineStr">
        <is>
          <t>Test case tecnico - da riformulare con processo "utente" senza accesso ai db o conoscenza dell'infrastruttura tecnica</t>
        </is>
      </c>
    </row>
    <row r="12" ht="45" customHeight="1" s="22">
      <c r="A12" s="34" t="inlineStr">
        <is>
          <t>TC-011</t>
        </is>
      </c>
      <c r="B12" s="35" t="inlineStr">
        <is>
          <t>Setup</t>
        </is>
      </c>
      <c r="C12" s="35" t="inlineStr">
        <is>
          <t>Logout</t>
        </is>
      </c>
      <c r="D12" s="35" t="inlineStr">
        <is>
          <t>Utente loggato (qualsiasi ruolo)</t>
        </is>
      </c>
      <c r="E12" s="35" t="inlineStr">
        <is>
          <t>Vai su Profilo (genitore) o link in sidebar (gestore/admin) -&gt; click 'Esci'</t>
        </is>
      </c>
      <c r="F12" s="35" t="inlineStr">
        <is>
          <t>Sessione terminata, redirect a login o home pubblica</t>
        </is>
      </c>
      <c r="G12" s="35" t="inlineStr">
        <is>
          <t>DA TESTARE</t>
        </is>
      </c>
      <c r="H12" s="35">
        <f>IF(G12="BUG","BUG-"&amp;A12,IF(G12="FUNCTIONAL","FUNCTIONAL-"&amp;A12,""))</f>
        <v/>
      </c>
      <c r="I12" s="35" t="inlineStr">
        <is>
          <t>Media</t>
        </is>
      </c>
      <c r="J12" s="35" t="n"/>
      <c r="K12" s="36" t="n"/>
      <c r="L12" s="36" t="n"/>
    </row>
    <row r="13" ht="45" customHeight="1" s="22">
      <c r="A13" s="34" t="inlineStr">
        <is>
          <t>TC-012</t>
        </is>
      </c>
      <c r="B13" s="35" t="inlineStr">
        <is>
          <t>Genitori - Home</t>
        </is>
      </c>
      <c r="C13" s="35" t="inlineStr">
        <is>
          <t>Home mostra attivita reali</t>
        </is>
      </c>
      <c r="D13" s="35" t="inlineStr">
        <is>
          <t>Almeno un'attivita inserita in Supabase</t>
        </is>
      </c>
      <c r="E13" s="35" t="inlineStr">
        <is>
          <t>Login come genitore -&gt; apri '/'</t>
        </is>
      </c>
      <c r="F13" s="35" t="inlineStr">
        <is>
          <t>Le card 'Popolari' mostrano attivita reali dal DB, non i dati demo</t>
        </is>
      </c>
      <c r="G13" s="35" t="inlineStr">
        <is>
          <t>FUNCTIONAL</t>
        </is>
      </c>
      <c r="H13" s="35">
        <f>IF(G13="BUG","BUG-"&amp;A13,IF(G13="FUNCTIONAL","FUNCTIONAL-"&amp;A13,""))</f>
        <v/>
      </c>
      <c r="I13" s="35" t="inlineStr">
        <is>
          <t>Alta</t>
        </is>
      </c>
      <c r="J13" s="35" t="inlineStr">
        <is>
          <t>#3</t>
        </is>
      </c>
      <c r="K13" s="36" t="inlineStr">
        <is>
          <t>PARZIALE: TO DEPLOY (ordinamento interim su rating/recensioni reali fixato) / NOT CLEAR (definizione di business di cosa rende un'attività "Popolare" - serve tua decisione)</t>
        </is>
      </c>
      <c r="L13" s="36" t="inlineStr">
        <is>
          <t>Inserire TC per creazione - lato Partner - dell'attività. Specificare funzionalmente come deve essere resa "Popolare" una attività</t>
        </is>
      </c>
    </row>
    <row r="14" ht="45" customHeight="1" s="22">
      <c r="A14" s="34" t="inlineStr">
        <is>
          <t>TC-013</t>
        </is>
      </c>
      <c r="B14" s="35" t="inlineStr">
        <is>
          <t>Genitori - Home</t>
        </is>
      </c>
      <c r="C14" s="35" t="inlineStr">
        <is>
          <t>Filtro categoria in Home</t>
        </is>
      </c>
      <c r="D14" s="35" t="inlineStr">
        <is>
          <t>Nessuna</t>
        </is>
      </c>
      <c r="E14" s="35" t="inlineStr">
        <is>
          <t>Su Home, clicca una categoria (es. Sport) -&gt; poi 'Tutte'</t>
        </is>
      </c>
      <c r="F14" s="35" t="inlineStr">
        <is>
          <t>Le card mostrate cambiano in base al tag selezionato; 'Tutte' ripristina la lista intera</t>
        </is>
      </c>
      <c r="G14" s="35" t="inlineStr">
        <is>
          <t>BUG</t>
        </is>
      </c>
      <c r="H14" s="35">
        <f>IF(G14="BUG","BUG-"&amp;A14,IF(G14="FUNCTIONAL","FUNCTIONAL-"&amp;A14,""))</f>
        <v/>
      </c>
      <c r="I14" s="35" t="inlineStr">
        <is>
          <t>Alta</t>
        </is>
      </c>
      <c r="J14" s="35" t="inlineStr">
        <is>
          <t>#30</t>
        </is>
      </c>
      <c r="K14" s="36" t="inlineStr">
        <is>
          <t>AGGIORNATO: la vecchia UI Home "Popolari vicino a te" con filtro categoria e stata sostituita dal toggle Planner/Per bambino; test riscritto per verificare il chip Sport dentro Per bambino &gt; Categorie (vedi HomeFeed.tsx / PerBambinoView.tsx). | RISOLTO</t>
        </is>
      </c>
      <c r="L14" s="36"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2">
      <c r="A15" s="34" t="inlineStr">
        <is>
          <t>TC-014</t>
        </is>
      </c>
      <c r="B15" s="35" t="inlineStr">
        <is>
          <t>Genitori - Home</t>
        </is>
      </c>
      <c r="C15" s="35" t="inlineStr">
        <is>
          <t>Geolocalizzazione Home</t>
        </is>
      </c>
      <c r="D15" s="35" t="inlineStr">
        <is>
          <t>Permessi posizione del browser concessi</t>
        </is>
      </c>
      <c r="E15" s="35" t="inlineStr">
        <is>
          <t>Clicca 'Attivita sulla mappa' / 'Usa posizione' -&gt; concedi permesso</t>
        </is>
      </c>
      <c r="F15" s="35" t="inlineStr">
        <is>
          <t>Il testo mostra un conteggio reale di centri entro 5 km (non piu fisso a 24)</t>
        </is>
      </c>
      <c r="G15" s="35" t="inlineStr">
        <is>
          <t>ENHANCEMENT</t>
        </is>
      </c>
      <c r="H15" s="35">
        <f>IF(G15="BUG","BUG-"&amp;A15,IF(G15="FUNCTIONAL","FUNCTIONAL-"&amp;A15,""))</f>
        <v/>
      </c>
      <c r="I15" s="35" t="inlineStr">
        <is>
          <t>Media</t>
        </is>
      </c>
      <c r="J15" s="35" t="inlineStr">
        <is>
          <t>#30</t>
        </is>
      </c>
      <c r="K15" s="36" t="inlineStr">
        <is>
          <t>TO DEPLOY (fixato: la posizione rilevata resta salvata tra Home e Cerca in questa sessione)</t>
        </is>
      </c>
      <c r="L15" s="36" t="inlineStr">
        <is>
          <t xml:space="preserve">La geolocalizzazione funziona, ma ogni volta riappare la CTA "Usa posizione" dopo qualsiasi passaggio. Bisogna rivedere la UX
</t>
        </is>
      </c>
    </row>
    <row r="16" ht="45" customHeight="1" s="22">
      <c r="A16" s="34" t="inlineStr">
        <is>
          <t>TC-015</t>
        </is>
      </c>
      <c r="B16" s="35" t="inlineStr">
        <is>
          <t>Genitori - Home</t>
        </is>
      </c>
      <c r="C16" s="35" t="inlineStr">
        <is>
          <t>Geolocalizzazione negata</t>
        </is>
      </c>
      <c r="D16" s="35" t="inlineStr">
        <is>
          <t>Nessuna</t>
        </is>
      </c>
      <c r="E16" s="35" t="inlineStr">
        <is>
          <t>Clicca 'Usa posizione' -&gt; nega il permesso</t>
        </is>
      </c>
      <c r="F16" s="35" t="inlineStr">
        <is>
          <t>Messaggio di errore leggibile, l'app non si blocca</t>
        </is>
      </c>
      <c r="G16" s="35" t="inlineStr">
        <is>
          <t>ENHANCEMENT</t>
        </is>
      </c>
      <c r="H16" s="35">
        <f>IF(G16="BUG","BUG-"&amp;A16,IF(G16="FUNCTIONAL","FUNCTIONAL-"&amp;A16,""))</f>
        <v/>
      </c>
      <c r="I16" s="35" t="inlineStr">
        <is>
          <t>Bassa</t>
        </is>
      </c>
      <c r="J16" s="35" t="n"/>
      <c r="K16" s="36" t="inlineStr">
        <is>
          <t>PARZIALE: TO DEPLOY (messaggio di errore migliorato) / NOT CLEAR (il browser blocca la ri-richiesta del popup nativo dopo un rifiuto per policy di sicurezza - limite del browser, non risolvibile lato app)</t>
        </is>
      </c>
      <c r="L16" s="36" t="inlineStr">
        <is>
          <t>Funziona: "Non è stato possibile ottenre la posizione - controlla i permessi" e la CTA rimane "Usa la posizione". Se possibile deve riapparire il pop-up di chrome per richiedere accesso ai dati di geolocalizzazione</t>
        </is>
      </c>
    </row>
    <row r="17" ht="45" customHeight="1" s="22">
      <c r="A17" s="34" t="inlineStr">
        <is>
          <t>TC-016</t>
        </is>
      </c>
      <c r="B17" s="35" t="inlineStr">
        <is>
          <t>Genitori - Cerca</t>
        </is>
      </c>
      <c r="C17" s="35" t="inlineStr">
        <is>
          <t>Ricerca testuale</t>
        </is>
      </c>
      <c r="D17" s="35" t="inlineStr">
        <is>
          <t>Nessuna</t>
        </is>
      </c>
      <c r="E17" s="35" t="inlineStr">
        <is>
          <t>Vai su /search -&gt; digita il nome di un'attivita esistente</t>
        </is>
      </c>
      <c r="F17" s="35" t="inlineStr">
        <is>
          <t>Solo le attivita corrispondenti restano in lista</t>
        </is>
      </c>
      <c r="G17" s="35" t="inlineStr">
        <is>
          <t>BUG</t>
        </is>
      </c>
      <c r="H17" s="35">
        <f>IF(G17="BUG","BUG-"&amp;A17,IF(G17="FUNCTIONAL","FUNCTIONAL-"&amp;A17,""))</f>
        <v/>
      </c>
      <c r="I17" s="35" t="inlineStr">
        <is>
          <t>Alta</t>
        </is>
      </c>
      <c r="J17" s="35" t="n"/>
      <c r="K17" s="36" t="inlineStr">
        <is>
          <t>TO DEPLOY (Azzera ora sempre visibile; azzeramento per singolo filtro non ancora implementato - solo azzeramento globale) | RISOLTO</t>
        </is>
      </c>
      <c r="L17" s="36"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2">
      <c r="A18" s="34" t="inlineStr">
        <is>
          <t>TC-017</t>
        </is>
      </c>
      <c r="B18" s="35" t="inlineStr">
        <is>
          <t>Genitori - Cerca</t>
        </is>
      </c>
      <c r="C18" s="35" t="inlineStr">
        <is>
          <t>Filtro Eta</t>
        </is>
      </c>
      <c r="D18" s="35" t="inlineStr">
        <is>
          <t>Nessuna</t>
        </is>
      </c>
      <c r="E18" s="35" t="inlineStr">
        <is>
          <t>Apri filtro 'Eta' -&gt; sposta gli slider min/max</t>
        </is>
      </c>
      <c r="F18" s="35" t="inlineStr">
        <is>
          <t>La lista si aggiorna mostrando solo attivita compatibili con la fascia</t>
        </is>
      </c>
      <c r="G18" s="35" t="inlineStr">
        <is>
          <t>ENHANCEMENT</t>
        </is>
      </c>
      <c r="H18" s="35">
        <f>IF(G18="BUG","BUG-"&amp;A18,IF(G18="FUNCTIONAL","FUNCTIONAL-"&amp;A18,""))</f>
        <v/>
      </c>
      <c r="I18" s="35" t="inlineStr">
        <is>
          <t>Media</t>
        </is>
      </c>
      <c r="J18" s="35" t="inlineStr">
        <is>
          <t>#31</t>
        </is>
      </c>
      <c r="K18" s="36" t="inlineStr">
        <is>
          <t>TO DEPLOY (fixato: due campi numerici da/a al posto degli slider sovrapposti)</t>
        </is>
      </c>
      <c r="L18" s="36"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2">
      <c r="A19" s="34" t="inlineStr">
        <is>
          <t>TC-018</t>
        </is>
      </c>
      <c r="B19" s="35" t="inlineStr">
        <is>
          <t>Genitori - Cerca</t>
        </is>
      </c>
      <c r="C19" s="35" t="inlineStr">
        <is>
          <t>Filtro Prezzo</t>
        </is>
      </c>
      <c r="D19" s="35" t="inlineStr">
        <is>
          <t>Nessuna</t>
        </is>
      </c>
      <c r="E19" s="35" t="inlineStr">
        <is>
          <t>Apri filtro 'Prezzo' -&gt; abbassa il tetto massimo</t>
        </is>
      </c>
      <c r="F19" s="35" t="inlineStr">
        <is>
          <t>Scompaiono le attivita piu costose del tetto</t>
        </is>
      </c>
      <c r="G19" s="35" t="inlineStr">
        <is>
          <t>OK</t>
        </is>
      </c>
      <c r="H19" s="35">
        <f>IF(G19="BUG","BUG-"&amp;A19,IF(G19="FUNCTIONAL","FUNCTIONAL-"&amp;A19,""))</f>
        <v/>
      </c>
      <c r="I19" s="35" t="inlineStr">
        <is>
          <t>Media</t>
        </is>
      </c>
      <c r="J19" s="35" t="inlineStr">
        <is>
          <t>#31</t>
        </is>
      </c>
      <c r="K19" s="36" t="inlineStr">
        <is>
          <t>TO DEPLOY (Azzera ora sempre visibile; azzeramento per singolo filtro non ancora implementato)</t>
        </is>
      </c>
      <c r="L19" s="36" t="inlineStr">
        <is>
          <t>Funziona. Manca - su tutti i filtri - la possibilità di cancellare il filtro applicato</t>
        </is>
      </c>
    </row>
    <row r="20" ht="45" customHeight="1" s="22">
      <c r="A20" s="34" t="inlineStr">
        <is>
          <t>TC-019</t>
        </is>
      </c>
      <c r="B20" s="35" t="inlineStr">
        <is>
          <t>Genitori - Cerca</t>
        </is>
      </c>
      <c r="C20" s="35" t="inlineStr">
        <is>
          <t>Filtro Zona (testo)</t>
        </is>
      </c>
      <c r="D20" s="35" t="inlineStr">
        <is>
          <t>Nessuna</t>
        </is>
      </c>
      <c r="E20" s="35" t="inlineStr">
        <is>
          <t>Apri filtro 'Zona' -&gt; digita una via/quartiere presente in un indirizzo</t>
        </is>
      </c>
      <c r="F20" s="35" t="inlineStr">
        <is>
          <t>Restano solo le attivita con quell'indirizzo/centro</t>
        </is>
      </c>
      <c r="G20" s="35" t="inlineStr">
        <is>
          <t>ENHANCEMENT</t>
        </is>
      </c>
      <c r="H20" s="35">
        <f>IF(G20="BUG","BUG-"&amp;A20,IF(G20="FUNCTIONAL","FUNCTIONAL-"&amp;A20,""))</f>
        <v/>
      </c>
      <c r="I20" s="35" t="inlineStr">
        <is>
          <t>Media</t>
        </is>
      </c>
      <c r="J20" s="35" t="inlineStr">
        <is>
          <t>#31</t>
        </is>
      </c>
      <c r="K20" s="36" t="inlineStr">
        <is>
          <t>TO DEPLOY (fixato: autocomplete zona con sole vie/zone/comuni, esclusi nomi di centri/attività)</t>
        </is>
      </c>
      <c r="L20" s="36" t="inlineStr">
        <is>
          <t>Funziona. La ricerca per "Zona" deve avere una lista di comuni, quartieri, zone che si autocompilano
Manca - su tutti i filtri - la possibilità di cancellare il filtro applicato</t>
        </is>
      </c>
    </row>
    <row r="21" ht="45" customHeight="1" s="22">
      <c r="A21" s="34" t="inlineStr">
        <is>
          <t>TC-020</t>
        </is>
      </c>
      <c r="B21" s="35" t="inlineStr">
        <is>
          <t>Genitori - Cerca</t>
        </is>
      </c>
      <c r="C21" s="35" t="inlineStr">
        <is>
          <t>Filtro Servizi - Bar</t>
        </is>
      </c>
      <c r="D21" s="35" t="inlineStr">
        <is>
          <t>Almeno un centro con 'Bar' attivato nel profilo</t>
        </is>
      </c>
      <c r="E21" s="35" t="inlineStr">
        <is>
          <t>Apri filtro 'Servizi' -&gt; seleziona 'Bar nel centro'</t>
        </is>
      </c>
      <c r="F21" s="35" t="inlineStr">
        <is>
          <t>Restano solo le attivita di centri con has_bar=true</t>
        </is>
      </c>
      <c r="G21" s="35" t="inlineStr">
        <is>
          <t>OK</t>
        </is>
      </c>
      <c r="H21" s="35">
        <f>IF(G21="BUG","BUG-"&amp;A21,IF(G21="FUNCTIONAL","FUNCTIONAL-"&amp;A21,""))</f>
        <v/>
      </c>
      <c r="I21" s="35" t="inlineStr">
        <is>
          <t>Alta</t>
        </is>
      </c>
      <c r="J21" s="35" t="inlineStr">
        <is>
          <t>#31</t>
        </is>
      </c>
      <c r="K21" s="36" t="inlineStr">
        <is>
          <t>TO DEPLOY (Azzera ora sempre visibile; azzeramento per singolo filtro non ancora implementato)</t>
        </is>
      </c>
      <c r="L21" s="36" t="inlineStr">
        <is>
          <t>Funziona. Manca - su tutti i filtri - la possibilità di cancellare il filtro applicato</t>
        </is>
      </c>
    </row>
    <row r="22" ht="45" customHeight="1" s="22">
      <c r="A22" s="34" t="inlineStr">
        <is>
          <t>TC-021</t>
        </is>
      </c>
      <c r="B22" s="35" t="inlineStr">
        <is>
          <t>Genitori - Cerca</t>
        </is>
      </c>
      <c r="C22" s="35" t="inlineStr">
        <is>
          <t>Filtro Servizi - Pranzo/Pre/Post</t>
        </is>
      </c>
      <c r="D22" s="35" t="inlineStr">
        <is>
          <t>Nessuna</t>
        </is>
      </c>
      <c r="E22" s="35" t="inlineStr">
        <is>
          <t>Seleziona singolarmente Pranzo incluso / Pre-scuola / Post-scuola</t>
        </is>
      </c>
      <c r="F22" s="35" t="inlineStr">
        <is>
          <t>La lista si filtra coerentemente con i campi dell'attivita</t>
        </is>
      </c>
      <c r="G22" s="35" t="inlineStr">
        <is>
          <t>ENHANCEMENT</t>
        </is>
      </c>
      <c r="H22" s="35">
        <f>IF(G22="BUG","BUG-"&amp;A22,IF(G22="FUNCTIONAL","FUNCTIONAL-"&amp;A22,""))</f>
        <v/>
      </c>
      <c r="I22" s="35" t="inlineStr">
        <is>
          <t>Media</t>
        </is>
      </c>
      <c r="J22" s="35" t="inlineStr">
        <is>
          <t>#31</t>
        </is>
      </c>
      <c r="K22" s="36" t="inlineStr">
        <is>
          <t>TO DEPLOY (fixato: sezione Servizi disponibili nel dettaglio attività)</t>
        </is>
      </c>
      <c r="L22" s="36" t="inlineStr">
        <is>
          <t>Funziona. Nella scheda di dettaglio dell'attività devono essere mostrati in maniera chiara sintetica e veloce i servizi disponibili altrimenti non c'è modo di avere conferma della selezione corretta</t>
        </is>
      </c>
    </row>
    <row r="23" ht="45" customHeight="1" s="22">
      <c r="A23" s="34" t="inlineStr">
        <is>
          <t>TC-022</t>
        </is>
      </c>
      <c r="B23" s="35" t="inlineStr">
        <is>
          <t>Genitori - Cerca</t>
        </is>
      </c>
      <c r="C23" s="35" t="inlineStr">
        <is>
          <t>Azzeramento filtri</t>
        </is>
      </c>
      <c r="D23" s="35" t="inlineStr">
        <is>
          <t>Uno o piu filtri attivi</t>
        </is>
      </c>
      <c r="E23" s="35" t="inlineStr">
        <is>
          <t>Clicca 'Azzera (N)'</t>
        </is>
      </c>
      <c r="F23" s="35" t="inlineStr">
        <is>
          <t>Tutti i filtri tornano al default e il pulsante scompare</t>
        </is>
      </c>
      <c r="G23" s="35" t="inlineStr">
        <is>
          <t>ENHANCEMENT</t>
        </is>
      </c>
      <c r="H23" s="35">
        <f>IF(G23="BUG","BUG-"&amp;A23,IF(G23="FUNCTIONAL","FUNCTIONAL-"&amp;A23,""))</f>
        <v/>
      </c>
      <c r="I23" s="35" t="inlineStr">
        <is>
          <t>Bassa</t>
        </is>
      </c>
      <c r="J23" s="35" t="n"/>
      <c r="K23" s="36" t="inlineStr">
        <is>
          <t>TO DEPLOY (fixato: Azzera sempre visibile e chiude anche il pannello aperto)</t>
        </is>
      </c>
      <c r="L23" s="36" t="inlineStr">
        <is>
          <t>Funziona. La CTA "Azzera" deve essere visibile sempre - e una volta cliccata deve riportare allo staot iniziale la pagina "Cerca" (nel test fatto, avevo il tab "Servizi" esploso, ed è rimasto aperto anche dopo "azzera")</t>
        </is>
      </c>
    </row>
    <row r="24" ht="45" customHeight="1" s="22">
      <c r="A24" s="34" t="inlineStr">
        <is>
          <t>TC-023</t>
        </is>
      </c>
      <c r="B24" s="35" t="inlineStr">
        <is>
          <t>Genitori - Cerca</t>
        </is>
      </c>
      <c r="C24" s="35" t="inlineStr">
        <is>
          <t>Ricerca con geolocalizzazione da Home</t>
        </is>
      </c>
      <c r="D24" s="35" t="inlineStr">
        <is>
          <t>Aver cliccato 'Usa posizione' in Home</t>
        </is>
      </c>
      <c r="E24" s="35" t="inlineStr">
        <is>
          <t>Da Home, dopo la geolocalizzazione, clicca 'Vedi in Cerca'</t>
        </is>
      </c>
      <c r="F24" s="35" t="inlineStr">
        <is>
          <t>Si apre /search?lat=..&amp;lng=.. con distanze reali calcolate e badge 'Vicino a te'</t>
        </is>
      </c>
      <c r="G24" s="35" t="inlineStr">
        <is>
          <t>BUG</t>
        </is>
      </c>
      <c r="H24" s="35">
        <f>IF(G24="BUG","BUG-"&amp;A24,IF(G24="FUNCTIONAL","FUNCTIONAL-"&amp;A24,""))</f>
        <v/>
      </c>
      <c r="I24" s="35" t="inlineStr">
        <is>
          <t>Media</t>
        </is>
      </c>
      <c r="J24" s="35" t="inlineStr">
        <is>
          <t>#30</t>
        </is>
      </c>
      <c r="K24" s="36" t="inlineStr">
        <is>
          <t>PARZIALE: TO DEPLOY (raggio filtro coerente Home-&gt;Cerca, coordinate rilevate ora visibili) / DA COSTRUIRE (mappa reale con pin spostabile - task #51, sbloccata: scelto Leaflet/OSM gratuito, ancora da costruire)</t>
        </is>
      </c>
      <c r="L24" s="36"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2">
      <c r="A25" s="34" t="inlineStr">
        <is>
          <t>TC-024</t>
        </is>
      </c>
      <c r="B25" s="35" t="inlineStr">
        <is>
          <t>Genitori - Cerca</t>
        </is>
      </c>
      <c r="C25" s="35" t="inlineStr">
        <is>
          <t>Filtro Date</t>
        </is>
      </c>
      <c r="D25" s="35" t="inlineStr">
        <is>
          <t>Nessuna</t>
        </is>
      </c>
      <c r="E25" s="35" t="inlineStr">
        <is>
          <t>Clicca il chip 'Date'</t>
        </is>
      </c>
      <c r="F25" s="35" t="inlineStr">
        <is>
          <t>Dovrebbe aprire un filtro per data/settimana</t>
        </is>
      </c>
      <c r="G25" s="35" t="inlineStr">
        <is>
          <t>DA TESTARE</t>
        </is>
      </c>
      <c r="H25" s="35">
        <f>IF(G25="BUG","BUG-"&amp;A25,IF(G25="FUNCTIONAL","FUNCTIONAL-"&amp;A25,""))</f>
        <v/>
      </c>
      <c r="I25" s="35" t="inlineStr">
        <is>
          <t>Bassa</t>
        </is>
      </c>
      <c r="J25" s="35" t="n"/>
      <c r="K25" s="36" t="inlineStr">
        <is>
          <t>RISOLTO</t>
        </is>
      </c>
      <c r="L25" s="36"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2">
      <c r="A26" s="37" t="inlineStr">
        <is>
          <t>TC-025</t>
        </is>
      </c>
      <c r="B26" s="35" t="inlineStr">
        <is>
          <t>Genitori - Attivita</t>
        </is>
      </c>
      <c r="C26" s="35" t="inlineStr">
        <is>
          <t>Apertura scheda attivita</t>
        </is>
      </c>
      <c r="D26" s="35" t="inlineStr">
        <is>
          <t>Nessuna</t>
        </is>
      </c>
      <c r="E26" s="35" t="inlineStr">
        <is>
          <t>Da Home o Cerca, clicca una card</t>
        </is>
      </c>
      <c r="F26" s="35" t="inlineStr">
        <is>
          <t>Si apre /activity/[slug] con dati reali (prezzo, eta, descrizione, tag)</t>
        </is>
      </c>
      <c r="G26" s="35" t="n"/>
      <c r="H26" s="35">
        <f>IF(G26="BUG","BUG-"&amp;A26,IF(G26="FUNCTIONAL","FUNCTIONAL-"&amp;A26,""))</f>
        <v/>
      </c>
      <c r="I26" s="35" t="inlineStr">
        <is>
          <t>Alta</t>
        </is>
      </c>
      <c r="J26" s="35" t="n"/>
      <c r="K26" s="36" t="n"/>
      <c r="L26" s="36" t="n"/>
    </row>
    <row r="27" ht="45" customHeight="1" s="22">
      <c r="A27" s="37" t="inlineStr">
        <is>
          <t>TC-026</t>
        </is>
      </c>
      <c r="B27" s="35" t="inlineStr">
        <is>
          <t>Genitori - Attivita</t>
        </is>
      </c>
      <c r="C27" s="35" t="inlineStr">
        <is>
          <t>Preferiti (cuore)</t>
        </is>
      </c>
      <c r="D27" s="35" t="inlineStr">
        <is>
          <t>Nessuna</t>
        </is>
      </c>
      <c r="E27" s="35" t="inlineStr">
        <is>
          <t>Sulla card o nel dettaglio, clicca l'icona cuore, poi ricarica la pagina</t>
        </is>
      </c>
      <c r="F27" s="35" t="inlineStr">
        <is>
          <t>Lo stato del preferito dovrebbe restare salvato dopo il reload</t>
        </is>
      </c>
      <c r="G27" s="35" t="inlineStr">
        <is>
          <t>BUG</t>
        </is>
      </c>
      <c r="H27" s="35">
        <f>IF(G27="BUG","BUG-"&amp;A27,IF(G27="FUNCTIONAL","FUNCTIONAL-"&amp;A27,""))</f>
        <v/>
      </c>
      <c r="I27" s="35" t="inlineStr">
        <is>
          <t>Alta</t>
        </is>
      </c>
      <c r="J27" s="35" t="inlineStr">
        <is>
          <t>#21</t>
        </is>
      </c>
      <c r="K27" s="36" t="inlineStr">
        <is>
          <t>DA COSTRUIRE (task #21, V1 - non ancora iniziato) | RISOLTO</t>
        </is>
      </c>
      <c r="L27" s="36"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2">
      <c r="A28" s="37" t="inlineStr">
        <is>
          <t>TC-027</t>
        </is>
      </c>
      <c r="B28" s="35" t="inlineStr">
        <is>
          <t>Genitori - Attivita</t>
        </is>
      </c>
      <c r="C28" s="35" t="inlineStr">
        <is>
          <t>Recensioni</t>
        </is>
      </c>
      <c r="D28" s="35" t="inlineStr">
        <is>
          <t>Attivita con prenotazioni concluse</t>
        </is>
      </c>
      <c r="E28" s="35" t="inlineStr">
        <is>
          <t>Apri il dettaglio di un'attivita</t>
        </is>
      </c>
      <c r="F28" s="35" t="inlineStr">
        <is>
          <t>Ci si aspetta di vedere eventuali recensioni reali dei genitori</t>
        </is>
      </c>
      <c r="G28" s="35" t="inlineStr">
        <is>
          <t>FUNCTIONAL</t>
        </is>
      </c>
      <c r="H28" s="35">
        <f>IF(G28="BUG","BUG-"&amp;A28,IF(G28="FUNCTIONAL","FUNCTIONAL-"&amp;A28,""))</f>
        <v/>
      </c>
      <c r="I28" s="35" t="inlineStr">
        <is>
          <t>Media</t>
        </is>
      </c>
      <c r="J28" s="35" t="inlineStr">
        <is>
          <t>#13</t>
        </is>
      </c>
      <c r="K28" s="36" t="inlineStr">
        <is>
          <t>DA COSTRUIRE (task #13, V1 - non ancora iniziato)</t>
        </is>
      </c>
      <c r="L28" s="36" t="inlineStr">
        <is>
          <t>Noto: sezione recensioni sempre vuota, non ancora collegata a dati reali</t>
        </is>
      </c>
    </row>
    <row r="29" ht="45" customHeight="1" s="22">
      <c r="A29" s="37" t="inlineStr">
        <is>
          <t>TC-028</t>
        </is>
      </c>
      <c r="B29" s="35" t="inlineStr">
        <is>
          <t>Genitori - Attivita</t>
        </is>
      </c>
      <c r="C29" s="35" t="inlineStr">
        <is>
          <t>Promozioni attive visibili</t>
        </is>
      </c>
      <c r="D29" s="35" t="inlineStr">
        <is>
          <t>Il gestore ha creato una promozione attiva</t>
        </is>
      </c>
      <c r="E29" s="35" t="inlineStr">
        <is>
          <t>Apri il dettaglio dell'attivita promozionata</t>
        </is>
      </c>
      <c r="F29" s="35" t="inlineStr">
        <is>
          <t>Il badge/sconto della promozione e visibile ai genitori</t>
        </is>
      </c>
      <c r="G29" s="35" t="n"/>
      <c r="H29" s="35">
        <f>IF(G29="BUG","BUG-"&amp;A29,IF(G29="FUNCTIONAL","FUNCTIONAL-"&amp;A29,""))</f>
        <v/>
      </c>
      <c r="I29" s="35" t="inlineStr">
        <is>
          <t>Media</t>
        </is>
      </c>
      <c r="J29" s="35" t="n"/>
      <c r="K29" s="36" t="n"/>
      <c r="L29" s="36" t="n"/>
    </row>
    <row r="30" ht="45" customHeight="1" s="22">
      <c r="A30" s="37" t="inlineStr">
        <is>
          <t>TC-029</t>
        </is>
      </c>
      <c r="B30" s="35" t="inlineStr">
        <is>
          <t>Genitori - Prenotazione</t>
        </is>
      </c>
      <c r="C30" s="35" t="inlineStr">
        <is>
          <t>Prenotazione completa</t>
        </is>
      </c>
      <c r="D30" s="35" t="inlineStr">
        <is>
          <t>Attivita con settimane disponibili, almeno un bambino inserito</t>
        </is>
      </c>
      <c r="E30" s="35" t="inlineStr">
        <is>
          <t>Apri attivita -&gt; 'Prenota' -&gt; step 1 scegli settimane -&gt; step 2 scegli bambino/i -&gt; step 3 scegli pagamento -&gt; conferma</t>
        </is>
      </c>
      <c r="F30" s="35" t="inlineStr">
        <is>
          <t>Prenotazione creata in Supabase (bookings/booking_weeks/booking_kids), redirect a schermata di successo</t>
        </is>
      </c>
      <c r="G30" s="35" t="n"/>
      <c r="H30" s="35">
        <f>IF(G30="BUG","BUG-"&amp;A30,IF(G30="FUNCTIONAL","FUNCTIONAL-"&amp;A30,""))</f>
        <v/>
      </c>
      <c r="I30" s="35" t="inlineStr">
        <is>
          <t>Alta</t>
        </is>
      </c>
      <c r="J30" s="35" t="n"/>
      <c r="K30" s="36" t="n"/>
      <c r="L30" s="36" t="n"/>
    </row>
    <row r="31" ht="45" customHeight="1" s="22">
      <c r="A31" s="37" t="inlineStr">
        <is>
          <t>TC-030</t>
        </is>
      </c>
      <c r="B31" s="35" t="inlineStr">
        <is>
          <t>Genitori - Prenotazione</t>
        </is>
      </c>
      <c r="C31" s="35" t="inlineStr">
        <is>
          <t>Sconto multi-settimana</t>
        </is>
      </c>
      <c r="D31" s="35" t="inlineStr">
        <is>
          <t>Prenotazione con 2+ settimane selezionate</t>
        </is>
      </c>
      <c r="E31" s="35" t="inlineStr">
        <is>
          <t>Seleziona 2 o piu settimane nello step 1</t>
        </is>
      </c>
      <c r="F31" s="35" t="inlineStr">
        <is>
          <t>Il totale mostra la riga 'Sconto multi-settimana' -5% calcolata sul subtotale (settimane x prezzo x bambini)</t>
        </is>
      </c>
      <c r="G31" s="35" t="n"/>
      <c r="H31" s="35">
        <f>IF(G31="BUG","BUG-"&amp;A31,IF(G31="FUNCTIONAL","FUNCTIONAL-"&amp;A31,""))</f>
        <v/>
      </c>
      <c r="I31" s="35" t="inlineStr">
        <is>
          <t>Media</t>
        </is>
      </c>
      <c r="J31" s="35" t="inlineStr">
        <is>
          <t>#36</t>
        </is>
      </c>
      <c r="K31" s="36" t="n"/>
      <c r="L31" s="36" t="n"/>
    </row>
    <row r="32" ht="45" customHeight="1" s="22">
      <c r="A32" s="37" t="inlineStr">
        <is>
          <t>TC-031</t>
        </is>
      </c>
      <c r="B32" s="35" t="inlineStr">
        <is>
          <t>Genitori - Prenotazione</t>
        </is>
      </c>
      <c r="C32" s="35" t="inlineStr">
        <is>
          <t>Sconto famiglia 2+ bambini</t>
        </is>
      </c>
      <c r="D32" s="35" t="inlineStr">
        <is>
          <t>Almeno 2 bambini salvati nel profilo</t>
        </is>
      </c>
      <c r="E32" s="35" t="inlineStr">
        <is>
          <t>Nello step 2, seleziona 2 o piu bambini per la stessa prenotazione</t>
        </is>
      </c>
      <c r="F32" s="35" t="inlineStr">
        <is>
          <t>Il totale mostra 'Sconto famiglia' pari a -10% sul 2 bambino, -15% sul 3, -20% dal 4 in poi (rispetto al prezzo pieno di un bambino); il subtotale e moltiplicato per il numero di bambini selezionati</t>
        </is>
      </c>
      <c r="G32" s="35" t="n"/>
      <c r="H32" s="35">
        <f>IF(G32="BUG","BUG-"&amp;A32,IF(G32="FUNCTIONAL","FUNCTIONAL-"&amp;A32,""))</f>
        <v/>
      </c>
      <c r="I32" s="35" t="inlineStr">
        <is>
          <t>Alta</t>
        </is>
      </c>
      <c r="J32" s="35" t="inlineStr">
        <is>
          <t>#36</t>
        </is>
      </c>
      <c r="K32" s="36" t="n"/>
      <c r="L32" s="36" t="inlineStr">
        <is>
          <t>Feature nuova: verificare anche che si sommi correttamente allo sconto multi-settimana (vedi tema aperto sulla cumulabilita)</t>
        </is>
      </c>
    </row>
    <row r="33" ht="45" customHeight="1" s="22">
      <c r="A33" s="37" t="inlineStr">
        <is>
          <t>TC-032</t>
        </is>
      </c>
      <c r="B33" s="35" t="inlineStr">
        <is>
          <t>Genitori - Prenotazione</t>
        </is>
      </c>
      <c r="C33" s="35" t="inlineStr">
        <is>
          <t>Aggiunta bambino durante la prenotazione</t>
        </is>
      </c>
      <c r="D33" s="35" t="inlineStr">
        <is>
          <t>Nessun bambino ancora salvato</t>
        </is>
      </c>
      <c r="E33" s="35" t="inlineStr">
        <is>
          <t>Nello step 2, clicca 'Aggiungi bambino' e compila il form</t>
        </is>
      </c>
      <c r="F33" s="35" t="inlineStr">
        <is>
          <t>Il bambino viene salvato e selezionabile subito, il totale si aggiorna</t>
        </is>
      </c>
      <c r="G33" s="35" t="n"/>
      <c r="H33" s="35">
        <f>IF(G33="BUG","BUG-"&amp;A33,IF(G33="FUNCTIONAL","FUNCTIONAL-"&amp;A33,""))</f>
        <v/>
      </c>
      <c r="I33" s="35" t="inlineStr">
        <is>
          <t>Media</t>
        </is>
      </c>
      <c r="J33" s="35" t="n"/>
      <c r="K33" s="36" t="n"/>
      <c r="L33" s="36" t="n"/>
    </row>
    <row r="34" ht="45" customHeight="1" s="22">
      <c r="A34" s="37" t="inlineStr">
        <is>
          <t>TC-033</t>
        </is>
      </c>
      <c r="B34" s="35" t="inlineStr">
        <is>
          <t>Genitori - Prenotazione</t>
        </is>
      </c>
      <c r="C34" s="35" t="inlineStr">
        <is>
          <t>Pagamento (simulato)</t>
        </is>
      </c>
      <c r="D34" s="35" t="inlineStr">
        <is>
          <t>Prenotazione in corso, step 3</t>
        </is>
      </c>
      <c r="E34" s="35" t="inlineStr">
        <is>
          <t>Scegli un metodo di pagamento e conferma</t>
        </is>
      </c>
      <c r="F34" s="35" t="inlineStr">
        <is>
          <t>Testo esplicito 'Pagamento simulato a scopo dimostrativo' nella schermata di successo, nessun addebito reale</t>
        </is>
      </c>
      <c r="G34" s="35" t="inlineStr">
        <is>
          <t>OK</t>
        </is>
      </c>
      <c r="H34" s="35">
        <f>IF(G34="BUG","BUG-"&amp;A34,IF(G34="FUNCTIONAL","FUNCTIONAL-"&amp;A34,""))</f>
        <v/>
      </c>
      <c r="I34" s="35" t="inlineStr">
        <is>
          <t>Alta</t>
        </is>
      </c>
      <c r="J34" s="35" t="inlineStr">
        <is>
          <t>#14</t>
        </is>
      </c>
      <c r="K34" s="36" t="n"/>
      <c r="L34" s="36" t="inlineStr">
        <is>
          <t>Atteso in questa fase: i pagamenti reali sono pianificati come ultimo step</t>
        </is>
      </c>
    </row>
    <row r="35" ht="45" customHeight="1" s="22">
      <c r="A35" s="37" t="inlineStr">
        <is>
          <t>TC-034</t>
        </is>
      </c>
      <c r="B35" s="35" t="inlineStr">
        <is>
          <t>Genitori - Prenotazione</t>
        </is>
      </c>
      <c r="C35" s="35" t="inlineStr">
        <is>
          <t>Rimando ad Andiamo Insieme nello step prenotazione</t>
        </is>
      </c>
      <c r="D35" s="35" t="inlineStr">
        <is>
          <t>Nessuna</t>
        </is>
      </c>
      <c r="E35" s="35" t="inlineStr">
        <is>
          <t>Nello step 2 di prenotazione, osserva la sezione 'Andiamo Insieme'</t>
        </is>
      </c>
      <c r="F35" s="35" t="inlineStr">
        <is>
          <t>Badge ComingSoon visibile</t>
        </is>
      </c>
      <c r="G35" s="35" t="inlineStr">
        <is>
          <t>FUNCTIONAL</t>
        </is>
      </c>
      <c r="H35" s="35">
        <f>IF(G35="BUG","BUG-"&amp;A35,IF(G35="FUNCTIONAL","FUNCTIONAL-"&amp;A35,""))</f>
        <v/>
      </c>
      <c r="I35" s="35" t="inlineStr">
        <is>
          <t>Bassa</t>
        </is>
      </c>
      <c r="J35" s="35" t="n"/>
      <c r="K35" s="36" t="inlineStr">
        <is>
          <t>NOT CLEAR (valutare se rimuovere/rimandare al gruppo - decisione di design, non urgente)</t>
        </is>
      </c>
      <c r="L35" s="36" t="inlineStr">
        <is>
          <t>Valutare se rimandare direttamente alla pagina Gruppo ora che l'Accompagnamento esiste li</t>
        </is>
      </c>
    </row>
    <row r="36" ht="45" customHeight="1" s="22">
      <c r="A36" s="37" t="inlineStr">
        <is>
          <t>TC-035</t>
        </is>
      </c>
      <c r="B36" s="35" t="inlineStr">
        <is>
          <t>Genitori - Gruppi</t>
        </is>
      </c>
      <c r="C36" s="35" t="inlineStr">
        <is>
          <t>Creazione gruppo</t>
        </is>
      </c>
      <c r="D36" s="35" t="inlineStr">
        <is>
          <t>Login genitore</t>
        </is>
      </c>
      <c r="E36" s="35" t="inlineStr">
        <is>
          <t>Vai su /groups -&gt; '+ Nuovo' -&gt; inserisci nome -&gt; 'Crea gruppo'</t>
        </is>
      </c>
      <c r="F36" s="35" t="inlineStr">
        <is>
          <t>Il gruppo appare nella lista 'I miei gruppi', utente aggiunto come primo membro</t>
        </is>
      </c>
      <c r="G36" s="35" t="inlineStr">
        <is>
          <t>BUG</t>
        </is>
      </c>
      <c r="H36" s="35">
        <f>IF(G36="BUG","BUG-"&amp;A36,IF(G36="FUNCTIONAL","FUNCTIONAL-"&amp;A36,""))</f>
        <v/>
      </c>
      <c r="I36" s="35" t="inlineStr">
        <is>
          <t>Alta</t>
        </is>
      </c>
      <c r="J36" s="35" t="n"/>
      <c r="K36" s="36" t="inlineStr">
        <is>
          <t>RISOLTO</t>
        </is>
      </c>
      <c r="L36" s="36"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2">
      <c r="A37" s="37" t="inlineStr">
        <is>
          <t>TC-036</t>
        </is>
      </c>
      <c r="B37" s="35" t="inlineStr">
        <is>
          <t>Genitori - Gruppi</t>
        </is>
      </c>
      <c r="C37" s="35" t="inlineStr">
        <is>
          <t>Apertura dettaglio gruppo</t>
        </is>
      </c>
      <c r="D37" s="35" t="inlineStr">
        <is>
          <t>Gruppo creato</t>
        </is>
      </c>
      <c r="E37" s="35" t="inlineStr">
        <is>
          <t>Clicca sulla card del gruppo ('Apri gruppo')</t>
        </is>
      </c>
      <c r="F37" s="35" t="inlineStr">
        <is>
          <t>Si apre /groups/[id] con nome, pulsante Invita famiglie, tab Bambini&amp;Richiesta e Accompagnamento</t>
        </is>
      </c>
      <c r="G37" s="35" t="n"/>
      <c r="H37" s="35">
        <f>IF(G37="BUG","BUG-"&amp;A37,IF(G37="FUNCTIONAL","FUNCTIONAL-"&amp;A37,""))</f>
        <v/>
      </c>
      <c r="I37" s="35" t="inlineStr">
        <is>
          <t>Alta</t>
        </is>
      </c>
      <c r="J37" s="35" t="n"/>
      <c r="K37" s="36" t="n"/>
      <c r="L37" s="36" t="n"/>
    </row>
    <row r="38" ht="45" customHeight="1" s="22">
      <c r="A38" s="37" t="inlineStr">
        <is>
          <t>TC-037</t>
        </is>
      </c>
      <c r="B38" s="35" t="inlineStr">
        <is>
          <t>Genitori - Gruppi</t>
        </is>
      </c>
      <c r="C38" s="35" t="inlineStr">
        <is>
          <t>Collegamento attivita al gruppo</t>
        </is>
      </c>
      <c r="D38" s="35" t="inlineStr">
        <is>
          <t>Sei il creatore del gruppo, nessuna attivita ancora collegata</t>
        </is>
      </c>
      <c r="E38" s="35" t="inlineStr">
        <is>
          <t>Nella pagina gruppo, 'Scegli attivita' -&gt; seleziona dalla lista -&gt; 'Conferma'</t>
        </is>
      </c>
      <c r="F38" s="35" t="inlineStr">
        <is>
          <t>L'header del gruppo mostra il nome attivita e centro collegati</t>
        </is>
      </c>
      <c r="G38" s="35" t="n"/>
      <c r="H38" s="35">
        <f>IF(G38="BUG","BUG-"&amp;A38,IF(G38="FUNCTIONAL","FUNCTIONAL-"&amp;A38,""))</f>
        <v/>
      </c>
      <c r="I38" s="35" t="inlineStr">
        <is>
          <t>Alta</t>
        </is>
      </c>
      <c r="J38" s="35" t="n"/>
      <c r="K38" s="36" t="n"/>
      <c r="L38" s="36" t="n"/>
    </row>
    <row r="39" ht="45" customHeight="1" s="22">
      <c r="A39" s="37" t="inlineStr">
        <is>
          <t>TC-038</t>
        </is>
      </c>
      <c r="B39" s="35" t="inlineStr">
        <is>
          <t>Genitori - Gruppi</t>
        </is>
      </c>
      <c r="C39" s="35" t="inlineStr">
        <is>
          <t>Invito ad altre famiglie</t>
        </is>
      </c>
      <c r="D39" s="35" t="inlineStr">
        <is>
          <t>Gruppo creato</t>
        </is>
      </c>
      <c r="E39" s="35" t="inlineStr">
        <is>
          <t>Click 'Invita famiglie' -&gt; condividi o copia il link generato (/groups/join/[id])</t>
        </is>
      </c>
      <c r="F39" s="35" t="inlineStr">
        <is>
          <t>Il link viene copiato/condiviso correttamente; su mobile con Web Share API si apre il menu di condivisione nativo</t>
        </is>
      </c>
      <c r="G39" s="35" t="n"/>
      <c r="H39" s="35">
        <f>IF(G39="BUG","BUG-"&amp;A39,IF(G39="FUNCTIONAL","FUNCTIONAL-"&amp;A39,""))</f>
        <v/>
      </c>
      <c r="I39" s="35" t="inlineStr">
        <is>
          <t>Alta</t>
        </is>
      </c>
      <c r="J39" s="35" t="n"/>
      <c r="K39" s="36" t="n"/>
      <c r="L39" s="36" t="inlineStr">
        <is>
          <t>Feature nuova, verificare anche il messaggio 'Link copiato!' quando non c'e Web Share API</t>
        </is>
      </c>
    </row>
    <row r="40" ht="45" customHeight="1" s="22">
      <c r="A40" s="37" t="inlineStr">
        <is>
          <t>TC-039</t>
        </is>
      </c>
      <c r="B40" s="35" t="inlineStr">
        <is>
          <t>Genitori - Gruppi</t>
        </is>
      </c>
      <c r="C40" s="35" t="inlineStr">
        <is>
          <t>Adesione a un gruppo tramite link di invito</t>
        </is>
      </c>
      <c r="D40" s="35" t="inlineStr">
        <is>
          <t>Link di invito valido, secondo account genitore</t>
        </is>
      </c>
      <c r="E40" s="35" t="inlineStr">
        <is>
          <t>Apri il link /groups/join/[id] da un altro account (loggato) -&gt; click 'Unisciti al gruppo'</t>
        </is>
      </c>
      <c r="F40" s="35" t="inlineStr">
        <is>
          <t>L'utente diventa membro del gruppo e viene reindirizzato a /groups/[id] con accesso completo</t>
        </is>
      </c>
      <c r="G40" s="35" t="n"/>
      <c r="H40" s="35">
        <f>IF(G40="BUG","BUG-"&amp;A40,IF(G40="FUNCTIONAL","FUNCTIONAL-"&amp;A40,""))</f>
        <v/>
      </c>
      <c r="I40" s="35" t="inlineStr">
        <is>
          <t>Alta</t>
        </is>
      </c>
      <c r="J40" s="35" t="n"/>
      <c r="K40" s="36" t="n"/>
      <c r="L40" s="36" t="n"/>
    </row>
    <row r="41" ht="45" customHeight="1" s="22">
      <c r="A41" s="37" t="inlineStr">
        <is>
          <t>TC-040</t>
        </is>
      </c>
      <c r="B41" s="35" t="inlineStr">
        <is>
          <t>Genitori - Gruppi</t>
        </is>
      </c>
      <c r="C41" s="35" t="inlineStr">
        <is>
          <t>Adesione a un gruppo gia membro</t>
        </is>
      </c>
      <c r="D41" s="35" t="inlineStr">
        <is>
          <t>Utente gia membro del gruppo</t>
        </is>
      </c>
      <c r="E41" s="35" t="inlineStr">
        <is>
          <t>Riapri lo stesso link di invito e clicca 'Unisciti'</t>
        </is>
      </c>
      <c r="F41" s="35" t="inlineStr">
        <is>
          <t>Nessun errore: l'azione riconosce che sei gia membro (alreadyMember) e prosegue</t>
        </is>
      </c>
      <c r="G41" s="35" t="n"/>
      <c r="H41" s="35">
        <f>IF(G41="BUG","BUG-"&amp;A41,IF(G41="FUNCTIONAL","FUNCTIONAL-"&amp;A41,""))</f>
        <v/>
      </c>
      <c r="I41" s="35" t="inlineStr">
        <is>
          <t>Media</t>
        </is>
      </c>
      <c r="J41" s="35" t="n"/>
      <c r="K41" s="36" t="n"/>
      <c r="L41" s="36" t="n"/>
    </row>
    <row r="42" ht="45" customHeight="1" s="22">
      <c r="A42" s="37" t="inlineStr">
        <is>
          <t>TC-041</t>
        </is>
      </c>
      <c r="B42" s="35" t="inlineStr">
        <is>
          <t>Genitori - Gruppi</t>
        </is>
      </c>
      <c r="C42" s="35" t="inlineStr">
        <is>
          <t>Aggiunta bambino con preferenza</t>
        </is>
      </c>
      <c r="D42" s="35" t="inlineStr">
        <is>
          <t>Hai almeno un bambino salvato nel tuo profilo</t>
        </is>
      </c>
      <c r="E42" s="35" t="inlineStr">
        <is>
          <t>In 'Bambini iscritti', clicca '+ Aggiungi' -&gt; scegli bambino -&gt; scegli una preferenza (tag) -&gt; eventuali note -&gt; 'Aggiungi bambino'</t>
        </is>
      </c>
      <c r="F42" s="35" t="inlineStr">
        <is>
          <t>Il bambino compare subito nella lista con la preferenza indicata (la pagina si aggiorna da sola); il contatore si aggiorna</t>
        </is>
      </c>
      <c r="G42" s="35" t="n"/>
      <c r="H42" s="35">
        <f>IF(G42="BUG","BUG-"&amp;A42,IF(G42="FUNCTIONAL","FUNCTIONAL-"&amp;A42,""))</f>
        <v/>
      </c>
      <c r="I42" s="35" t="inlineStr">
        <is>
          <t>Alta</t>
        </is>
      </c>
      <c r="J42" s="35" t="n"/>
      <c r="K42" s="36" t="n"/>
      <c r="L42" s="36" t="inlineStr">
        <is>
          <t>Verificare che dopo il salvataggio la UI si aggiorni senza bisogno di refresh manuale (bug corretto)</t>
        </is>
      </c>
    </row>
    <row r="43" ht="45" customHeight="1" s="22">
      <c r="A43" s="37" t="inlineStr">
        <is>
          <t>TC-042</t>
        </is>
      </c>
      <c r="B43" s="35" t="inlineStr">
        <is>
          <t>Genitori - Gruppi</t>
        </is>
      </c>
      <c r="C43" s="35" t="inlineStr">
        <is>
          <t>Tentativo di aggiungere due volte lo stesso bambino</t>
        </is>
      </c>
      <c r="D43" s="35" t="inlineStr">
        <is>
          <t>Bambino gia iscritto al gruppo</t>
        </is>
      </c>
      <c r="E43" s="35" t="inlineStr">
        <is>
          <t>Prova ad aggiungere di nuovo lo stesso bambino allo stesso gruppo</t>
        </is>
      </c>
      <c r="F43" s="35" t="inlineStr">
        <is>
          <t>Messaggio chiaro 'Questo bambino e gia iscritto a questo gruppo' invece dell'errore tecnico del database</t>
        </is>
      </c>
      <c r="G43" s="35" t="n"/>
      <c r="H43" s="35">
        <f>IF(G43="BUG","BUG-"&amp;A43,IF(G43="FUNCTIONAL","FUNCTIONAL-"&amp;A43,""))</f>
        <v/>
      </c>
      <c r="I43" s="35" t="inlineStr">
        <is>
          <t>Media</t>
        </is>
      </c>
      <c r="J43" s="35" t="n"/>
      <c r="K43" s="36" t="n"/>
      <c r="L43" s="36" t="n"/>
    </row>
    <row r="44" ht="45" customHeight="1" s="22">
      <c r="A44" s="37" t="inlineStr">
        <is>
          <t>TC-043</t>
        </is>
      </c>
      <c r="B44" s="35" t="inlineStr">
        <is>
          <t>Genitori - Gruppi</t>
        </is>
      </c>
      <c r="C44" s="35" t="inlineStr">
        <is>
          <t>Rimozione proprio bambino dal gruppo</t>
        </is>
      </c>
      <c r="D44" s="35" t="inlineStr">
        <is>
          <t>Bambino tuo gia iscritto</t>
        </is>
      </c>
      <c r="E44" s="35" t="inlineStr">
        <is>
          <t>Clicca la X accanto al bambino</t>
        </is>
      </c>
      <c r="F44" s="35" t="inlineStr">
        <is>
          <t>Il bambino sparisce dalla lista, contatore aggiornato</t>
        </is>
      </c>
      <c r="G44" s="35" t="n"/>
      <c r="H44" s="35">
        <f>IF(G44="BUG","BUG-"&amp;A44,IF(G44="FUNCTIONAL","FUNCTIONAL-"&amp;A44,""))</f>
        <v/>
      </c>
      <c r="I44" s="35" t="inlineStr">
        <is>
          <t>Media</t>
        </is>
      </c>
      <c r="J44" s="35" t="n"/>
      <c r="K44" s="36" t="n"/>
      <c r="L44" s="36" t="n"/>
    </row>
    <row r="45" ht="45" customHeight="1" s="22">
      <c r="A45" s="37" t="inlineStr">
        <is>
          <t>TC-044</t>
        </is>
      </c>
      <c r="B45" s="35" t="inlineStr">
        <is>
          <t>Genitori - Gruppi</t>
        </is>
      </c>
      <c r="C45" s="35" t="inlineStr">
        <is>
          <t>Bambini di altri genitori - privacy</t>
        </is>
      </c>
      <c r="D45" s="35" t="inlineStr">
        <is>
          <t>Un secondo genitore ha aggiunto un suo bambino allo stesso gruppo</t>
        </is>
      </c>
      <c r="E45" s="35" t="inlineStr">
        <is>
          <t>Osserva la lista bambini iscritti</t>
        </is>
      </c>
      <c r="F45" s="35" t="inlineStr">
        <is>
          <t>Il bambino di un'altra famiglia compare come 'Bambino/a' generico con la sua preferenza, MAI il nome reale</t>
        </is>
      </c>
      <c r="G45" s="35" t="n"/>
      <c r="H45" s="35">
        <f>IF(G45="BUG","BUG-"&amp;A45,IF(G45="FUNCTIONAL","FUNCTIONAL-"&amp;A45,""))</f>
        <v/>
      </c>
      <c r="I45" s="35" t="inlineStr">
        <is>
          <t>Alta</t>
        </is>
      </c>
      <c r="J45" s="35" t="n"/>
      <c r="K45" s="36" t="n"/>
      <c r="L45" s="36" t="inlineStr">
        <is>
          <t>Verifica di sicurezza/privacy intenzionale</t>
        </is>
      </c>
    </row>
    <row r="46" ht="45" customHeight="1" s="22">
      <c r="A46" s="37" t="inlineStr">
        <is>
          <t>TC-045</t>
        </is>
      </c>
      <c r="B46" s="35" t="inlineStr">
        <is>
          <t>Genitori - Gruppi</t>
        </is>
      </c>
      <c r="C46" s="35" t="inlineStr">
        <is>
          <t>Generazione aggregazioni</t>
        </is>
      </c>
      <c r="D46" s="35" t="inlineStr">
        <is>
          <t>Almeno 2 bambini con preferenze diverse iscritti</t>
        </is>
      </c>
      <c r="E46" s="35" t="inlineStr">
        <is>
          <t>Clicca 'Genera aggregazioni'</t>
        </is>
      </c>
      <c r="F46" s="35" t="inlineStr">
        <is>
          <t>Compaiono sotto-gruppi per ciascuna preferenza (es. Calcio, Danza) con conteggio bambini e badge di compatibilita col campo</t>
        </is>
      </c>
      <c r="G46" s="35" t="n"/>
      <c r="H46" s="35">
        <f>IF(G46="BUG","BUG-"&amp;A46,IF(G46="FUNCTIONAL","FUNCTIONAL-"&amp;A46,""))</f>
        <v/>
      </c>
      <c r="I46" s="35" t="inlineStr">
        <is>
          <t>Alta</t>
        </is>
      </c>
      <c r="J46" s="35" t="n"/>
      <c r="K46" s="36" t="n"/>
      <c r="L46" s="36" t="n"/>
    </row>
    <row r="47" ht="45" customHeight="1" s="22">
      <c r="A47" s="37" t="inlineStr">
        <is>
          <t>TC-046</t>
        </is>
      </c>
      <c r="B47" s="35" t="inlineStr">
        <is>
          <t>Genitori - Gruppi</t>
        </is>
      </c>
      <c r="C47" s="35" t="inlineStr">
        <is>
          <t>Aggregazione non compatibile</t>
        </is>
      </c>
      <c r="D47" s="35" t="inlineStr">
        <is>
          <t>Un'attivita collegata che NON ha il tag scelto da un bambino</t>
        </is>
      </c>
      <c r="E47" s="35" t="inlineStr">
        <is>
          <t>Genera le aggregazioni</t>
        </is>
      </c>
      <c r="F47" s="35" t="inlineStr">
        <is>
          <t>Il sotto-gruppo con quella preferenza mostra badge 'Non disponibile in questo campo'</t>
        </is>
      </c>
      <c r="G47" s="35" t="n"/>
      <c r="H47" s="35">
        <f>IF(G47="BUG","BUG-"&amp;A47,IF(G47="FUNCTIONAL","FUNCTIONAL-"&amp;A47,""))</f>
        <v/>
      </c>
      <c r="I47" s="35" t="inlineStr">
        <is>
          <t>Media</t>
        </is>
      </c>
      <c r="J47" s="35" t="n"/>
      <c r="K47" s="36" t="n"/>
      <c r="L47" s="36" t="n"/>
    </row>
    <row r="48" ht="45" customHeight="1" s="22">
      <c r="A48" s="37" t="inlineStr">
        <is>
          <t>TC-047</t>
        </is>
      </c>
      <c r="B48" s="35" t="inlineStr">
        <is>
          <t>Genitori - Gruppi</t>
        </is>
      </c>
      <c r="C48" s="35" t="inlineStr">
        <is>
          <t>Rigenerazione aggregazioni</t>
        </is>
      </c>
      <c r="D48" s="35" t="inlineStr">
        <is>
          <t>Aggregazioni gia generate, poi bambini aggiunti/rimossi</t>
        </is>
      </c>
      <c r="E48" s="35" t="inlineStr">
        <is>
          <t>Clicca di nuovo 'Genera aggregazioni'</t>
        </is>
      </c>
      <c r="F48" s="35" t="inlineStr">
        <is>
          <t>I sotto-gruppi precedenti vengono sostituiti (non duplicati) con quelli aggiornati</t>
        </is>
      </c>
      <c r="G48" s="35" t="n"/>
      <c r="H48" s="35">
        <f>IF(G48="BUG","BUG-"&amp;A48,IF(G48="FUNCTIONAL","FUNCTIONAL-"&amp;A48,""))</f>
        <v/>
      </c>
      <c r="I48" s="35" t="inlineStr">
        <is>
          <t>Media</t>
        </is>
      </c>
      <c r="J48" s="35" t="n"/>
      <c r="K48" s="36" t="n"/>
      <c r="L48" s="36" t="n"/>
    </row>
    <row r="49" ht="45" customHeight="1" s="22">
      <c r="A49" s="37" t="inlineStr">
        <is>
          <t>TC-048</t>
        </is>
      </c>
      <c r="B49" s="35" t="inlineStr">
        <is>
          <t>Genitori - Gruppi</t>
        </is>
      </c>
      <c r="C49" s="35" t="inlineStr">
        <is>
          <t>Anteprima sconto Richiesta Gruppo</t>
        </is>
      </c>
      <c r="D49" s="35" t="inlineStr">
        <is>
          <t>Gruppo con N bambini iscritti</t>
        </is>
      </c>
      <c r="E49" s="35" t="inlineStr">
        <is>
          <t>Osserva il riquadro sconto nella sezione 'Richiesta Gruppo'</t>
        </is>
      </c>
      <c r="F49" s="35" t="inlineStr">
        <is>
          <t>Mostra la percentuale corretta secondo le fasce (5+ kids: 5%, 8+: 10%, 12+: 15%)</t>
        </is>
      </c>
      <c r="G49" s="35" t="n"/>
      <c r="H49" s="35">
        <f>IF(G49="BUG","BUG-"&amp;A49,IF(G49="FUNCTIONAL","FUNCTIONAL-"&amp;A49,""))</f>
        <v/>
      </c>
      <c r="I49" s="35" t="inlineStr">
        <is>
          <t>Alta</t>
        </is>
      </c>
      <c r="J49" s="35" t="n"/>
      <c r="K49" s="36" t="n"/>
      <c r="L49" s="36" t="n"/>
    </row>
    <row r="50" ht="45" customHeight="1" s="22">
      <c r="A50" s="37" t="inlineStr">
        <is>
          <t>TC-049</t>
        </is>
      </c>
      <c r="B50" s="35" t="inlineStr">
        <is>
          <t>Genitori - Gruppi</t>
        </is>
      </c>
      <c r="C50" s="35" t="inlineStr">
        <is>
          <t>Invio Richiesta Gruppo</t>
        </is>
      </c>
      <c r="D50" s="35" t="inlineStr">
        <is>
          <t>Attivita collegata, almeno 1 bambino iscritto</t>
        </is>
      </c>
      <c r="E50" s="35" t="inlineStr">
        <is>
          <t>Scrivi un messaggio (opzionale) -&gt; 'Invia Richiesta Gruppo'</t>
        </is>
      </c>
      <c r="F50" s="35" t="inlineStr">
        <is>
          <t>La richiesta appare come 'In attesa'; il box si sostituisce col riepilogo della richiesta inviata</t>
        </is>
      </c>
      <c r="G50" s="35" t="n"/>
      <c r="H50" s="35">
        <f>IF(G50="BUG","BUG-"&amp;A50,IF(G50="FUNCTIONAL","FUNCTIONAL-"&amp;A50,""))</f>
        <v/>
      </c>
      <c r="I50" s="35" t="inlineStr">
        <is>
          <t>Alta</t>
        </is>
      </c>
      <c r="J50" s="35" t="n"/>
      <c r="K50" s="36" t="n"/>
      <c r="L50" s="36" t="n"/>
    </row>
    <row r="51" ht="45" customHeight="1" s="22">
      <c r="A51" s="37" t="inlineStr">
        <is>
          <t>TC-050</t>
        </is>
      </c>
      <c r="B51" s="35" t="inlineStr">
        <is>
          <t>Genitori - Gruppi</t>
        </is>
      </c>
      <c r="C51" s="35" t="inlineStr">
        <is>
          <t>Aggregazioni con bambini di famiglie diverse</t>
        </is>
      </c>
      <c r="D51" s="35" t="inlineStr">
        <is>
          <t>Due account genitore diversi, entrambi membri dello stesso gruppo (tramite invito), ciascuno con almeno un bambino iscritto con preferenze diverse</t>
        </is>
      </c>
      <c r="E51" s="35" t="inlineStr">
        <is>
          <t>Da un secondo account genitore reale, unisciti al gruppo tramite link di invito e aggiungi un tuo bambino con una preferenza diversa da quella gia presente -&gt; torna sull'account del creatore -&gt; clicca 'Genera aggregazioni'</t>
        </is>
      </c>
      <c r="F51" s="35" t="inlineStr">
        <is>
          <t>Le aggregazioni includono ANCHE il bambino della seconda famiglia (non solo i propri), raggruppato correttamente per preferenza; il bambino della seconda famiglia compare come 'Bambino/a' generico (privacy) ma viene conteggiato nel sotto-gruppo giusto</t>
        </is>
      </c>
      <c r="G51" s="35" t="n"/>
      <c r="H51" s="35">
        <f>IF(G51="BUG","BUG-"&amp;A51,IF(G51="FUNCTIONAL","FUNCTIONAL-"&amp;A51,""))</f>
        <v/>
      </c>
      <c r="I51" s="35" t="inlineStr">
        <is>
          <t>Alta</t>
        </is>
      </c>
      <c r="J51" s="35" t="n"/>
      <c r="K51" s="36" t="n"/>
      <c r="L51" s="36"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2">
      <c r="A52" s="37" t="inlineStr">
        <is>
          <t>TC-051</t>
        </is>
      </c>
      <c r="B52" s="35" t="inlineStr">
        <is>
          <t>Genitori - Gruppi</t>
        </is>
      </c>
      <c r="C52" s="35" t="inlineStr">
        <is>
          <t>Richiesta Gruppo senza attivita collegata</t>
        </is>
      </c>
      <c r="D52" s="35" t="inlineStr">
        <is>
          <t>Gruppo senza attivita</t>
        </is>
      </c>
      <c r="E52" s="35" t="inlineStr">
        <is>
          <t>Prova a inviare una Richiesta Gruppo</t>
        </is>
      </c>
      <c r="F52" s="35" t="inlineStr">
        <is>
          <t>Messaggio di errore 'Collega prima un'attivita al gruppo'</t>
        </is>
      </c>
      <c r="G52" s="35" t="n"/>
      <c r="H52" s="35">
        <f>IF(G52="BUG","BUG-"&amp;A52,IF(G52="FUNCTIONAL","FUNCTIONAL-"&amp;A52,""))</f>
        <v/>
      </c>
      <c r="I52" s="35" t="inlineStr">
        <is>
          <t>Media</t>
        </is>
      </c>
      <c r="J52" s="35" t="n"/>
      <c r="K52" s="36" t="n"/>
      <c r="L52" s="36" t="n"/>
    </row>
    <row r="53" ht="45" customHeight="1" s="22">
      <c r="A53" s="37" t="inlineStr">
        <is>
          <t>TC-052</t>
        </is>
      </c>
      <c r="B53" s="35" t="inlineStr">
        <is>
          <t>Gestore - Richieste Gruppo</t>
        </is>
      </c>
      <c r="C53" s="35" t="inlineStr">
        <is>
          <t>Ricezione Richiesta Gruppo lato Gestore</t>
        </is>
      </c>
      <c r="D53" s="35" t="inlineStr">
        <is>
          <t>Richiesta inviata verso un centro gestito da un account center_admin</t>
        </is>
      </c>
      <c r="E53" s="35" t="inlineStr">
        <is>
          <t>Login Gestore -&gt; 'Richieste Gruppo'</t>
        </is>
      </c>
      <c r="F53" s="35" t="inlineStr">
        <is>
          <t>La richiesta compare in 'In attesa' con nome gruppo, attivita, numero bambini, sconto proposto</t>
        </is>
      </c>
      <c r="G53" s="35" t="n"/>
      <c r="H53" s="35">
        <f>IF(G53="BUG","BUG-"&amp;A53,IF(G53="FUNCTIONAL","FUNCTIONAL-"&amp;A53,""))</f>
        <v/>
      </c>
      <c r="I53" s="35" t="inlineStr">
        <is>
          <t>Alta</t>
        </is>
      </c>
      <c r="J53" s="35" t="n"/>
      <c r="K53" s="36" t="n"/>
      <c r="L53" s="36" t="n"/>
    </row>
    <row r="54" ht="45" customHeight="1" s="22">
      <c r="A54" s="37" t="inlineStr">
        <is>
          <t>TC-053</t>
        </is>
      </c>
      <c r="B54" s="35" t="inlineStr">
        <is>
          <t>Gestore - Richieste Gruppo</t>
        </is>
      </c>
      <c r="C54" s="35" t="inlineStr">
        <is>
          <t>Accetta/Rifiuta Richiesta Gruppo</t>
        </is>
      </c>
      <c r="D54" s="35" t="inlineStr">
        <is>
          <t>Richiesta in attesa</t>
        </is>
      </c>
      <c r="E54" s="35" t="inlineStr">
        <is>
          <t>Click 'Accetta' (o 'Rifiuta')</t>
        </is>
      </c>
      <c r="F54" s="35" t="inlineStr">
        <is>
          <t>La richiesta si sposta in 'Storico' con lo stato corretto; il genitore vede lo stesso stato aggiornato nella pagina gruppo</t>
        </is>
      </c>
      <c r="G54" s="35" t="n"/>
      <c r="H54" s="35">
        <f>IF(G54="BUG","BUG-"&amp;A54,IF(G54="FUNCTIONAL","FUNCTIONAL-"&amp;A54,""))</f>
        <v/>
      </c>
      <c r="I54" s="35" t="inlineStr">
        <is>
          <t>Alta</t>
        </is>
      </c>
      <c r="J54" s="35" t="n"/>
      <c r="K54" s="36" t="n"/>
      <c r="L54" s="36" t="n"/>
    </row>
    <row r="55" ht="45" customHeight="1" s="22">
      <c r="A55" s="37" t="inlineStr">
        <is>
          <t>TC-054</t>
        </is>
      </c>
      <c r="B55" s="35" t="inlineStr">
        <is>
          <t>Gestore - Richieste Gruppo</t>
        </is>
      </c>
      <c r="C55" s="35" t="inlineStr">
        <is>
          <t>Vedi solo le richieste del proprio centro</t>
        </is>
      </c>
      <c r="D55" s="35" t="inlineStr">
        <is>
          <t>Piu centri con richieste diverse</t>
        </is>
      </c>
      <c r="E55" s="35" t="inlineStr">
        <is>
          <t>Apri /center/group-requests con un account collegato a un solo centro</t>
        </is>
      </c>
      <c r="F55" s="35" t="inlineStr">
        <is>
          <t>Vedi solo le richieste dirette al proprio centro, non quelle di altri centri</t>
        </is>
      </c>
      <c r="G55" s="35" t="n"/>
      <c r="H55" s="35">
        <f>IF(G55="BUG","BUG-"&amp;A55,IF(G55="FUNCTIONAL","FUNCTIONAL-"&amp;A55,""))</f>
        <v/>
      </c>
      <c r="I55" s="35" t="inlineStr">
        <is>
          <t>Alta</t>
        </is>
      </c>
      <c r="J55" s="35" t="n"/>
      <c r="K55" s="36" t="n"/>
      <c r="L55" s="36" t="inlineStr">
        <is>
          <t>Verifica sicurezza RLS</t>
        </is>
      </c>
    </row>
    <row r="56" ht="45" customHeight="1" s="22">
      <c r="A56" s="37" t="inlineStr">
        <is>
          <t>TC-055</t>
        </is>
      </c>
      <c r="B56" s="35" t="inlineStr">
        <is>
          <t>Gestore - Richieste Gruppo</t>
        </is>
      </c>
      <c r="C56" s="35" t="inlineStr">
        <is>
          <t>Storico richieste</t>
        </is>
      </c>
      <c r="D56" s="35" t="inlineStr">
        <is>
          <t>Richieste gia accettate/rifiutate</t>
        </is>
      </c>
      <c r="E56" s="35" t="inlineStr">
        <is>
          <t>Scorri la sezione 'Storico'</t>
        </is>
      </c>
      <c r="F56" s="35" t="inlineStr">
        <is>
          <t>Mostra tutte le richieste risolte con lo stato corretto</t>
        </is>
      </c>
      <c r="G56" s="35" t="n"/>
      <c r="H56" s="35">
        <f>IF(G56="BUG","BUG-"&amp;A56,IF(G56="FUNCTIONAL","FUNCTIONAL-"&amp;A56,""))</f>
        <v/>
      </c>
      <c r="I56" s="35" t="inlineStr">
        <is>
          <t>Bassa</t>
        </is>
      </c>
      <c r="J56" s="35" t="n"/>
      <c r="K56" s="36" t="n"/>
      <c r="L56" s="36" t="n"/>
    </row>
    <row r="57" ht="45" customHeight="1" s="22">
      <c r="A57" s="37" t="inlineStr">
        <is>
          <t>TC-056</t>
        </is>
      </c>
      <c r="B57" s="35" t="inlineStr">
        <is>
          <t>Genitori - Accompagnamento</t>
        </is>
      </c>
      <c r="C57" s="35" t="inlineStr">
        <is>
          <t>Proporsi come autista</t>
        </is>
      </c>
      <c r="D57" s="35" t="inlineStr">
        <is>
          <t>Nella pagina gruppo, tab Accompagnamento</t>
        </is>
      </c>
      <c r="E57" s="35" t="inlineStr">
        <is>
          <t>Inserisci posti disponibili, seggiolini, tratta -&gt; 'Proponi un passaggio'</t>
        </is>
      </c>
      <c r="F57" s="35" t="inlineStr">
        <is>
          <t>L'offerta compare in 'Tutte le offerte nel gruppo'</t>
        </is>
      </c>
      <c r="G57" s="35" t="n"/>
      <c r="H57" s="35">
        <f>IF(G57="BUG","BUG-"&amp;A57,IF(G57="FUNCTIONAL","FUNCTIONAL-"&amp;A57,""))</f>
        <v/>
      </c>
      <c r="I57" s="35" t="inlineStr">
        <is>
          <t>Alta</t>
        </is>
      </c>
      <c r="J57" s="35" t="n"/>
      <c r="K57" s="36" t="n"/>
      <c r="L57" s="36" t="n"/>
    </row>
    <row r="58" ht="45" customHeight="1" s="22">
      <c r="A58" s="37" t="inlineStr">
        <is>
          <t>TC-057</t>
        </is>
      </c>
      <c r="B58" s="35" t="inlineStr">
        <is>
          <t>Genitori - Accompagnamento</t>
        </is>
      </c>
      <c r="C58" s="35" t="inlineStr">
        <is>
          <t>Aggiornare la propria offerta</t>
        </is>
      </c>
      <c r="D58" s="35" t="inlineStr">
        <is>
          <t>Offerta gia creata</t>
        </is>
      </c>
      <c r="E58" s="35" t="inlineStr">
        <is>
          <t>Cambia i valori -&gt; 'Aggiorna offerta'</t>
        </is>
      </c>
      <c r="F58" s="35" t="inlineStr">
        <is>
          <t>I valori si aggiornano (upsert, non duplica righe)</t>
        </is>
      </c>
      <c r="G58" s="35" t="n"/>
      <c r="H58" s="35">
        <f>IF(G58="BUG","BUG-"&amp;A58,IF(G58="FUNCTIONAL","FUNCTIONAL-"&amp;A58,""))</f>
        <v/>
      </c>
      <c r="I58" s="35" t="inlineStr">
        <is>
          <t>Media</t>
        </is>
      </c>
      <c r="J58" s="35" t="n"/>
      <c r="K58" s="36" t="n"/>
      <c r="L58" s="36" t="n"/>
    </row>
    <row r="59" ht="45" customHeight="1" s="22">
      <c r="A59" s="37" t="inlineStr">
        <is>
          <t>TC-058</t>
        </is>
      </c>
      <c r="B59" s="35" t="inlineStr">
        <is>
          <t>Genitori - Accompagnamento</t>
        </is>
      </c>
      <c r="C59" s="35" t="inlineStr">
        <is>
          <t>Rimuovere la propria offerta</t>
        </is>
      </c>
      <c r="D59" s="35" t="inlineStr">
        <is>
          <t>Offerta esistente</t>
        </is>
      </c>
      <c r="E59" s="35" t="inlineStr">
        <is>
          <t>Click 'Rimuovi'</t>
        </is>
      </c>
      <c r="F59" s="35" t="inlineStr">
        <is>
          <t>L'offerta sparisce dalla lista</t>
        </is>
      </c>
      <c r="G59" s="35" t="n"/>
      <c r="H59" s="35">
        <f>IF(G59="BUG","BUG-"&amp;A59,IF(G59="FUNCTIONAL","FUNCTIONAL-"&amp;A59,""))</f>
        <v/>
      </c>
      <c r="I59" s="35" t="inlineStr">
        <is>
          <t>Media</t>
        </is>
      </c>
      <c r="J59" s="35" t="n"/>
      <c r="K59" s="36" t="n"/>
      <c r="L59" s="36" t="n"/>
    </row>
    <row r="60" ht="45" customHeight="1" s="22">
      <c r="A60" s="37" t="inlineStr">
        <is>
          <t>TC-059</t>
        </is>
      </c>
      <c r="B60" s="35" t="inlineStr">
        <is>
          <t>Genitori - Accompagnamento</t>
        </is>
      </c>
      <c r="C60" s="35" t="inlineStr">
        <is>
          <t>Richiedere un passaggio</t>
        </is>
      </c>
      <c r="D60" s="35" t="inlineStr">
        <is>
          <t>Nella tab Accompagnamento</t>
        </is>
      </c>
      <c r="E60" s="35" t="inlineStr">
        <is>
          <t>Inserisci n. bambini, seggiolino richiesto, tratta -&gt; 'Richiedi un passaggio'</t>
        </is>
      </c>
      <c r="F60" s="35" t="inlineStr">
        <is>
          <t>La sezione 'Abbinamenti proposti per te' appare</t>
        </is>
      </c>
      <c r="G60" s="35" t="n"/>
      <c r="H60" s="35">
        <f>IF(G60="BUG","BUG-"&amp;A60,IF(G60="FUNCTIONAL","FUNCTIONAL-"&amp;A60,""))</f>
        <v/>
      </c>
      <c r="I60" s="35" t="inlineStr">
        <is>
          <t>Alta</t>
        </is>
      </c>
      <c r="J60" s="35" t="n"/>
      <c r="K60" s="36" t="n"/>
      <c r="L60" s="36" t="n"/>
    </row>
    <row r="61" ht="45" customHeight="1" s="22">
      <c r="A61" s="37" t="inlineStr">
        <is>
          <t>TC-060</t>
        </is>
      </c>
      <c r="B61" s="35" t="inlineStr">
        <is>
          <t>Genitori - Accompagnamento</t>
        </is>
      </c>
      <c r="C61" s="35" t="inlineStr">
        <is>
          <t>Abbinamento compatibile</t>
        </is>
      </c>
      <c r="D61" s="35" t="inlineStr">
        <is>
          <t>Un'offerta con stessa tratta (o entrambe), posti sufficienti, seggiolino se richiesto</t>
        </is>
      </c>
      <c r="E61" s="35" t="inlineStr">
        <is>
          <t>Dopo aver creato la richiesta, guarda 'Abbinamenti proposti per te'</t>
        </is>
      </c>
      <c r="F61" s="35" t="inlineStr">
        <is>
          <t>L'offerta compatibile compare nella lista</t>
        </is>
      </c>
      <c r="G61" s="35" t="n"/>
      <c r="H61" s="35">
        <f>IF(G61="BUG","BUG-"&amp;A61,IF(G61="FUNCTIONAL","FUNCTIONAL-"&amp;A61,""))</f>
        <v/>
      </c>
      <c r="I61" s="35" t="inlineStr">
        <is>
          <t>Alta</t>
        </is>
      </c>
      <c r="J61" s="35" t="n"/>
      <c r="K61" s="36" t="n"/>
      <c r="L61" s="36" t="n"/>
    </row>
    <row r="62" ht="45" customHeight="1" s="22">
      <c r="A62" s="37" t="inlineStr">
        <is>
          <t>TC-061</t>
        </is>
      </c>
      <c r="B62" s="35" t="inlineStr">
        <is>
          <t>Genitori - Accompagnamento</t>
        </is>
      </c>
      <c r="C62" s="35" t="inlineStr">
        <is>
          <t>Abbinamento filtrato per seggiolino</t>
        </is>
      </c>
      <c r="D62" s="35" t="inlineStr">
        <is>
          <t>Richiesta con seggiolino richiesto attivo, offerta senza seggiolino</t>
        </is>
      </c>
      <c r="E62" s="35" t="inlineStr">
        <is>
          <t>Controlla abbinamenti</t>
        </is>
      </c>
      <c r="F62" s="35" t="inlineStr">
        <is>
          <t>L'offerta senza seggiolino NON deve comparire</t>
        </is>
      </c>
      <c r="G62" s="35" t="n"/>
      <c r="H62" s="35">
        <f>IF(G62="BUG","BUG-"&amp;A62,IF(G62="FUNCTIONAL","FUNCTIONAL-"&amp;A62,""))</f>
        <v/>
      </c>
      <c r="I62" s="35" t="inlineStr">
        <is>
          <t>Alta</t>
        </is>
      </c>
      <c r="J62" s="35" t="n"/>
      <c r="K62" s="36" t="n"/>
      <c r="L62" s="36" t="inlineStr">
        <is>
          <t>Verifica logica di matching (lib/carpool.ts)</t>
        </is>
      </c>
    </row>
    <row r="63" ht="45" customHeight="1" s="22">
      <c r="A63" s="37" t="inlineStr">
        <is>
          <t>TC-062</t>
        </is>
      </c>
      <c r="B63" s="35" t="inlineStr">
        <is>
          <t>Genitori - Accompagnamento</t>
        </is>
      </c>
      <c r="C63" s="35" t="inlineStr">
        <is>
          <t>Abbinamento filtrato per tratta</t>
        </is>
      </c>
      <c r="D63" s="35" t="inlineStr">
        <is>
          <t>Richiesta con tratta 'Ritorno', offerta con tratta 'Andata'</t>
        </is>
      </c>
      <c r="E63" s="35" t="inlineStr">
        <is>
          <t>Controlla abbinamenti</t>
        </is>
      </c>
      <c r="F63" s="35" t="inlineStr">
        <is>
          <t>L'offerta 'solo andata' non deve comparire tra i risultati per il ritorno</t>
        </is>
      </c>
      <c r="G63" s="35" t="n"/>
      <c r="H63" s="35">
        <f>IF(G63="BUG","BUG-"&amp;A63,IF(G63="FUNCTIONAL","FUNCTIONAL-"&amp;A63,""))</f>
        <v/>
      </c>
      <c r="I63" s="35" t="inlineStr">
        <is>
          <t>Alta</t>
        </is>
      </c>
      <c r="J63" s="35" t="n"/>
      <c r="K63" s="36" t="n"/>
      <c r="L63" s="36" t="n"/>
    </row>
    <row r="64" ht="45" customHeight="1" s="22">
      <c r="A64" s="37" t="inlineStr">
        <is>
          <t>TC-063</t>
        </is>
      </c>
      <c r="B64" s="35" t="inlineStr">
        <is>
          <t>Genitori - Accompagnamento</t>
        </is>
      </c>
      <c r="C64" s="35" t="inlineStr">
        <is>
          <t>Nessun abbinamento disponibile</t>
        </is>
      </c>
      <c r="D64" s="35" t="inlineStr">
        <is>
          <t>Richiesta creata, nessuna offerta compatibile</t>
        </is>
      </c>
      <c r="E64" s="35" t="inlineStr">
        <is>
          <t>Controlla 'Abbinamenti proposti per te'</t>
        </is>
      </c>
      <c r="F64" s="35" t="inlineStr">
        <is>
          <t>Messaggio 'Nessun abbinamento compatibile ancora'</t>
        </is>
      </c>
      <c r="G64" s="35" t="n"/>
      <c r="H64" s="35">
        <f>IF(G64="BUG","BUG-"&amp;A64,IF(G64="FUNCTIONAL","FUNCTIONAL-"&amp;A64,""))</f>
        <v/>
      </c>
      <c r="I64" s="35" t="inlineStr">
        <is>
          <t>Bassa</t>
        </is>
      </c>
      <c r="J64" s="35" t="n"/>
      <c r="K64" s="36" t="n"/>
      <c r="L64" s="36" t="n"/>
    </row>
    <row r="65" ht="45" customHeight="1" s="22">
      <c r="A65" s="37" t="inlineStr">
        <is>
          <t>TC-064</t>
        </is>
      </c>
      <c r="B65" s="35" t="inlineStr">
        <is>
          <t>Genitori - Calendario</t>
        </is>
      </c>
      <c r="C65" s="35" t="inlineStr">
        <is>
          <t>Calendario personale</t>
        </is>
      </c>
      <c r="D65" s="35" t="inlineStr">
        <is>
          <t>Bambino con prenotazione confermata</t>
        </is>
      </c>
      <c r="E65" s="35" t="inlineStr">
        <is>
          <t>Vai su /calendar</t>
        </is>
      </c>
      <c r="F65" s="35" t="inlineStr">
        <is>
          <t>Gli eventi mostrati riflettono le prenotazioni reali</t>
        </is>
      </c>
      <c r="G65" s="35" t="n"/>
      <c r="H65" s="35">
        <f>IF(G65="BUG","BUG-"&amp;A65,IF(G65="FUNCTIONAL","FUNCTIONAL-"&amp;A65,""))</f>
        <v/>
      </c>
      <c r="I65" s="35" t="inlineStr">
        <is>
          <t>Alta</t>
        </is>
      </c>
      <c r="J65" s="35" t="inlineStr">
        <is>
          <t>#4</t>
        </is>
      </c>
      <c r="K65" s="36" t="n"/>
      <c r="L65" s="36" t="n"/>
    </row>
    <row r="66" ht="45" customHeight="1" s="22">
      <c r="A66" s="37" t="inlineStr">
        <is>
          <t>TC-065</t>
        </is>
      </c>
      <c r="B66" s="35" t="inlineStr">
        <is>
          <t>Genitori - Calendario</t>
        </is>
      </c>
      <c r="C66" s="35" t="inlineStr">
        <is>
          <t>Giorni evidenziati calendario centro</t>
        </is>
      </c>
      <c r="D66" s="35" t="inlineStr">
        <is>
          <t>Prenotazione con giorni specifici frequentati</t>
        </is>
      </c>
      <c r="E66" s="35" t="inlineStr">
        <is>
          <t>Apri tab 'Calendari centri'</t>
        </is>
      </c>
      <c r="F66" s="35" t="inlineStr">
        <is>
          <t>I giorni effettivamente prenotati dovrebbero essere evidenziati</t>
        </is>
      </c>
      <c r="G66" s="35" t="inlineStr">
        <is>
          <t>FUNCTIONAL</t>
        </is>
      </c>
      <c r="H66" s="35">
        <f>IF(G66="BUG","BUG-"&amp;A66,IF(G66="FUNCTIONAL","FUNCTIONAL-"&amp;A66,""))</f>
        <v/>
      </c>
      <c r="I66" s="35" t="inlineStr">
        <is>
          <t>Media</t>
        </is>
      </c>
      <c r="J66" s="35" t="inlineStr">
        <is>
          <t>#22</t>
        </is>
      </c>
      <c r="K66" s="36" t="inlineStr">
        <is>
          <t>DA COSTRUIRE (task #22, V1 - confermato da tuo commento sul roadmap Word: "questo lo sistemerei")</t>
        </is>
      </c>
      <c r="L66" s="36" t="inlineStr">
        <is>
          <t>Noto: bookedDays/eventDays arrivano ancora da dati demo, non riflettono la prenotazione reale</t>
        </is>
      </c>
    </row>
    <row r="67" ht="45" customHeight="1" s="22">
      <c r="A67" s="37" t="inlineStr">
        <is>
          <t>TC-066</t>
        </is>
      </c>
      <c r="B67" s="35" t="inlineStr">
        <is>
          <t>Genitori - Profilo</t>
        </is>
      </c>
      <c r="C67" s="35" t="inlineStr">
        <is>
          <t>Visualizza profilo</t>
        </is>
      </c>
      <c r="D67" s="35" t="inlineStr">
        <is>
          <t>Login genitore</t>
        </is>
      </c>
      <c r="E67" s="35" t="inlineStr">
        <is>
          <t>Vai su /profile</t>
        </is>
      </c>
      <c r="F67" s="35" t="inlineStr">
        <is>
          <t>Nome/email reali, lista bambini reale</t>
        </is>
      </c>
      <c r="G67" s="35" t="n"/>
      <c r="H67" s="35">
        <f>IF(G67="BUG","BUG-"&amp;A67,IF(G67="FUNCTIONAL","FUNCTIONAL-"&amp;A67,""))</f>
        <v/>
      </c>
      <c r="I67" s="35" t="inlineStr">
        <is>
          <t>Alta</t>
        </is>
      </c>
      <c r="J67" s="35" t="n"/>
      <c r="K67" s="36" t="n"/>
      <c r="L67" s="36" t="n"/>
    </row>
    <row r="68" ht="45" customHeight="1" s="22">
      <c r="A68" s="37" t="inlineStr">
        <is>
          <t>TC-067</t>
        </is>
      </c>
      <c r="B68" s="35" t="inlineStr">
        <is>
          <t>Genitori - Profilo</t>
        </is>
      </c>
      <c r="C68" s="35" t="inlineStr">
        <is>
          <t>Aggiungere un bambino</t>
        </is>
      </c>
      <c r="D68" s="35" t="inlineStr">
        <is>
          <t>Nessuna</t>
        </is>
      </c>
      <c r="E68" s="35" t="inlineStr">
        <is>
          <t>'+ Aggiungi' nella sezione bambini -&gt; compila nome/eta/altro -&gt; salva</t>
        </is>
      </c>
      <c r="F68" s="35" t="inlineStr">
        <is>
          <t>Il bambino compare nella lista, salvato su Supabase</t>
        </is>
      </c>
      <c r="G68" s="35" t="n"/>
      <c r="H68" s="35">
        <f>IF(G68="BUG","BUG-"&amp;A68,IF(G68="FUNCTIONAL","FUNCTIONAL-"&amp;A68,""))</f>
        <v/>
      </c>
      <c r="I68" s="35" t="inlineStr">
        <is>
          <t>Alta</t>
        </is>
      </c>
      <c r="J68" s="35" t="n"/>
      <c r="K68" s="36" t="n"/>
      <c r="L68" s="36" t="n"/>
    </row>
    <row r="69" ht="45" customHeight="1" s="22">
      <c r="A69" s="37" t="inlineStr">
        <is>
          <t>TC-068</t>
        </is>
      </c>
      <c r="B69" s="35" t="inlineStr">
        <is>
          <t>Genitori - Profilo</t>
        </is>
      </c>
      <c r="C69" s="35" t="inlineStr">
        <is>
          <t>Statistiche profilo</t>
        </is>
      </c>
      <c r="D69" s="35" t="inlineStr">
        <is>
          <t>Nessuna</t>
        </is>
      </c>
      <c r="E69" s="35" t="inlineStr">
        <is>
          <t>Osserva i 3 riquadri statistici in alto (Prenotazioni/Gruppi/Risparmiati)</t>
        </is>
      </c>
      <c r="F69" s="35" t="inlineStr">
        <is>
          <t>Dovrebbero riflettere i dati reali dell'utente</t>
        </is>
      </c>
      <c r="G69" s="35" t="inlineStr">
        <is>
          <t>FUNCTIONAL</t>
        </is>
      </c>
      <c r="H69" s="35">
        <f>IF(G69="BUG","BUG-"&amp;A69,IF(G69="FUNCTIONAL","FUNCTIONAL-"&amp;A69,""))</f>
        <v/>
      </c>
      <c r="I69" s="35" t="inlineStr">
        <is>
          <t>Bassa</t>
        </is>
      </c>
      <c r="J69" s="35" t="n"/>
      <c r="K69" s="36" t="inlineStr">
        <is>
          <t>DA COSTRUIRE (task #16, V1 - non ancora iniziato)</t>
        </is>
      </c>
      <c r="L69" s="36" t="inlineStr">
        <is>
          <t>Noto: numeri fissi demo (12/3/85 euro), badge 'Numeri demo' visibile</t>
        </is>
      </c>
    </row>
    <row r="70" ht="45" customHeight="1" s="22">
      <c r="A70" s="37" t="inlineStr">
        <is>
          <t>TC-069</t>
        </is>
      </c>
      <c r="B70" s="35" t="inlineStr">
        <is>
          <t>Genitori - Profilo</t>
        </is>
      </c>
      <c r="C70" s="35" t="inlineStr">
        <is>
          <t>Modifica profilo</t>
        </is>
      </c>
      <c r="D70" s="35" t="inlineStr">
        <is>
          <t>Nessuna</t>
        </is>
      </c>
      <c r="E70" s="35" t="inlineStr">
        <is>
          <t>Click 'Modifica' accanto al nome</t>
        </is>
      </c>
      <c r="F70" s="35" t="inlineStr">
        <is>
          <t>Dovrebbe aprire un form di modifica dati</t>
        </is>
      </c>
      <c r="G70" s="35" t="inlineStr">
        <is>
          <t>FUNCTIONAL</t>
        </is>
      </c>
      <c r="H70" s="35">
        <f>IF(G70="BUG","BUG-"&amp;A70,IF(G70="FUNCTIONAL","FUNCTIONAL-"&amp;A70,""))</f>
        <v/>
      </c>
      <c r="I70" s="35" t="inlineStr">
        <is>
          <t>Bassa</t>
        </is>
      </c>
      <c r="J70" s="35" t="n"/>
      <c r="K70" s="36" t="inlineStr">
        <is>
          <t>DA COSTRUIRE (V2 - release successiva)</t>
        </is>
      </c>
      <c r="L70" s="36" t="inlineStr">
        <is>
          <t>Noto: badge ComingSoon, nessuna azione | AGGIORNATO: il form 'Modifica' ora include anche telefono, data di nascita e genere (vedi TC-132), non solo nome/ruolo.</t>
        </is>
      </c>
    </row>
    <row r="71" ht="45" customHeight="1" s="22">
      <c r="A71" s="37" t="inlineStr">
        <is>
          <t>TC-070</t>
        </is>
      </c>
      <c r="B71" s="35" t="inlineStr">
        <is>
          <t>Genitori - Profilo</t>
        </is>
      </c>
      <c r="C71" s="35" t="inlineStr">
        <is>
          <t>Voci menu in arrivo</t>
        </is>
      </c>
      <c r="D71" s="35" t="inlineStr">
        <is>
          <t>Nessuna</t>
        </is>
      </c>
      <c r="E71" s="35" t="inlineStr">
        <is>
          <t>Osserva 'Le mie prenotazioni', 'Notifiche', 'Preferiti', 'Navetta', 'Chat con organizzatori', 'Ricevute e fatture', 'Lingua'</t>
        </is>
      </c>
      <c r="F71" s="35" t="inlineStr">
        <is>
          <t>Tutte mostrano badge ComingSoon, nessuna e cliccabile in modo funzionale</t>
        </is>
      </c>
      <c r="G71" s="35" t="inlineStr">
        <is>
          <t>FUNCTIONAL</t>
        </is>
      </c>
      <c r="H71" s="35">
        <f>IF(G71="BUG","BUG-"&amp;A71,IF(G71="FUNCTIONAL","FUNCTIONAL-"&amp;A71,""))</f>
        <v/>
      </c>
      <c r="I71" s="35" t="inlineStr">
        <is>
          <t>Bassa</t>
        </is>
      </c>
      <c r="J71" s="35" t="inlineStr">
        <is>
          <t>#20/#21/#15</t>
        </is>
      </c>
      <c r="K71" s="36" t="inlineStr">
        <is>
          <t>DA COSTRUIRE (mix V1/V2 - legato a #20/#21/#15, vedi roadmap)</t>
        </is>
      </c>
      <c r="L71" s="36"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2">
      <c r="A72" s="37" t="inlineStr">
        <is>
          <t>TC-071</t>
        </is>
      </c>
      <c r="B72" s="35" t="inlineStr">
        <is>
          <t>Genitori - Profilo</t>
        </is>
      </c>
      <c r="C72" s="35" t="inlineStr">
        <is>
          <t>Logout da Profilo</t>
        </is>
      </c>
      <c r="D72" s="35" t="inlineStr">
        <is>
          <t>Login attivo</t>
        </is>
      </c>
      <c r="E72" s="35" t="inlineStr">
        <is>
          <t>Click 'Esci' in fondo alla pagina</t>
        </is>
      </c>
      <c r="F72" s="35" t="inlineStr">
        <is>
          <t>Sessione terminata</t>
        </is>
      </c>
      <c r="G72" s="35" t="n"/>
      <c r="H72" s="35">
        <f>IF(G72="BUG","BUG-"&amp;A72,IF(G72="FUNCTIONAL","FUNCTIONAL-"&amp;A72,""))</f>
        <v/>
      </c>
      <c r="I72" s="35" t="inlineStr">
        <is>
          <t>Media</t>
        </is>
      </c>
      <c r="J72" s="35" t="n"/>
      <c r="K72" s="36" t="n"/>
      <c r="L72" s="36" t="n"/>
    </row>
    <row r="73" ht="45" customHeight="1" s="22">
      <c r="A73" s="37" t="inlineStr">
        <is>
          <t>TC-072</t>
        </is>
      </c>
      <c r="B73" s="35" t="inlineStr">
        <is>
          <t>Gestore - Dashboard</t>
        </is>
      </c>
      <c r="C73" s="35" t="inlineStr">
        <is>
          <t>Dashboard Gestore</t>
        </is>
      </c>
      <c r="D73" s="35" t="inlineStr">
        <is>
          <t>Login Gestore centro</t>
        </is>
      </c>
      <c r="E73" s="35" t="inlineStr">
        <is>
          <t>Apri /center</t>
        </is>
      </c>
      <c r="F73" s="35" t="inlineStr">
        <is>
          <t>KPI, grafico occupazione, prenotazioni recenti e 'Le tue attivita' dovrebbero riflettere il centro reale</t>
        </is>
      </c>
      <c r="G73" s="35" t="inlineStr">
        <is>
          <t>BUG</t>
        </is>
      </c>
      <c r="H73" s="35">
        <f>IF(G73="BUG","BUG-"&amp;A73,IF(G73="FUNCTIONAL","FUNCTIONAL-"&amp;A73,""))</f>
        <v/>
      </c>
      <c r="I73" s="35" t="inlineStr">
        <is>
          <t>Alta</t>
        </is>
      </c>
      <c r="J73" s="35" t="inlineStr">
        <is>
          <t>#19</t>
        </is>
      </c>
      <c r="K73" s="36"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6"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2">
      <c r="A74" s="37" t="inlineStr">
        <is>
          <t>TC-073</t>
        </is>
      </c>
      <c r="B74" s="35" t="inlineStr">
        <is>
          <t>Gestore - Attivita</t>
        </is>
      </c>
      <c r="C74" s="35" t="inlineStr">
        <is>
          <t>Elenco attivita del centro</t>
        </is>
      </c>
      <c r="D74" s="35" t="inlineStr">
        <is>
          <t>Account collegato a un centro (center_id valorizzato)</t>
        </is>
      </c>
      <c r="E74" s="35" t="inlineStr">
        <is>
          <t>Apri /center/activities</t>
        </is>
      </c>
      <c r="F74" s="35" t="inlineStr">
        <is>
          <t>Mostra solo le attivita reali di quel centro</t>
        </is>
      </c>
      <c r="G74" s="35" t="n"/>
      <c r="H74" s="35">
        <f>IF(G74="BUG","BUG-"&amp;A74,IF(G74="FUNCTIONAL","FUNCTIONAL-"&amp;A74,""))</f>
        <v/>
      </c>
      <c r="I74" s="35" t="inlineStr">
        <is>
          <t>Alta</t>
        </is>
      </c>
      <c r="J74" s="35" t="n"/>
      <c r="K74" s="36" t="n"/>
      <c r="L74" s="36" t="n"/>
    </row>
    <row r="75" ht="45" customHeight="1" s="22">
      <c r="A75" s="37" t="inlineStr">
        <is>
          <t>TC-074</t>
        </is>
      </c>
      <c r="B75" s="35" t="inlineStr">
        <is>
          <t>Gestore - Attivita</t>
        </is>
      </c>
      <c r="C75" s="35" t="inlineStr">
        <is>
          <t>Creazione nuova attivita</t>
        </is>
      </c>
      <c r="D75" s="35" t="inlineStr">
        <is>
          <t>Nessuna</t>
        </is>
      </c>
      <c r="E75" s="35" t="inlineStr">
        <is>
          <t>'+ Nuova attivita' -&gt; compila form -&gt; 'Crea attivita'</t>
        </is>
      </c>
      <c r="F75" s="35" t="inlineStr">
        <is>
          <t>Attivita salvata su Supabase, redirect alla pagina di modifica</t>
        </is>
      </c>
      <c r="G75" s="35" t="n"/>
      <c r="H75" s="35">
        <f>IF(G75="BUG","BUG-"&amp;A75,IF(G75="FUNCTIONAL","FUNCTIONAL-"&amp;A75,""))</f>
        <v/>
      </c>
      <c r="I75" s="35" t="inlineStr">
        <is>
          <t>Alta</t>
        </is>
      </c>
      <c r="J75" s="35" t="n"/>
      <c r="K75" s="36" t="n"/>
      <c r="L75" s="36" t="n"/>
    </row>
    <row r="76" ht="45" customHeight="1" s="22">
      <c r="A76" s="37" t="inlineStr">
        <is>
          <t>TC-075</t>
        </is>
      </c>
      <c r="B76" s="35" t="inlineStr">
        <is>
          <t>Gestore - Attivita</t>
        </is>
      </c>
      <c r="C76" s="35" t="inlineStr">
        <is>
          <t>Modifica attivita</t>
        </is>
      </c>
      <c r="D76" s="35" t="inlineStr">
        <is>
          <t>Attivita esistente</t>
        </is>
      </c>
      <c r="E76" s="35" t="inlineStr">
        <is>
          <t>Apri un'attivita -&gt; modifica prezzo/eta/servizi/tag -&gt; salva</t>
        </is>
      </c>
      <c r="F76" s="35" t="inlineStr">
        <is>
          <t>I dati si aggiornano su Supabase, log azione registrato</t>
        </is>
      </c>
      <c r="G76" s="35" t="n"/>
      <c r="H76" s="35">
        <f>IF(G76="BUG","BUG-"&amp;A76,IF(G76="FUNCTIONAL","FUNCTIONAL-"&amp;A76,""))</f>
        <v/>
      </c>
      <c r="I76" s="35" t="inlineStr">
        <is>
          <t>Alta</t>
        </is>
      </c>
      <c r="J76" s="35" t="n"/>
      <c r="K76" s="36" t="n"/>
      <c r="L76" s="36" t="inlineStr">
        <is>
          <t>IMPLEMENTATO: apre la scheda modifica dell'attività di test e verifica due fix di coerenza UI: la nav 'Attività' resta evidenziata sulla sotto-rotta di modifica, e 'Usa posizione attuale' compila lat/lng dal browser.</t>
        </is>
      </c>
    </row>
    <row r="77" ht="45" customHeight="1" s="22">
      <c r="A77" s="37" t="inlineStr">
        <is>
          <t>TC-076</t>
        </is>
      </c>
      <c r="B77" s="35" t="inlineStr">
        <is>
          <t>Gestore - Attivita</t>
        </is>
      </c>
      <c r="C77" s="35" t="inlineStr">
        <is>
          <t>Calendario disponibilita giorno-per-giorno</t>
        </is>
      </c>
      <c r="D77" s="35" t="inlineStr">
        <is>
          <t>Attivita esistente</t>
        </is>
      </c>
      <c r="E77" s="35" t="inlineStr">
        <is>
          <t>Apri 'Calendario' dell'attivita -&gt; apri/chiudi giorni, aggiorna posti, giornata speciale -&gt; salva</t>
        </is>
      </c>
      <c r="F77" s="35" t="inlineStr">
        <is>
          <t>I dati si aggiornano su activity_days</t>
        </is>
      </c>
      <c r="G77" s="35" t="n"/>
      <c r="H77" s="35">
        <f>IF(G77="BUG","BUG-"&amp;A77,IF(G77="FUNCTIONAL","FUNCTIONAL-"&amp;A77,""))</f>
        <v/>
      </c>
      <c r="I77" s="35" t="inlineStr">
        <is>
          <t>Media</t>
        </is>
      </c>
      <c r="J77" s="35" t="n"/>
      <c r="K77" s="36" t="n"/>
      <c r="L77" s="36" t="n"/>
    </row>
    <row r="78" ht="45" customHeight="1" s="22">
      <c r="A78" s="37" t="inlineStr">
        <is>
          <t>TC-077</t>
        </is>
      </c>
      <c r="B78" s="35" t="inlineStr">
        <is>
          <t>Gestore - Attivita</t>
        </is>
      </c>
      <c r="C78" s="35" t="inlineStr">
        <is>
          <t>Nessun centro collegato all'account</t>
        </is>
      </c>
      <c r="D78" s="35" t="inlineStr">
        <is>
          <t>Account center_admin senza center_id valorizzato</t>
        </is>
      </c>
      <c r="E78" s="35" t="inlineStr">
        <is>
          <t>Apri /center/activities o /center/activities/new</t>
        </is>
      </c>
      <c r="F78" s="35" t="inlineStr">
        <is>
          <t>Messaggio chiaro che serve completare l'assegnazione via SQL, nessun crash</t>
        </is>
      </c>
      <c r="G78" s="35" t="n"/>
      <c r="H78" s="35">
        <f>IF(G78="BUG","BUG-"&amp;A78,IF(G78="FUNCTIONAL","FUNCTIONAL-"&amp;A78,""))</f>
        <v/>
      </c>
      <c r="I78" s="35" t="inlineStr">
        <is>
          <t>Media</t>
        </is>
      </c>
      <c r="J78" s="35" t="n"/>
      <c r="K78" s="36" t="n"/>
      <c r="L78" s="36" t="n"/>
    </row>
    <row r="79" ht="45" customHeight="1" s="22">
      <c r="A79" s="37" t="inlineStr">
        <is>
          <t>TC-078</t>
        </is>
      </c>
      <c r="B79" s="35" t="inlineStr">
        <is>
          <t>Gestore - Promozioni</t>
        </is>
      </c>
      <c r="C79" s="35" t="inlineStr">
        <is>
          <t>Creazione promozione</t>
        </is>
      </c>
      <c r="D79" s="35" t="inlineStr">
        <is>
          <t>Attivita esistente</t>
        </is>
      </c>
      <c r="E79" s="35" t="inlineStr">
        <is>
          <t>Vai su /center/promotions -&gt; crea promo (sconto giorno fisso o last-minute)</t>
        </is>
      </c>
      <c r="F79" s="35" t="inlineStr">
        <is>
          <t>Promozione salvata, visibile ai genitori nel dettaglio attivita</t>
        </is>
      </c>
      <c r="G79" s="35" t="n"/>
      <c r="H79" s="35">
        <f>IF(G79="BUG","BUG-"&amp;A79,IF(G79="FUNCTIONAL","FUNCTIONAL-"&amp;A79,""))</f>
        <v/>
      </c>
      <c r="I79" s="35" t="inlineStr">
        <is>
          <t>Media</t>
        </is>
      </c>
      <c r="J79" s="35" t="n"/>
      <c r="K79" s="36" t="n"/>
      <c r="L79" s="36" t="n"/>
    </row>
    <row r="80" ht="45" customHeight="1" s="22">
      <c r="A80" s="37" t="inlineStr">
        <is>
          <t>TC-079</t>
        </is>
      </c>
      <c r="B80" s="35" t="inlineStr">
        <is>
          <t>Gestore - Promozioni</t>
        </is>
      </c>
      <c r="C80" s="35" t="inlineStr">
        <is>
          <t>Attiva/disattiva promozione</t>
        </is>
      </c>
      <c r="D80" s="35" t="inlineStr">
        <is>
          <t>Promozione esistente</t>
        </is>
      </c>
      <c r="E80" s="35" t="inlineStr">
        <is>
          <t>Toggle attivo/non attivo</t>
        </is>
      </c>
      <c r="F80" s="35" t="inlineStr">
        <is>
          <t>Stato aggiornato su Supabase</t>
        </is>
      </c>
      <c r="G80" s="35" t="n"/>
      <c r="H80" s="35">
        <f>IF(G80="BUG","BUG-"&amp;A80,IF(G80="FUNCTIONAL","FUNCTIONAL-"&amp;A80,""))</f>
        <v/>
      </c>
      <c r="I80" s="35" t="inlineStr">
        <is>
          <t>Bassa</t>
        </is>
      </c>
      <c r="J80" s="35" t="n"/>
      <c r="K80" s="36" t="n"/>
      <c r="L80" s="36" t="n"/>
    </row>
    <row r="81" ht="45" customHeight="1" s="22">
      <c r="A81" s="37" t="inlineStr">
        <is>
          <t>TC-080</t>
        </is>
      </c>
      <c r="B81" s="35" t="inlineStr">
        <is>
          <t>Gestore - Profilo Centro</t>
        </is>
      </c>
      <c r="C81" s="35" t="inlineStr">
        <is>
          <t>Modifica profilo centro</t>
        </is>
      </c>
      <c r="D81" s="35" t="inlineStr">
        <is>
          <t>Account collegato a un centro</t>
        </is>
      </c>
      <c r="E81" s="35" t="inlineStr">
        <is>
          <t>Vai su /center/profile -&gt; modifica nome/citta/descrizione/social -&gt; salva</t>
        </is>
      </c>
      <c r="F81" s="35" t="inlineStr">
        <is>
          <t>Dati aggiornati, visibili ai genitori</t>
        </is>
      </c>
      <c r="G81" s="35" t="n"/>
      <c r="H81" s="35">
        <f>IF(G81="BUG","BUG-"&amp;A81,IF(G81="FUNCTIONAL","FUNCTIONAL-"&amp;A81,""))</f>
        <v/>
      </c>
      <c r="I81" s="35" t="inlineStr">
        <is>
          <t>Media</t>
        </is>
      </c>
      <c r="J81" s="35" t="n"/>
      <c r="K81" s="36" t="n"/>
      <c r="L81" s="36" t="n"/>
    </row>
    <row r="82" ht="45" customHeight="1" s="22">
      <c r="A82" s="37" t="inlineStr">
        <is>
          <t>TC-081</t>
        </is>
      </c>
      <c r="B82" s="35" t="inlineStr">
        <is>
          <t>Gestore - Profilo Centro</t>
        </is>
      </c>
      <c r="C82" s="35" t="inlineStr">
        <is>
          <t>Attivazione campo Bar</t>
        </is>
      </c>
      <c r="D82" s="35" t="inlineStr">
        <is>
          <t>Nessuna</t>
        </is>
      </c>
      <c r="E82" s="35" t="inlineStr">
        <is>
          <t>In /center/profile, spunta 'Il centro ha un bar / punto ristoro' -&gt; salva</t>
        </is>
      </c>
      <c r="F82" s="35" t="inlineStr">
        <is>
          <t>Il valore has_bar=true si riflette nel filtro Servizi lato genitori</t>
        </is>
      </c>
      <c r="G82" s="35" t="n"/>
      <c r="H82" s="35">
        <f>IF(G82="BUG","BUG-"&amp;A82,IF(G82="FUNCTIONAL","FUNCTIONAL-"&amp;A82,""))</f>
        <v/>
      </c>
      <c r="I82" s="35" t="inlineStr">
        <is>
          <t>Alta</t>
        </is>
      </c>
      <c r="J82" s="35" t="n"/>
      <c r="K82" s="36" t="n"/>
      <c r="L82" s="36" t="n"/>
    </row>
    <row r="83" ht="45" customHeight="1" s="22">
      <c r="A83" s="37" t="inlineStr">
        <is>
          <t>TC-082</t>
        </is>
      </c>
      <c r="B83" s="35" t="inlineStr">
        <is>
          <t>Admin - Dashboard</t>
        </is>
      </c>
      <c r="C83" s="35" t="inlineStr">
        <is>
          <t>Dashboard Admin</t>
        </is>
      </c>
      <c r="D83" s="35" t="inlineStr">
        <is>
          <t>Login platform_admin</t>
        </is>
      </c>
      <c r="E83" s="35" t="inlineStr">
        <is>
          <t>Apri /admin</t>
        </is>
      </c>
      <c r="F83" s="35" t="inlineStr">
        <is>
          <t>KPI, occupazione, prenotazioni recenti e lista centri dovrebbero riflettere i dati reali</t>
        </is>
      </c>
      <c r="G83" s="35" t="inlineStr">
        <is>
          <t>FUNCTIONAL</t>
        </is>
      </c>
      <c r="H83" s="35">
        <f>IF(G83="BUG","BUG-"&amp;A83,IF(G83="FUNCTIONAL","FUNCTIONAL-"&amp;A83,""))</f>
        <v/>
      </c>
      <c r="I83" s="35" t="inlineStr">
        <is>
          <t>Alta</t>
        </is>
      </c>
      <c r="J83" s="35" t="inlineStr">
        <is>
          <t>#19</t>
        </is>
      </c>
      <c r="K83" s="36" t="inlineStr">
        <is>
          <t>VOLUTAMENTE DEMO (task #19)</t>
        </is>
      </c>
      <c r="L83" s="36" t="inlineStr">
        <is>
          <t>Noto: mostra sempre dati mock</t>
        </is>
      </c>
    </row>
    <row r="84" ht="45" customHeight="1" s="22">
      <c r="A84" s="37" t="inlineStr">
        <is>
          <t>TC-083</t>
        </is>
      </c>
      <c r="B84" s="35" t="inlineStr">
        <is>
          <t>Admin - Gestione</t>
        </is>
      </c>
      <c r="C84" s="35" t="inlineStr">
        <is>
          <t>Elenco attivita (tutte)</t>
        </is>
      </c>
      <c r="D84" s="35" t="inlineStr">
        <is>
          <t>Nessuna</t>
        </is>
      </c>
      <c r="E84" s="35" t="inlineStr">
        <is>
          <t>Apri /admin/activities</t>
        </is>
      </c>
      <c r="F84" s="35" t="inlineStr">
        <is>
          <t>Dovrebbe riflettere le attivita reali create dai gestori</t>
        </is>
      </c>
      <c r="G84" s="35" t="inlineStr">
        <is>
          <t>FUNCTIONAL</t>
        </is>
      </c>
      <c r="H84" s="35">
        <f>IF(G84="BUG","BUG-"&amp;A84,IF(G84="FUNCTIONAL","FUNCTIONAL-"&amp;A84,""))</f>
        <v/>
      </c>
      <c r="I84" s="35" t="inlineStr">
        <is>
          <t>Media</t>
        </is>
      </c>
      <c r="J84" s="35" t="inlineStr">
        <is>
          <t>#19</t>
        </is>
      </c>
      <c r="K84" s="36" t="inlineStr">
        <is>
          <t>VOLUTAMENTE DEMO (task #19)</t>
        </is>
      </c>
      <c r="L84" s="36" t="inlineStr">
        <is>
          <t>Noto: dati mock</t>
        </is>
      </c>
    </row>
    <row r="85" ht="45" customHeight="1" s="22">
      <c r="A85" s="37" t="inlineStr">
        <is>
          <t>TC-084</t>
        </is>
      </c>
      <c r="B85" s="35" t="inlineStr">
        <is>
          <t>Admin - Gestione</t>
        </is>
      </c>
      <c r="C85" s="35" t="inlineStr">
        <is>
          <t>Elenco prenotazioni (tutte)</t>
        </is>
      </c>
      <c r="D85" s="35" t="inlineStr">
        <is>
          <t>Nessuna</t>
        </is>
      </c>
      <c r="E85" s="35" t="inlineStr">
        <is>
          <t>Apri /admin/bookings</t>
        </is>
      </c>
      <c r="F85" s="35" t="inlineStr">
        <is>
          <t>Dovrebbe riflettere le prenotazioni reali</t>
        </is>
      </c>
      <c r="G85" s="35" t="inlineStr">
        <is>
          <t>FUNCTIONAL</t>
        </is>
      </c>
      <c r="H85" s="35">
        <f>IF(G85="BUG","BUG-"&amp;A85,IF(G85="FUNCTIONAL","FUNCTIONAL-"&amp;A85,""))</f>
        <v/>
      </c>
      <c r="I85" s="35" t="inlineStr">
        <is>
          <t>Media</t>
        </is>
      </c>
      <c r="J85" s="35" t="inlineStr">
        <is>
          <t>#19</t>
        </is>
      </c>
      <c r="K85" s="36" t="inlineStr">
        <is>
          <t>VOLUTAMENTE DEMO (task #19)</t>
        </is>
      </c>
      <c r="L85" s="36" t="inlineStr">
        <is>
          <t>Noto: dati mock</t>
        </is>
      </c>
    </row>
    <row r="86" ht="45" customHeight="1" s="22">
      <c r="A86" s="37" t="inlineStr">
        <is>
          <t>TC-085</t>
        </is>
      </c>
      <c r="B86" s="35" t="inlineStr">
        <is>
          <t>Admin - Gestione</t>
        </is>
      </c>
      <c r="C86" s="35" t="inlineStr">
        <is>
          <t>Elenco centri</t>
        </is>
      </c>
      <c r="D86" s="35" t="inlineStr">
        <is>
          <t>Nessuna</t>
        </is>
      </c>
      <c r="E86" s="35" t="inlineStr">
        <is>
          <t>Apri /admin/centers</t>
        </is>
      </c>
      <c r="F86" s="35" t="inlineStr">
        <is>
          <t>Dovrebbe riflettere i centri reali (salvo il form 'Nuovo centro' che e reale)</t>
        </is>
      </c>
      <c r="G86" s="35" t="inlineStr">
        <is>
          <t>FUNCTIONAL</t>
        </is>
      </c>
      <c r="H86" s="35">
        <f>IF(G86="BUG","BUG-"&amp;A86,IF(G86="FUNCTIONAL","FUNCTIONAL-"&amp;A86,""))</f>
        <v/>
      </c>
      <c r="I86" s="35" t="inlineStr">
        <is>
          <t>Media</t>
        </is>
      </c>
      <c r="J86" s="35" t="inlineStr">
        <is>
          <t>#19</t>
        </is>
      </c>
      <c r="K86" s="36" t="inlineStr">
        <is>
          <t>VOLUTAMENTE DEMO (task #19)</t>
        </is>
      </c>
      <c r="L86" s="36" t="inlineStr">
        <is>
          <t>Noto: lista mock</t>
        </is>
      </c>
    </row>
    <row r="87" ht="45" customHeight="1" s="22">
      <c r="A87" s="37" t="inlineStr">
        <is>
          <t>TC-086</t>
        </is>
      </c>
      <c r="B87" s="35" t="inlineStr">
        <is>
          <t>Admin - Gestione</t>
        </is>
      </c>
      <c r="C87" s="35" t="inlineStr">
        <is>
          <t>Creazione nuovo centro</t>
        </is>
      </c>
      <c r="D87" s="35" t="inlineStr">
        <is>
          <t>Nessuna</t>
        </is>
      </c>
      <c r="E87" s="35" t="inlineStr">
        <is>
          <t>Su /admin/centers, usa il form 'Nuovo centro' -&gt; compila -&gt; salva</t>
        </is>
      </c>
      <c r="F87" s="35" t="inlineStr">
        <is>
          <t>Il centro viene creato su Supabase</t>
        </is>
      </c>
      <c r="G87" s="35" t="n"/>
      <c r="H87" s="35">
        <f>IF(G87="BUG","BUG-"&amp;A87,IF(G87="FUNCTIONAL","FUNCTIONAL-"&amp;A87,""))</f>
        <v/>
      </c>
      <c r="I87" s="35" t="inlineStr">
        <is>
          <t>Alta</t>
        </is>
      </c>
      <c r="J87" s="35" t="n"/>
      <c r="K87" s="36" t="n"/>
      <c r="L87" s="36" t="n"/>
    </row>
    <row r="88" ht="45" customHeight="1" s="22">
      <c r="A88" s="37" t="inlineStr">
        <is>
          <t>TC-087</t>
        </is>
      </c>
      <c r="B88" s="35" t="inlineStr">
        <is>
          <t>Admin - Gestione</t>
        </is>
      </c>
      <c r="C88" s="35" t="inlineStr">
        <is>
          <t>Dettaglio centro</t>
        </is>
      </c>
      <c r="D88" s="35" t="inlineStr">
        <is>
          <t>Centro esistente</t>
        </is>
      </c>
      <c r="E88" s="35" t="inlineStr">
        <is>
          <t>Apri /admin/centers/[id]</t>
        </is>
      </c>
      <c r="F88" s="35" t="inlineStr">
        <is>
          <t>Dovrebbe mostrare i dati reali del centro</t>
        </is>
      </c>
      <c r="G88" s="35" t="inlineStr">
        <is>
          <t>FUNCTIONAL</t>
        </is>
      </c>
      <c r="H88" s="35">
        <f>IF(G88="BUG","BUG-"&amp;A88,IF(G88="FUNCTIONAL","FUNCTIONAL-"&amp;A88,""))</f>
        <v/>
      </c>
      <c r="I88" s="35" t="inlineStr">
        <is>
          <t>Bassa</t>
        </is>
      </c>
      <c r="J88" s="35" t="inlineStr">
        <is>
          <t>#19</t>
        </is>
      </c>
      <c r="K88" s="36" t="inlineStr">
        <is>
          <t>VOLUTAMENTE DEMO (task #19)</t>
        </is>
      </c>
      <c r="L88" s="36" t="inlineStr">
        <is>
          <t>Noto: dati mock</t>
        </is>
      </c>
    </row>
    <row r="89" ht="45" customHeight="1" s="22">
      <c r="A89" s="37" t="inlineStr">
        <is>
          <t>TC-088</t>
        </is>
      </c>
      <c r="B89" s="35" t="inlineStr">
        <is>
          <t>Admin - Gestione</t>
        </is>
      </c>
      <c r="C89" s="35" t="inlineStr">
        <is>
          <t>Gestione tag piattaforma</t>
        </is>
      </c>
      <c r="D89" s="35" t="inlineStr">
        <is>
          <t>Nessuna</t>
        </is>
      </c>
      <c r="E89" s="35" t="inlineStr">
        <is>
          <t>Apri /admin/tags -&gt; crea/modifica un tag (es. 'Nuoto sincronizzato')</t>
        </is>
      </c>
      <c r="F89" s="35" t="inlineStr">
        <is>
          <t>Il tag e subito selezionabile dai gestori nelle attivita E dai genitori come preferenza gruppo</t>
        </is>
      </c>
      <c r="G89" s="35" t="n"/>
      <c r="H89" s="35">
        <f>IF(G89="BUG","BUG-"&amp;A89,IF(G89="FUNCTIONAL","FUNCTIONAL-"&amp;A89,""))</f>
        <v/>
      </c>
      <c r="I89" s="35" t="inlineStr">
        <is>
          <t>Alta</t>
        </is>
      </c>
      <c r="J89" s="35" t="n"/>
      <c r="K89" s="36" t="n"/>
      <c r="L89" s="36" t="n"/>
    </row>
    <row r="90" ht="45" customHeight="1" s="22">
      <c r="A90" s="37" t="inlineStr">
        <is>
          <t>TC-089</t>
        </is>
      </c>
      <c r="B90" s="35" t="inlineStr">
        <is>
          <t>Admin - Richieste Gruppo</t>
        </is>
      </c>
      <c r="C90" s="35" t="inlineStr">
        <is>
          <t>Report Richieste Gruppo multi-centro</t>
        </is>
      </c>
      <c r="D90" s="35" t="inlineStr">
        <is>
          <t>Richieste create su piu centri diversi</t>
        </is>
      </c>
      <c r="E90" s="35" t="inlineStr">
        <is>
          <t>Apri /admin/group-requests</t>
        </is>
      </c>
      <c r="F90" s="35" t="inlineStr">
        <is>
          <t>Tabella con TUTTE le richieste di tutti i centri (gruppo, attivita, centro, bambini, sconto, stato, data), sola lettura, con contatori in alto</t>
        </is>
      </c>
      <c r="G90" s="35" t="n"/>
      <c r="H90" s="35">
        <f>IF(G90="BUG","BUG-"&amp;A90,IF(G90="FUNCTIONAL","FUNCTIONAL-"&amp;A90,""))</f>
        <v/>
      </c>
      <c r="I90" s="35" t="inlineStr">
        <is>
          <t>Alta</t>
        </is>
      </c>
      <c r="J90" s="35" t="n"/>
      <c r="K90" s="36" t="n"/>
      <c r="L90" s="36" t="inlineStr">
        <is>
          <t>Feature nuova</t>
        </is>
      </c>
    </row>
    <row r="91" ht="45" customHeight="1" s="22">
      <c r="A91" s="37" t="inlineStr">
        <is>
          <t>TC-090</t>
        </is>
      </c>
      <c r="B91" s="35" t="inlineStr">
        <is>
          <t>Admin - Analytics</t>
        </is>
      </c>
      <c r="C91" s="35" t="inlineStr">
        <is>
          <t>Tabella attivita Gestori</t>
        </is>
      </c>
      <c r="D91" s="35" t="inlineStr">
        <is>
          <t>Almeno un gestore ha modificato qualcosa</t>
        </is>
      </c>
      <c r="E91" s="35" t="inlineStr">
        <is>
          <t>Apri /admin/analytics</t>
        </is>
      </c>
      <c r="F91" s="35" t="inlineStr">
        <is>
          <t>La tabella 'Attivita dei Gestori centro' mostra dati reali (activity_log)</t>
        </is>
      </c>
      <c r="G91" s="35" t="n"/>
      <c r="H91" s="35">
        <f>IF(G91="BUG","BUG-"&amp;A91,IF(G91="FUNCTIONAL","FUNCTIONAL-"&amp;A91,""))</f>
        <v/>
      </c>
      <c r="I91" s="35" t="inlineStr">
        <is>
          <t>Alta</t>
        </is>
      </c>
      <c r="J91" s="35" t="n"/>
      <c r="K91" s="36" t="n"/>
      <c r="L91" s="36" t="n"/>
    </row>
    <row r="92" ht="45" customHeight="1" s="22">
      <c r="A92" s="37" t="inlineStr">
        <is>
          <t>TC-091</t>
        </is>
      </c>
      <c r="B92" s="35" t="inlineStr">
        <is>
          <t>Admin - Analytics</t>
        </is>
      </c>
      <c r="C92" s="35" t="inlineStr">
        <is>
          <t>Grafici occupazione/categorie/eta</t>
        </is>
      </c>
      <c r="D92" s="35" t="inlineStr">
        <is>
          <t>Nessuna</t>
        </is>
      </c>
      <c r="E92" s="35" t="inlineStr">
        <is>
          <t>Osserva i grafici sotto la tabella</t>
        </is>
      </c>
      <c r="F92" s="35" t="inlineStr">
        <is>
          <t>Dovrebbero riflettere le attivita reali</t>
        </is>
      </c>
      <c r="G92" s="35" t="inlineStr">
        <is>
          <t>FUNCTIONAL</t>
        </is>
      </c>
      <c r="H92" s="35">
        <f>IF(G92="BUG","BUG-"&amp;A92,IF(G92="FUNCTIONAL","FUNCTIONAL-"&amp;A92,""))</f>
        <v/>
      </c>
      <c r="I92" s="35" t="inlineStr">
        <is>
          <t>Media</t>
        </is>
      </c>
      <c r="J92" s="35" t="inlineStr">
        <is>
          <t>#23</t>
        </is>
      </c>
      <c r="K92" s="36" t="inlineStr">
        <is>
          <t>VOLUTAMENTE DEMO (task #23)</t>
        </is>
      </c>
      <c r="L92" s="36" t="inlineStr">
        <is>
          <t>Noto: calcolati sempre sui dati mock</t>
        </is>
      </c>
    </row>
    <row r="93" ht="45" customHeight="1" s="22">
      <c r="A93" s="37" t="inlineStr">
        <is>
          <t>TC-092</t>
        </is>
      </c>
      <c r="B93" s="35" t="inlineStr">
        <is>
          <t>Admin - Analytics</t>
        </is>
      </c>
      <c r="C93" s="35" t="inlineStr">
        <is>
          <t>Centri limitrofi complementari</t>
        </is>
      </c>
      <c r="D93" s="35" t="inlineStr">
        <is>
          <t>Nessuna</t>
        </is>
      </c>
      <c r="E93" s="35" t="inlineStr">
        <is>
          <t>Osserva la sezione in fondo alla pagina Analytics</t>
        </is>
      </c>
      <c r="F93" s="35" t="inlineStr">
        <is>
          <t>Dovrebbe riflettere i centri reali</t>
        </is>
      </c>
      <c r="G93" s="35" t="inlineStr">
        <is>
          <t>FUNCTIONAL</t>
        </is>
      </c>
      <c r="H93" s="35">
        <f>IF(G93="BUG","BUG-"&amp;A93,IF(G93="FUNCTIONAL","FUNCTIONAL-"&amp;A93,""))</f>
        <v/>
      </c>
      <c r="I93" s="35" t="inlineStr">
        <is>
          <t>Bassa</t>
        </is>
      </c>
      <c r="J93" s="35" t="inlineStr">
        <is>
          <t>#23</t>
        </is>
      </c>
      <c r="K93" s="36" t="inlineStr">
        <is>
          <t>VOLUTAMENTE DEMO (task #23)</t>
        </is>
      </c>
      <c r="L93" s="36" t="inlineStr">
        <is>
          <t>Noto: sempre calcolata sui centri mock</t>
        </is>
      </c>
    </row>
    <row r="94" ht="45" customHeight="1" s="22">
      <c r="A94" s="37" t="inlineStr">
        <is>
          <t>TC-093</t>
        </is>
      </c>
      <c r="B94" s="35" t="inlineStr">
        <is>
          <t>Multi-tenant / PWA</t>
        </is>
      </c>
      <c r="C94" s="35" t="inlineStr">
        <is>
          <t>Routing per sottodominio/alias</t>
        </is>
      </c>
      <c r="D94" s="35" t="inlineStr">
        <is>
          <t>I tre alias .vercel.app configurati</t>
        </is>
      </c>
      <c r="E94" s="35" t="inlineStr">
        <is>
          <t>Apri i tre alias (family/partner/admin)</t>
        </is>
      </c>
      <c r="F94" s="35" t="inlineStr">
        <is>
          <t>Ognuno mostra l'app corretta senza login incrociato</t>
        </is>
      </c>
      <c r="G94" s="35" t="n"/>
      <c r="H94" s="35">
        <f>IF(G94="BUG","BUG-"&amp;A94,IF(G94="FUNCTIONAL","FUNCTIONAL-"&amp;A94,""))</f>
        <v/>
      </c>
      <c r="I94" s="35" t="inlineStr">
        <is>
          <t>Alta</t>
        </is>
      </c>
      <c r="J94" s="35" t="n"/>
      <c r="K94" s="36" t="n"/>
      <c r="L94" s="36" t="n"/>
    </row>
    <row r="95" ht="45" customHeight="1" s="22">
      <c r="A95" s="37" t="inlineStr">
        <is>
          <t>TC-094</t>
        </is>
      </c>
      <c r="B95" s="35" t="inlineStr">
        <is>
          <t>Multi-tenant / PWA</t>
        </is>
      </c>
      <c r="C95" s="35" t="inlineStr">
        <is>
          <t>Manifest PWA per tenant</t>
        </is>
      </c>
      <c r="D95" s="35" t="inlineStr">
        <is>
          <t>Nessuna</t>
        </is>
      </c>
      <c r="E95" s="35" t="inlineStr">
        <is>
          <t>DevTools -&gt; Application -&gt; Manifest su ciascun alias</t>
        </is>
      </c>
      <c r="F95" s="35" t="inlineStr">
        <is>
          <t>Nome, icone e colori corretti per il tenant, nessun errore 'No manifest detected'</t>
        </is>
      </c>
      <c r="G95" s="35" t="n"/>
      <c r="H95" s="35">
        <f>IF(G95="BUG","BUG-"&amp;A95,IF(G95="FUNCTIONAL","FUNCTIONAL-"&amp;A95,""))</f>
        <v/>
      </c>
      <c r="I95" s="35" t="inlineStr">
        <is>
          <t>Alta</t>
        </is>
      </c>
      <c r="J95" s="35" t="n"/>
      <c r="K95" s="36" t="n"/>
      <c r="L95" s="36" t="n"/>
    </row>
    <row r="96" ht="45" customHeight="1" s="22">
      <c r="A96" s="37" t="inlineStr">
        <is>
          <t>TC-095</t>
        </is>
      </c>
      <c r="B96" s="35" t="inlineStr">
        <is>
          <t>Multi-tenant / PWA</t>
        </is>
      </c>
      <c r="C96" s="35" t="inlineStr">
        <is>
          <t>Installazione PWA Android</t>
        </is>
      </c>
      <c r="D96" s="35" t="inlineStr">
        <is>
          <t>Chrome Android</t>
        </is>
      </c>
      <c r="E96" s="35" t="inlineStr">
        <is>
          <t>Verifica banner 'Installa' su ciascuna delle tre app</t>
        </is>
      </c>
      <c r="F96" s="35" t="inlineStr">
        <is>
          <t>Installazione riuscita, icona corretta in home screen</t>
        </is>
      </c>
      <c r="G96" s="35" t="n"/>
      <c r="H96" s="35">
        <f>IF(G96="BUG","BUG-"&amp;A96,IF(G96="FUNCTIONAL","FUNCTIONAL-"&amp;A96,""))</f>
        <v/>
      </c>
      <c r="I96" s="35" t="inlineStr">
        <is>
          <t>Alta</t>
        </is>
      </c>
      <c r="J96" s="35" t="n"/>
      <c r="K96" s="36" t="n"/>
      <c r="L96" s="36" t="n"/>
    </row>
    <row r="97" ht="45" customHeight="1" s="22">
      <c r="A97" s="37" t="inlineStr">
        <is>
          <t>TC-096</t>
        </is>
      </c>
      <c r="B97" s="35" t="inlineStr">
        <is>
          <t>Multi-tenant / PWA</t>
        </is>
      </c>
      <c r="C97" s="35" t="inlineStr">
        <is>
          <t>Login separato per alias .vercel.app</t>
        </is>
      </c>
      <c r="D97" s="35" t="inlineStr">
        <is>
          <t>Login gia fatto su un alias</t>
        </is>
      </c>
      <c r="E97" s="35" t="inlineStr">
        <is>
          <t>Apri un secondo alias</t>
        </is>
      </c>
      <c r="F97" s="35" t="inlineStr">
        <is>
          <t>Richiede login separato (cookie non condiviso tra .vercel.app diversi)</t>
        </is>
      </c>
      <c r="G97" s="35" t="inlineStr">
        <is>
          <t>OK</t>
        </is>
      </c>
      <c r="H97" s="35">
        <f>IF(G97="BUG","BUG-"&amp;A97,IF(G97="FUNCTIONAL","FUNCTIONAL-"&amp;A97,""))</f>
        <v/>
      </c>
      <c r="I97" s="35" t="inlineStr">
        <is>
          <t>Media</t>
        </is>
      </c>
      <c r="J97" s="35" t="n"/>
      <c r="K97" s="36" t="n"/>
      <c r="L97" s="36" t="inlineStr">
        <is>
          <t>Comportamento noto e atteso, non un bug</t>
        </is>
      </c>
    </row>
    <row r="98" ht="45" customHeight="1" s="22">
      <c r="A98" s="37" t="inlineStr">
        <is>
          <t>TC-097</t>
        </is>
      </c>
      <c r="B98" s="35" t="inlineStr">
        <is>
          <t>Multi-tenant / PWA</t>
        </is>
      </c>
      <c r="C98" s="35" t="inlineStr">
        <is>
          <t>Barra di navigazione fissa durante lo scroll (mobile)</t>
        </is>
      </c>
      <c r="D98" s="35" t="inlineStr">
        <is>
          <t>Pagina con contenuto lungo, mobile</t>
        </is>
      </c>
      <c r="E98" s="35" t="inlineStr">
        <is>
          <t>Scorri la pagina in una qualsiasi delle 3 app</t>
        </is>
      </c>
      <c r="F98" s="35" t="inlineStr">
        <is>
          <t>La barra di navigazione/menu resta visibile (fissa in cima o in fondo) durante lo scroll</t>
        </is>
      </c>
      <c r="G98" s="35" t="n"/>
      <c r="H98" s="35">
        <f>IF(G98="BUG","BUG-"&amp;A98,IF(G98="FUNCTIONAL","FUNCTIONAL-"&amp;A98,""))</f>
        <v/>
      </c>
      <c r="I98" s="35" t="inlineStr">
        <is>
          <t>Alta</t>
        </is>
      </c>
      <c r="J98" s="35" t="inlineStr">
        <is>
          <t>#24</t>
        </is>
      </c>
      <c r="K98" s="36" t="inlineStr">
        <is>
          <t>TO DEPLOY (fix già fatto in sessione precedente - barra nav sticky - da riverificare sul deploy reale)</t>
        </is>
      </c>
      <c r="L98" s="36" t="inlineStr">
        <is>
          <t>Corretto in questa sessione (altezza fissa app-shell + wrapper sticky su dashboard mobile) - da riverificare sul deploy reale</t>
        </is>
      </c>
    </row>
    <row r="99" ht="45" customHeight="1" s="22">
      <c r="A99" s="37" t="inlineStr">
        <is>
          <t>TC-098</t>
        </is>
      </c>
      <c r="B99" s="35" t="inlineStr">
        <is>
          <t>Fuori scope attuale</t>
        </is>
      </c>
      <c r="C99" s="35" t="inlineStr">
        <is>
          <t>Notifiche email conferma prenotazione</t>
        </is>
      </c>
      <c r="D99" s="35" t="inlineStr">
        <is>
          <t>Prenotazione completata</t>
        </is>
      </c>
      <c r="E99" s="35" t="inlineStr">
        <is>
          <t>Controlla la casella email del genitore</t>
        </is>
      </c>
      <c r="F99" s="35" t="inlineStr">
        <is>
          <t>Dovrebbe arrivare un'email di conferma</t>
        </is>
      </c>
      <c r="G99" s="35" t="inlineStr">
        <is>
          <t>FUNCTIONAL</t>
        </is>
      </c>
      <c r="H99" s="35">
        <f>IF(G99="BUG","BUG-"&amp;A99,IF(G99="FUNCTIONAL","FUNCTIONAL-"&amp;A99,""))</f>
        <v/>
      </c>
      <c r="I99" s="35" t="inlineStr">
        <is>
          <t>Bassa</t>
        </is>
      </c>
      <c r="J99" s="35" t="inlineStr">
        <is>
          <t>#15</t>
        </is>
      </c>
      <c r="K99" s="36" t="inlineStr">
        <is>
          <t>DA COSTRUIRE (task #15, V1 - non ancora iniziato)</t>
        </is>
      </c>
      <c r="L99" s="36" t="inlineStr">
        <is>
          <t>Noto: nessuna email viene inviata (non implementato)</t>
        </is>
      </c>
    </row>
    <row r="100" ht="45" customHeight="1" s="22">
      <c r="A100" s="37" t="inlineStr">
        <is>
          <t>TC-099</t>
        </is>
      </c>
      <c r="B100" s="35" t="inlineStr">
        <is>
          <t>Fuori scope attuale</t>
        </is>
      </c>
      <c r="C100" s="35" t="inlineStr">
        <is>
          <t>Candidatura staff camp</t>
        </is>
      </c>
      <c r="D100" s="35" t="inlineStr">
        <is>
          <t>Nessuna</t>
        </is>
      </c>
      <c r="E100" s="35" t="inlineStr">
        <is>
          <t>Cerca una sezione 'Lavora con noi' o candidatura staff</t>
        </is>
      </c>
      <c r="F100" s="35" t="inlineStr">
        <is>
          <t>Dovrebbe esistere un flusso di candidatura</t>
        </is>
      </c>
      <c r="G100" s="35" t="inlineStr">
        <is>
          <t>FUNCTIONAL</t>
        </is>
      </c>
      <c r="H100" s="35">
        <f>IF(G100="BUG","BUG-"&amp;A100,IF(G100="FUNCTIONAL","FUNCTIONAL-"&amp;A100,""))</f>
        <v/>
      </c>
      <c r="I100" s="35" t="inlineStr">
        <is>
          <t>Bassa</t>
        </is>
      </c>
      <c r="J100" s="35" t="inlineStr">
        <is>
          <t>#9</t>
        </is>
      </c>
      <c r="K100" s="36" t="inlineStr">
        <is>
          <t>DA COSTRUIRE (V2 - release successiva, task #9)</t>
        </is>
      </c>
      <c r="L100" s="36" t="inlineStr">
        <is>
          <t>Noto: non presente, pianificato per fase futura</t>
        </is>
      </c>
    </row>
    <row r="101" ht="45" customHeight="1" s="22">
      <c r="A101" s="37" t="inlineStr">
        <is>
          <t>TC-100</t>
        </is>
      </c>
      <c r="B101" s="35" t="inlineStr">
        <is>
          <t>Fuori scope attuale</t>
        </is>
      </c>
      <c r="C101" s="35" t="inlineStr">
        <is>
          <t>Tutorial onboarding al primo accesso</t>
        </is>
      </c>
      <c r="D101" s="35" t="inlineStr">
        <is>
          <t>Nuovo utente al primo login</t>
        </is>
      </c>
      <c r="E101" s="35" t="inlineStr">
        <is>
          <t>Osserva se compare una guida introduttiva</t>
        </is>
      </c>
      <c r="F101" s="35" t="inlineStr">
        <is>
          <t>Dovrebbe comparire uno spotlight/tutorial</t>
        </is>
      </c>
      <c r="G101" s="35" t="inlineStr">
        <is>
          <t>FUNCTIONAL</t>
        </is>
      </c>
      <c r="H101" s="35">
        <f>IF(G101="BUG","BUG-"&amp;A101,IF(G101="FUNCTIONAL","FUNCTIONAL-"&amp;A101,""))</f>
        <v/>
      </c>
      <c r="I101" s="35" t="inlineStr">
        <is>
          <t>Bassa</t>
        </is>
      </c>
      <c r="J101" s="35" t="inlineStr">
        <is>
          <t>#11</t>
        </is>
      </c>
      <c r="K101" s="36" t="inlineStr">
        <is>
          <t>DA COSTRUIRE (V2 - release successiva, task #11)</t>
        </is>
      </c>
      <c r="L101" s="36" t="inlineStr">
        <is>
          <t>Noto: non presente ancora</t>
        </is>
      </c>
    </row>
    <row r="102" ht="45" customHeight="1" s="22">
      <c r="A102" s="34" t="inlineStr">
        <is>
          <t>TC-101</t>
        </is>
      </c>
      <c r="B102" s="35" t="inlineStr">
        <is>
          <t>Genitori - Home (Planner/Per Bambino)</t>
        </is>
      </c>
      <c r="C102" s="35" t="inlineStr">
        <is>
          <t>Vista Planner riflette le prenotazioni reali con l'anno di stagione corretto</t>
        </is>
      </c>
      <c r="D102" s="35" t="inlineStr">
        <is>
          <t>Almeno un bambino con profilo completo; app collegata a Supabase</t>
        </is>
      </c>
      <c r="E102" s="35" t="inlineStr">
        <is>
          <t>Apri Home, tab "Planner"</t>
        </is>
      </c>
      <c r="F102" s="35" t="inlineStr">
        <is>
          <t>Le 13 settimane della stagione sono mostrate (coperte/scoperte) in base alle prenotazioni reali; "Settimana N" indica sempre lo stesso intervallo di calendario sia qui sia nel selettore di Prenotazione</t>
        </is>
      </c>
      <c r="G102" s="35" t="inlineStr">
        <is>
          <t>DA TESTARE</t>
        </is>
      </c>
      <c r="H102" s="35" t="n"/>
      <c r="I102" s="35" t="inlineStr">
        <is>
          <t>Alta</t>
        </is>
      </c>
      <c r="J102" s="35" t="inlineStr">
        <is>
          <t>#65, #82</t>
        </is>
      </c>
      <c r="K102" s="36" t="inlineStr">
        <is>
          <t>TO DEPLOY (implementato e verificato con build in questa sessione)</t>
        </is>
      </c>
      <c r="L102" s="36"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2">
      <c r="A103" s="34" t="inlineStr">
        <is>
          <t>TC-102</t>
        </is>
      </c>
      <c r="B103" s="35" t="inlineStr">
        <is>
          <t>Genitori - Home (Planner/Per Bambino)</t>
        </is>
      </c>
      <c r="C103" s="35" t="inlineStr">
        <is>
          <t>Filtro per bambino nel Planner (famiglie con più figli)</t>
        </is>
      </c>
      <c r="D103" s="35" t="inlineStr">
        <is>
          <t>Almeno 2 bambini nel profilo, con prenotazioni/esigenze diverse</t>
        </is>
      </c>
      <c r="E103" s="35" t="inlineStr">
        <is>
          <t>Nella vista Planner, usa il filtro "Tutti / [nome bambino]" sopra la lista delle settimane</t>
        </is>
      </c>
      <c r="F103" s="35" t="inlineStr">
        <is>
          <t>Selezionando un bambino specifico, il Planner mostra solo la sua copertura; in modalità "Tutti" le settimane coperte solo per alcuni bambini mostrano un avviso "manca per [nome]"</t>
        </is>
      </c>
      <c r="G103" s="35" t="inlineStr">
        <is>
          <t>DA TESTARE</t>
        </is>
      </c>
      <c r="H103" s="35" t="n"/>
      <c r="I103" s="35" t="inlineStr">
        <is>
          <t>Alta</t>
        </is>
      </c>
      <c r="J103" s="35" t="inlineStr">
        <is>
          <t>#88</t>
        </is>
      </c>
      <c r="K103" s="36" t="inlineStr">
        <is>
          <t>TO DEPLOY (implementato e verificato con build in questa sessione)</t>
        </is>
      </c>
      <c r="L103" s="36" t="inlineStr">
        <is>
          <t>Funzionalità nuova, richiesta esplicitamente per gestire famiglie con bambini iscritti a campus/settimane diversi — prima il Planner assumeva un unico bambino.</t>
        </is>
      </c>
    </row>
    <row r="104" ht="45" customHeight="1" s="22">
      <c r="A104" s="34" t="inlineStr">
        <is>
          <t>TC-103</t>
        </is>
      </c>
      <c r="B104" s="35" t="inlineStr">
        <is>
          <t>Genitori - Home (Planner/Per Bambino)</t>
        </is>
      </c>
      <c r="C104" s="35" t="inlineStr">
        <is>
          <t>Escludere/ripristinare una settimana da "da riempire"</t>
        </is>
      </c>
      <c r="D104" s="35" t="inlineStr">
        <is>
          <t>Almeno una settimana scoperta nel Planner</t>
        </is>
      </c>
      <c r="E104" s="35" t="inlineStr">
        <is>
          <t>Su una settimana scoperta, clicca "Non mi serve"; poi clicca "Ripristina"</t>
        </is>
      </c>
      <c r="F104" s="35" t="inlineStr">
        <is>
          <t>La settimana passa allo stato "non ti serve" (non conta più tra quelle da riempire) e può essere ripristinata in qualsiasi momento</t>
        </is>
      </c>
      <c r="G104" s="35" t="inlineStr">
        <is>
          <t>DA TESTARE</t>
        </is>
      </c>
      <c r="H104" s="35" t="n"/>
      <c r="I104" s="35" t="inlineStr">
        <is>
          <t>Media</t>
        </is>
      </c>
      <c r="J104" s="35" t="inlineStr">
        <is>
          <t>#70</t>
        </is>
      </c>
      <c r="K104" s="36" t="inlineStr">
        <is>
          <t>TO DEPLOY</t>
        </is>
      </c>
      <c r="L104" s="36" t="inlineStr">
        <is>
          <t>Utile per le famiglie che, per alcune settimane, non hanno bisogno del centro estivo (vacanza, nonni, ecc.) e non vogliono vedere quella settimana segnalata come "da riempire".</t>
        </is>
      </c>
    </row>
    <row r="105" ht="45" customHeight="1" s="22">
      <c r="A105" s="34" t="inlineStr">
        <is>
          <t>TC-104</t>
        </is>
      </c>
      <c r="B105" s="35" t="inlineStr">
        <is>
          <t>Genitori - Home (Planner/Per Bambino)</t>
        </is>
      </c>
      <c r="C105" s="35" t="inlineStr">
        <is>
          <t>Vista Per Bambino — anello di selezione non tagliato dal bordo</t>
        </is>
      </c>
      <c r="D105" s="35" t="inlineStr">
        <is>
          <t>Almeno 2 bambini nel profilo</t>
        </is>
      </c>
      <c r="E105" s="35" t="inlineStr">
        <is>
          <t>In Home, passa alla vista "Per bambino"; scorri gli avatar e seleziona un bambino vicino al bordo della sezione scrollabile</t>
        </is>
      </c>
      <c r="F105" s="35" t="inlineStr">
        <is>
          <t>L'anello colorato attorno all'avatar selezionato è visibile per intero, non tagliato dal bordo del contenitore</t>
        </is>
      </c>
      <c r="G105" s="35" t="inlineStr">
        <is>
          <t>DA TESTARE</t>
        </is>
      </c>
      <c r="H105" s="35" t="n"/>
      <c r="I105" s="35" t="inlineStr">
        <is>
          <t>Bassa</t>
        </is>
      </c>
      <c r="J105" s="35" t="inlineStr">
        <is>
          <t>#90</t>
        </is>
      </c>
      <c r="K105" s="36" t="inlineStr">
        <is>
          <t>TO DEPLOY (bug segnalato e corretto in questa sessione)</t>
        </is>
      </c>
      <c r="L105" s="36" t="inlineStr">
        <is>
          <t>Corretto aggiungendo padding/margine negativo al contenitore scroll — l'anello di selezione (ring) veniva tagliato dal bordo della sezione.</t>
        </is>
      </c>
    </row>
    <row r="106" ht="45" customHeight="1" s="22">
      <c r="A106" s="34" t="inlineStr">
        <is>
          <t>TC-105</t>
        </is>
      </c>
      <c r="B106" s="35" t="inlineStr">
        <is>
          <t>Genitori - Home (Planner/Per Bambino)</t>
        </is>
      </c>
      <c r="C106" s="35" t="inlineStr">
        <is>
          <t>"Già prenotato per [bambino]" senza righe duplicate</t>
        </is>
      </c>
      <c r="D106" s="35" t="inlineStr">
        <is>
          <t>Bambino con almeno una prenotazione confermata</t>
        </is>
      </c>
      <c r="E106" s="35" t="inlineStr">
        <is>
          <t>Vista "Per bambino", seleziona il bambino con la prenotazione</t>
        </is>
      </c>
      <c r="F106" s="35" t="inlineStr">
        <is>
          <t>La sezione "Già prenotato per [nome]" mostra ogni attività/settimane una sola volta, senza righe identiche ripetute</t>
        </is>
      </c>
      <c r="G106" s="35" t="inlineStr">
        <is>
          <t>DA TESTARE</t>
        </is>
      </c>
      <c r="H106" s="35" t="n"/>
      <c r="I106" s="35" t="inlineStr">
        <is>
          <t>Media</t>
        </is>
      </c>
      <c r="J106" s="35" t="inlineStr">
        <is>
          <t>#108</t>
        </is>
      </c>
      <c r="K106" s="36" t="inlineStr">
        <is>
          <t>TO DEPLOY (bug segnalato e corretto in questa sessione)</t>
        </is>
      </c>
      <c r="L106" s="36" t="inlineStr">
        <is>
          <t>Segnalato da te su Piero (2 record identici): la funzione che raggruppa le prenotazioni per bambino ora deduplica per attività+settimane prima di mostrarle.</t>
        </is>
      </c>
    </row>
    <row r="107" ht="45" customHeight="1" s="22">
      <c r="A107" s="34" t="inlineStr">
        <is>
          <t>TC-106</t>
        </is>
      </c>
      <c r="B107" s="35" t="inlineStr">
        <is>
          <t>Genitori - Home (Planner/Per Bambino)</t>
        </is>
      </c>
      <c r="C107" s="35" t="inlineStr">
        <is>
          <t>Settimana scelta dal Planner arriva pre-selezionata in Prenotazione</t>
        </is>
      </c>
      <c r="D107" s="35" t="inlineStr">
        <is>
          <t>Settimana scoperta nel Planner</t>
        </is>
      </c>
      <c r="E107" s="35" t="inlineStr">
        <is>
          <t>Dal Planner, clicca "Riempi" su una settimana scoperta, scegli un'attività da Cerca, arriva fino allo step "Scegli le settimane" della Prenotazione</t>
        </is>
      </c>
      <c r="F107" s="35" t="inlineStr">
        <is>
          <t>La settimana richiesta è già selezionata (bordo/spunta) e appare un banner "Hai già scelto la Settimana N dal Planner"</t>
        </is>
      </c>
      <c r="G107" s="35" t="inlineStr">
        <is>
          <t>DA TESTARE</t>
        </is>
      </c>
      <c r="H107" s="35" t="n"/>
      <c r="I107" s="35" t="inlineStr">
        <is>
          <t>Alta</t>
        </is>
      </c>
      <c r="J107" s="35" t="inlineStr">
        <is>
          <t>#76, #89</t>
        </is>
      </c>
      <c r="K107" s="36" t="inlineStr">
        <is>
          <t>TO DEPLOY</t>
        </is>
      </c>
      <c r="L107" s="36" t="inlineStr">
        <is>
          <t>Prima la settimana scelta in Home non risultava preselezionata in Prenotazione, obbligando a ritrovarla manualmente tra tutte le settimane.</t>
        </is>
      </c>
    </row>
    <row r="108" ht="45" customHeight="1" s="22">
      <c r="A108" s="34" t="inlineStr">
        <is>
          <t>TC-107</t>
        </is>
      </c>
      <c r="B108" s="35" t="inlineStr">
        <is>
          <t>Genitori - Home (Planner/Per Bambino)</t>
        </is>
      </c>
      <c r="C108" s="35" t="inlineStr">
        <is>
          <t>Multi-bambino: iscrizioni a campus/settimane diverse gestite end-to-end</t>
        </is>
      </c>
      <c r="D108" s="35" t="inlineStr">
        <is>
          <t>Almeno 2 bambini con esigenze diverse</t>
        </is>
      </c>
      <c r="E108" s="35" t="inlineStr">
        <is>
          <t>Da "Per bambino", seleziona un bambino specifico e segui l'intero flusso Riempi → Cerca → Attività → Prenotazione</t>
        </is>
      </c>
      <c r="F108" s="35" t="inlineStr">
        <is>
          <t>Il bambino selezionato resta quello corretto per tutto il flusso (preselezionato anche nello step "Chi partecipa" della Prenotazione), senza doverlo riselezionare ad ogni passaggio</t>
        </is>
      </c>
      <c r="G108" s="35" t="inlineStr">
        <is>
          <t>DA TESTARE</t>
        </is>
      </c>
      <c r="H108" s="35" t="n"/>
      <c r="I108" s="35" t="inlineStr">
        <is>
          <t>Alta</t>
        </is>
      </c>
      <c r="J108" s="35" t="inlineStr">
        <is>
          <t>#88, #89</t>
        </is>
      </c>
      <c r="K108" s="36" t="inlineStr">
        <is>
          <t>TO DEPLOY</t>
        </is>
      </c>
      <c r="L108" s="36" t="inlineStr">
        <is>
          <t>Il parametro bambino viaggia ora nell'URL lungo tutto il flusso (Planner → Search → Attività → Prenotazione).</t>
        </is>
      </c>
    </row>
    <row r="109" ht="45" customHeight="1" s="22">
      <c r="A109" s="34" t="inlineStr">
        <is>
          <t>TC-108</t>
        </is>
      </c>
      <c r="B109" s="35" t="inlineStr">
        <is>
          <t>Genitori - Prenotazione</t>
        </is>
      </c>
      <c r="C109" s="35" t="inlineStr">
        <is>
          <t>Settimane già confermate per la stessa attività non ri-selezionabili</t>
        </is>
      </c>
      <c r="D109" s="35" t="inlineStr">
        <is>
          <t>Genitore con almeno una prenotazione confermata per una specifica attività</t>
        </is>
      </c>
      <c r="E109" s="35" t="inlineStr">
        <is>
          <t>Torna sulla stessa attività (da qualsiasi punto: Cerca, Planner, scheda attività) e apri "Prenota ora"</t>
        </is>
      </c>
      <c r="F109" s="35" t="inlineStr">
        <is>
          <t>Le settimane già prenotate e confermate appaiono con badge verde "✓ Già prenotata" e non sono cliccabili/selezionabili di nuovo</t>
        </is>
      </c>
      <c r="G109" s="35" t="inlineStr">
        <is>
          <t>DA TESTARE</t>
        </is>
      </c>
      <c r="H109" s="35" t="n"/>
      <c r="I109" s="35" t="inlineStr">
        <is>
          <t>Alta</t>
        </is>
      </c>
      <c r="J109" s="35" t="inlineStr">
        <is>
          <t>#106</t>
        </is>
      </c>
      <c r="K109" s="36" t="inlineStr">
        <is>
          <t>TO DEPLOY (implementato in questa sessione su tua richiesta esplicita)</t>
        </is>
      </c>
      <c r="L109" s="36" t="inlineStr">
        <is>
          <t>Evita la doppia prenotazione involontaria della stessa settimana sullo stesso campus, indipendentemente dal punto di ingresso nel flusso.</t>
        </is>
      </c>
    </row>
    <row r="110" ht="45" customHeight="1" s="22">
      <c r="A110" s="34" t="inlineStr">
        <is>
          <t>TC-109</t>
        </is>
      </c>
      <c r="B110" s="35" t="inlineStr">
        <is>
          <t>Genitori - Prenotazione</t>
        </is>
      </c>
      <c r="C110" s="35" t="inlineStr">
        <is>
          <t>Formato data settimana coerente in tutte le sezioni</t>
        </is>
      </c>
      <c r="D110" s="35" t="inlineStr">
        <is>
          <t>Nessuna</t>
        </is>
      </c>
      <c r="E110" s="35" t="inlineStr">
        <is>
          <t>Confronta il formato delle date settimana in Planner, selettore Prenotazione, banner di Cerca e riepilogo di Prenotazione</t>
        </is>
      </c>
      <c r="F110" s="35" t="inlineStr">
        <is>
          <t>Stesso formato ovunque: intervallo di date in evidenza (es. "GIU 2-6") con "Sett. N" come etichetta secondaria</t>
        </is>
      </c>
      <c r="G110" s="35" t="inlineStr">
        <is>
          <t>DA TESTARE</t>
        </is>
      </c>
      <c r="H110" s="35" t="n"/>
      <c r="I110" s="35" t="inlineStr">
        <is>
          <t>Bassa</t>
        </is>
      </c>
      <c r="J110" s="35" t="inlineStr">
        <is>
          <t>#107</t>
        </is>
      </c>
      <c r="K110" s="36" t="inlineStr">
        <is>
          <t>TO DEPLOY (segnalato e corretto in questa sessione)</t>
        </is>
      </c>
      <c r="L110" s="36" t="inlineStr">
        <is>
          <t>Prima ogni sezione usava un formato diverso ("2-6/6" numerico in un punto, "24 giu – 28 giu" testuale in un altro) — ora derivano tutte da un'unica funzione condivisa.</t>
        </is>
      </c>
    </row>
    <row r="111" ht="45" customHeight="1" s="22">
      <c r="A111" s="34" t="inlineStr">
        <is>
          <t>TC-110</t>
        </is>
      </c>
      <c r="B111" s="35" t="inlineStr">
        <is>
          <t>Genitori - Prenotazione</t>
        </is>
      </c>
      <c r="C111" s="35" t="inlineStr">
        <is>
          <t>Deselezione settimana non resta "incollata" allo stato attivo (mobile)</t>
        </is>
      </c>
      <c r="D111" s="35" t="inlineStr">
        <is>
          <t>Dispositivo mobile/touch</t>
        </is>
      </c>
      <c r="E111" s="35" t="inlineStr">
        <is>
          <t>Seleziona una settimana nello step 1, poi deselezionala con un tap</t>
        </is>
      </c>
      <c r="F111" s="35" t="inlineStr">
        <is>
          <t>La card torna visivamente allo stato non selezionato, senza restare con i colori dello stato attivo</t>
        </is>
      </c>
      <c r="G111" s="35" t="inlineStr">
        <is>
          <t>DA TESTARE</t>
        </is>
      </c>
      <c r="H111" s="35" t="n"/>
      <c r="I111" s="35" t="inlineStr">
        <is>
          <t>Media</t>
        </is>
      </c>
      <c r="J111" s="35" t="inlineStr">
        <is>
          <t>#83</t>
        </is>
      </c>
      <c r="K111" s="36" t="inlineStr">
        <is>
          <t>TO DEPLOY</t>
        </is>
      </c>
      <c r="L111" s="36" t="inlineStr">
        <is>
          <t>Bug dovuto a stili ":hover" che su mobile restano "incollati" dopo un tap — rimossi; lo stato attivo ora è comunicato solo dalla selezione reale.</t>
        </is>
      </c>
    </row>
    <row r="112" ht="45" customHeight="1" s="22">
      <c r="A112" s="34" t="inlineStr">
        <is>
          <t>TC-111</t>
        </is>
      </c>
      <c r="B112" s="35" t="inlineStr">
        <is>
          <t>Genitori - Prenotazione</t>
        </is>
      </c>
      <c r="C112" s="35" t="inlineStr">
        <is>
          <t>Pagina di successo mostra le settimane corrette</t>
        </is>
      </c>
      <c r="D112" s="35" t="inlineStr">
        <is>
          <t>Prenotazione completata con successo</t>
        </is>
      </c>
      <c r="E112" s="35" t="inlineStr">
        <is>
          <t>Completa una prenotazione fino alla schermata finale</t>
        </is>
      </c>
      <c r="F112" s="35" t="inlineStr">
        <is>
          <t>Le settimane prenotate sono elencate correttamente, non "--"</t>
        </is>
      </c>
      <c r="G112" s="35" t="inlineStr">
        <is>
          <t>DA TESTARE</t>
        </is>
      </c>
      <c r="H112" s="35" t="n"/>
      <c r="I112" s="35" t="inlineStr">
        <is>
          <t>Alta</t>
        </is>
      </c>
      <c r="J112" s="35" t="inlineStr">
        <is>
          <t>#84</t>
        </is>
      </c>
      <c r="K112" s="36" t="inlineStr">
        <is>
          <t>TO DEPLOY</t>
        </is>
      </c>
      <c r="L112" s="36" t="inlineStr">
        <is>
          <t>Bug legato al disallineamento dell'anno di stagione (vedi TC-101) che impediva di ritrovare le settimane appena prenotate.</t>
        </is>
      </c>
    </row>
    <row r="113" ht="45" customHeight="1" s="22">
      <c r="A113" s="34" t="inlineStr">
        <is>
          <t>TC-112</t>
        </is>
      </c>
      <c r="B113" s="35" t="inlineStr">
        <is>
          <t>Genitori - Prenotazione</t>
        </is>
      </c>
      <c r="C113" s="35" t="inlineStr">
        <is>
          <t>Condividi prenotazione come immagine + aggiungi al calendario</t>
        </is>
      </c>
      <c r="D113" s="35" t="inlineStr">
        <is>
          <t>Prenotazione completata</t>
        </is>
      </c>
      <c r="E113" s="35" t="inlineStr">
        <is>
          <t>Dalla schermata di successo, usa "Condividi"</t>
        </is>
      </c>
      <c r="F113" s="35" t="inlineStr">
        <is>
          <t>Viene generata un'immagine "cartolina" riepilogativa (canvas) condivisibile tramite le app del telefono, con opzione di download se la condivisione nativa non è disponibile; presente anche "Aggiungi al calendario"</t>
        </is>
      </c>
      <c r="G113" s="35" t="inlineStr">
        <is>
          <t>DA TESTARE</t>
        </is>
      </c>
      <c r="H113" s="35" t="n"/>
      <c r="I113" s="35" t="inlineStr">
        <is>
          <t>Bassa</t>
        </is>
      </c>
      <c r="J113" s="35" t="inlineStr">
        <is>
          <t>#85</t>
        </is>
      </c>
      <c r="K113" s="36" t="inlineStr">
        <is>
          <t>TO DEPLOY</t>
        </is>
      </c>
      <c r="L113" s="36" t="inlineStr">
        <is>
          <t>Prima la condivisione era solo testo semplice — sostituita con un'immagine generata via canvas, più adatta a Instagram Stories/WhatsApp.</t>
        </is>
      </c>
    </row>
    <row r="114" ht="45" customHeight="1" s="22">
      <c r="A114" s="34" t="inlineStr">
        <is>
          <t>TC-113</t>
        </is>
      </c>
      <c r="B114" s="35" t="inlineStr">
        <is>
          <t>Genitori - Profilo</t>
        </is>
      </c>
      <c r="C114" s="35" t="inlineStr">
        <is>
          <t>Upload foto profilo genitore</t>
        </is>
      </c>
      <c r="D114" s="35" t="inlineStr">
        <is>
          <t>Genitore loggato</t>
        </is>
      </c>
      <c r="E114" s="35" t="inlineStr">
        <is>
          <t>In Profilo, clicca l'icona fotocamera sull'avatar e carica un'immagine</t>
        </is>
      </c>
      <c r="F114" s="35" t="inlineStr">
        <is>
          <t>La foto sostituisce le iniziali/gradiente di default ed è visibile subito dopo il caricamento</t>
        </is>
      </c>
      <c r="G114" s="35" t="inlineStr">
        <is>
          <t>DA TESTARE</t>
        </is>
      </c>
      <c r="H114" s="35" t="n"/>
      <c r="I114" s="35" t="inlineStr">
        <is>
          <t>Media</t>
        </is>
      </c>
      <c r="J114" s="35" t="inlineStr">
        <is>
          <t>#93</t>
        </is>
      </c>
      <c r="K114" s="36" t="inlineStr">
        <is>
          <t>TO DEPLOY — richiede lo snippet SQL fornito a parte (colonne avatar_url/cover_image_url/ecc. + bucket Storage) applicato su Supabase prima del test</t>
        </is>
      </c>
      <c r="L114" s="36" t="inlineStr">
        <is>
          <t>Upload tramite Supabase Storage (bucket pubblico "buddykids-images", 5MB max, jpg/png/webp/gif).</t>
        </is>
      </c>
    </row>
    <row r="115" ht="45" customHeight="1" s="22">
      <c r="A115" s="34" t="inlineStr">
        <is>
          <t>TC-114</t>
        </is>
      </c>
      <c r="B115" s="35" t="inlineStr">
        <is>
          <t>Genitori - Profilo</t>
        </is>
      </c>
      <c r="C115" s="35" t="inlineStr">
        <is>
          <t>Upload foto profilo bambino</t>
        </is>
      </c>
      <c r="D115" s="35" t="inlineStr">
        <is>
          <t>Almeno un bambino nel profilo</t>
        </is>
      </c>
      <c r="E115" s="35" t="inlineStr">
        <is>
          <t>In Profilo, sezione Bambini, clicca l'icona fotocamera sull'avatar di un bambino</t>
        </is>
      </c>
      <c r="F115" s="35" t="inlineStr">
        <is>
          <t>La foto sostituisce l'emoji/colore di default per quel bambino, ovunque appaia (Home, Per Bambino, Prenotazione)</t>
        </is>
      </c>
      <c r="G115" s="35" t="inlineStr">
        <is>
          <t>DA TESTARE</t>
        </is>
      </c>
      <c r="H115" s="35" t="n"/>
      <c r="I115" s="35" t="inlineStr">
        <is>
          <t>Bassa</t>
        </is>
      </c>
      <c r="J115" s="35" t="inlineStr">
        <is>
          <t>#93</t>
        </is>
      </c>
      <c r="K115" s="36" t="inlineStr">
        <is>
          <t>TO DEPLOY — stesso prerequisito SQL di TC-113</t>
        </is>
      </c>
      <c r="L115" s="36" t="n"/>
    </row>
    <row r="116" ht="45" customHeight="1" s="22">
      <c r="A116" s="34" t="inlineStr">
        <is>
          <t>TC-115</t>
        </is>
      </c>
      <c r="B116" s="35" t="inlineStr">
        <is>
          <t>Genitori - Attivita</t>
        </is>
      </c>
      <c r="C116" s="35" t="inlineStr">
        <is>
          <t>Galleria foto e copertina personalizzata nel dettaglio attività</t>
        </is>
      </c>
      <c r="D116" s="35" t="inlineStr">
        <is>
          <t>Attività con copertina/galleria caricate dal Gestore (vedi TC-116)</t>
        </is>
      </c>
      <c r="E116" s="35" t="inlineStr">
        <is>
          <t>Apri il dettaglio di un'attività con foto caricate</t>
        </is>
      </c>
      <c r="F116" s="35" t="inlineStr">
        <is>
          <t>L'header mostra la copertina reale (non il gradiente) e sotto ai badge compare una striscia orizzontale scorrevole con le foto della galleria</t>
        </is>
      </c>
      <c r="G116" s="35" t="inlineStr">
        <is>
          <t>DA TESTARE</t>
        </is>
      </c>
      <c r="H116" s="35" t="n"/>
      <c r="I116" s="35" t="inlineStr">
        <is>
          <t>Bassa</t>
        </is>
      </c>
      <c r="J116" s="35" t="inlineStr">
        <is>
          <t>#93</t>
        </is>
      </c>
      <c r="K116" s="36" t="inlineStr">
        <is>
          <t>TO DEPLOY</t>
        </is>
      </c>
      <c r="L116" s="36"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2">
      <c r="A117" s="34" t="inlineStr">
        <is>
          <t>TC-116</t>
        </is>
      </c>
      <c r="B117" s="35" t="inlineStr">
        <is>
          <t>Gestore - Attivita</t>
        </is>
      </c>
      <c r="C117" s="35" t="inlineStr">
        <is>
          <t>Upload copertina + galleria foto di un'attività</t>
        </is>
      </c>
      <c r="D117" s="35" t="inlineStr">
        <is>
          <t>Login Gestore, attività esistente</t>
        </is>
      </c>
      <c r="E117" s="35" t="inlineStr">
        <is>
          <t>Vai su Gestore &gt; Attività &gt; Modifica, sezione "Immagini"</t>
        </is>
      </c>
      <c r="F117" s="35" t="inlineStr">
        <is>
          <t>Si può caricare/cambiare/rimuovere una copertina e aggiungere più foto alla galleria; il salvataggio scrive su Supabase Storage e sulla scheda attività</t>
        </is>
      </c>
      <c r="G117" s="35" t="inlineStr">
        <is>
          <t>DA TESTARE</t>
        </is>
      </c>
      <c r="H117" s="35" t="n"/>
      <c r="I117" s="35" t="inlineStr">
        <is>
          <t>Media</t>
        </is>
      </c>
      <c r="J117" s="35" t="inlineStr">
        <is>
          <t>#93</t>
        </is>
      </c>
      <c r="K117" s="36" t="inlineStr">
        <is>
          <t>TO DEPLOY</t>
        </is>
      </c>
      <c r="L117" s="36" t="inlineStr">
        <is>
          <t>Stesso componente riusato anche per gli altri profili immagine (genitore/bambino/centro/fornitore).</t>
        </is>
      </c>
    </row>
    <row r="118" ht="45" customHeight="1" s="22">
      <c r="A118" s="34" t="inlineStr">
        <is>
          <t>TC-117</t>
        </is>
      </c>
      <c r="B118" s="35" t="inlineStr">
        <is>
          <t>Gestore - Profilo Centro</t>
        </is>
      </c>
      <c r="C118" s="35" t="inlineStr">
        <is>
          <t>Upload logo/foto del centro</t>
        </is>
      </c>
      <c r="D118" s="35" t="inlineStr">
        <is>
          <t>Login Gestore</t>
        </is>
      </c>
      <c r="E118" s="35" t="inlineStr">
        <is>
          <t>Vai su Gestore &gt; Il mio centro, clicca l'icona fotocamera sul cerchio in alto</t>
        </is>
      </c>
      <c r="F118" s="35" t="inlineStr">
        <is>
          <t>Il logo sostituisce l'emoji/gradiente di default; viene salvato al click su "Salva modifiche" insieme al resto del form</t>
        </is>
      </c>
      <c r="G118" s="35" t="inlineStr">
        <is>
          <t>DA TESTARE</t>
        </is>
      </c>
      <c r="H118" s="35" t="n"/>
      <c r="I118" s="35" t="inlineStr">
        <is>
          <t>Bassa</t>
        </is>
      </c>
      <c r="J118" s="35" t="inlineStr">
        <is>
          <t>#93</t>
        </is>
      </c>
      <c r="K118" s="36" t="inlineStr">
        <is>
          <t>TO DEPLOY</t>
        </is>
      </c>
      <c r="L118" s="36" t="n"/>
    </row>
    <row r="119" ht="45" customHeight="1" s="22">
      <c r="A119" s="34" t="inlineStr">
        <is>
          <t>TC-118</t>
        </is>
      </c>
      <c r="B119" s="35" t="inlineStr">
        <is>
          <t>Admin - Gestione</t>
        </is>
      </c>
      <c r="C119" s="35" t="inlineStr">
        <is>
          <t>Upload foto/logo fornitore</t>
        </is>
      </c>
      <c r="D119" s="35" t="inlineStr">
        <is>
          <t>Login Admin piattaforma</t>
        </is>
      </c>
      <c r="E119" s="35" t="inlineStr">
        <is>
          <t>Vai su Admin &gt; Fornitori consigliati, crea/modifica un fornitore e carica una foto</t>
        </is>
      </c>
      <c r="F119" s="35" t="inlineStr">
        <is>
          <t>La foto sostituisce l'emoji sia nella tabella Admin sia nella card mostrata ai Gestori in "Servizi consigliati"</t>
        </is>
      </c>
      <c r="G119" s="35" t="inlineStr">
        <is>
          <t>DA TESTARE</t>
        </is>
      </c>
      <c r="H119" s="35" t="n"/>
      <c r="I119" s="35" t="inlineStr">
        <is>
          <t>Bassa</t>
        </is>
      </c>
      <c r="J119" s="35" t="inlineStr">
        <is>
          <t>#93</t>
        </is>
      </c>
      <c r="K119" s="36" t="inlineStr">
        <is>
          <t>TO DEPLOY</t>
        </is>
      </c>
      <c r="L119" s="36" t="n"/>
    </row>
    <row r="120" ht="45" customHeight="1" s="22">
      <c r="A120" s="34" t="inlineStr">
        <is>
          <t>TC-119</t>
        </is>
      </c>
      <c r="B120" s="35" t="inlineStr">
        <is>
          <t>Gestore - Dashboard</t>
        </is>
      </c>
      <c r="C120" s="35" t="inlineStr">
        <is>
          <t>Nuova navigazione con raggruppamento sezioni e badge richieste in sospeso</t>
        </is>
      </c>
      <c r="D120" s="35" t="inlineStr">
        <is>
          <t>Login Gestore, almeno una Richiesta Gruppo in sospeso</t>
        </is>
      </c>
      <c r="E120" s="35" t="inlineStr">
        <is>
          <t>Apri /center, osserva il menu laterale</t>
        </is>
      </c>
      <c r="F120" s="35" t="inlineStr">
        <is>
          <t>Le voci di menu sono raggruppate sotto intestazioni ("Oggi"/"Gestione"); la voce "Richieste Gruppo" mostra un badge rosso col numero di richieste in sospeso</t>
        </is>
      </c>
      <c r="G120" s="35" t="inlineStr">
        <is>
          <t>BUG</t>
        </is>
      </c>
      <c r="H120" s="35" t="n"/>
      <c r="I120" s="35" t="inlineStr">
        <is>
          <t>Media</t>
        </is>
      </c>
      <c r="J120" s="35" t="inlineStr">
        <is>
          <t>#92</t>
        </is>
      </c>
      <c r="K120" s="36" t="inlineStr">
        <is>
          <t>TO DEPLOY (redesign approvato — versione 6a — implementato in questa sessione) | RISOLTO</t>
        </is>
      </c>
      <c r="L120" s="36"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2">
      <c r="A121" s="34" t="inlineStr">
        <is>
          <t>TC-120</t>
        </is>
      </c>
      <c r="B121" s="35" t="inlineStr">
        <is>
          <t>Gestore - Dashboard</t>
        </is>
      </c>
      <c r="C121" s="35" t="inlineStr">
        <is>
          <t>Banner settimane scariche / richieste gruppo in sospeso</t>
        </is>
      </c>
      <c r="D121" s="35" t="inlineStr">
        <is>
          <t>Centro con almeno una settimana con occupazione bassa, o una Richiesta Gruppo in sospeso</t>
        </is>
      </c>
      <c r="E121" s="35" t="inlineStr">
        <is>
          <t>Apri /center</t>
        </is>
      </c>
      <c r="F121" s="35" t="inlineStr">
        <is>
          <t>In cima alla dashboard compaiono banner dedicati per le settimane scariche e per le richieste in sospeso, prima delle metriche KPI</t>
        </is>
      </c>
      <c r="G121" s="35" t="inlineStr">
        <is>
          <t>BUG</t>
        </is>
      </c>
      <c r="H121" s="35" t="n"/>
      <c r="I121" s="35" t="inlineStr">
        <is>
          <t>Media</t>
        </is>
      </c>
      <c r="J121" s="35" t="inlineStr">
        <is>
          <t>#92</t>
        </is>
      </c>
      <c r="K121" s="36" t="inlineStr">
        <is>
          <t>TO DEPLOY | RISOLTO</t>
        </is>
      </c>
      <c r="L121" s="36" t="inlineStr">
        <is>
          <t>BUG DI TEST TROVATO+CORRETTO (run reale): stessa causa di TC-072 (locator 'Attivita' ambiguo, 4 match) — risolto con lo stesso helper kpiAttivita() scoping alla griglia KPI.</t>
        </is>
      </c>
    </row>
    <row r="122" ht="45" customHeight="1" s="22">
      <c r="A122" s="34" t="inlineStr">
        <is>
          <t>TC-121</t>
        </is>
      </c>
      <c r="B122" s="35" t="inlineStr">
        <is>
          <t>Gestore - Dashboard</t>
        </is>
      </c>
      <c r="C122" s="35" t="inlineStr">
        <is>
          <t>Feed attività unificato "Attività recente"</t>
        </is>
      </c>
      <c r="D122" s="35" t="inlineStr">
        <is>
          <t>Login Gestore</t>
        </is>
      </c>
      <c r="E122" s="35" t="inlineStr">
        <is>
          <t>Apri /center, osserva la colonna destra</t>
        </is>
      </c>
      <c r="F122" s="35" t="inlineStr">
        <is>
          <t>Al posto della vecchia lista "Le tue attività" compare un feed cronologico che unisce settimane scariche, richieste gruppo, prenotazioni e promozioni</t>
        </is>
      </c>
      <c r="G122" s="35" t="inlineStr">
        <is>
          <t>DA TESTARE</t>
        </is>
      </c>
      <c r="H122" s="35" t="n"/>
      <c r="I122" s="35" t="inlineStr">
        <is>
          <t>Bassa</t>
        </is>
      </c>
      <c r="J122" s="35" t="inlineStr">
        <is>
          <t>#92</t>
        </is>
      </c>
      <c r="K122" s="36" t="inlineStr">
        <is>
          <t>TO DEPLOY</t>
        </is>
      </c>
      <c r="L122" s="36" t="inlineStr">
        <is>
          <t>Alcuni timestamp nel feed sono sintetici/illustrativi (commentato nel codice) dove il modello dati non ha ancora un timestamp reale per quell'evento — da tenere presente se si nota qualche data "strana".</t>
        </is>
      </c>
    </row>
    <row r="123">
      <c r="A123" s="34" t="inlineStr">
        <is>
          <t>TC-122</t>
        </is>
      </c>
      <c r="B123" s="35" t="inlineStr">
        <is>
          <t>Gestore - Inviti</t>
        </is>
      </c>
      <c r="C123" s="35" t="inlineStr">
        <is>
          <t>Creazione invito singolo con contatto email</t>
        </is>
      </c>
      <c r="D123" s="35" t="inlineStr">
        <is>
          <t>Login Gestore centro</t>
        </is>
      </c>
      <c r="E123" s="35" t="inlineStr">
        <is>
          <t>Apri 'Inviti', compila nome/email contatto, imposta sconto % e scadenza, invia</t>
        </is>
      </c>
      <c r="F123" s="35" t="inlineStr">
        <is>
          <t>L'invito viene creato con un codice univoco; se è configurato l'invio email (Resend), parte automaticamente un'email con link+codice, altrimenti viene mostrato il link da copiare</t>
        </is>
      </c>
      <c r="G123" s="35" t="inlineStr">
        <is>
          <t>DA TESTARE</t>
        </is>
      </c>
      <c r="H123" s="35" t="n"/>
      <c r="I123" s="35" t="inlineStr">
        <is>
          <t>Media</t>
        </is>
      </c>
      <c r="J123" s="35" t="n"/>
      <c r="K123" s="36" t="n"/>
      <c r="L123" s="36" t="n"/>
    </row>
    <row r="124">
      <c r="A124" s="34" t="inlineStr">
        <is>
          <t>TC-123</t>
        </is>
      </c>
      <c r="B124" s="35" t="inlineStr">
        <is>
          <t>Gestore - Inviti</t>
        </is>
      </c>
      <c r="C124" s="35" t="inlineStr">
        <is>
          <t>Caricamento contatti da file per invio multiplo</t>
        </is>
      </c>
      <c r="D124" s="35" t="inlineStr">
        <is>
          <t>Login Gestore centro, file CSV/TXT con nome,email,telefono per riga</t>
        </is>
      </c>
      <c r="E124" s="35" t="inlineStr">
        <is>
          <t>In 'Inviti', usa 'Carica file', seleziona il CSV, conferma</t>
        </is>
      </c>
      <c r="F124" s="35" t="inlineStr">
        <is>
          <t>Un invito viene creato per ciascun contatto valido nel file, con lo stesso sconto/scadenza impostati; i contatti senza email valida restano generabili solo come link (nessuna email inviata)</t>
        </is>
      </c>
      <c r="G124" s="35" t="inlineStr">
        <is>
          <t>DA TESTARE</t>
        </is>
      </c>
      <c r="H124" s="35" t="n"/>
      <c r="I124" s="35" t="inlineStr">
        <is>
          <t>Media</t>
        </is>
      </c>
      <c r="J124" s="35" t="n"/>
      <c r="K124" s="36" t="n"/>
      <c r="L124" s="36" t="n"/>
    </row>
    <row r="125">
      <c r="A125" s="34" t="inlineStr">
        <is>
          <t>TC-124</t>
        </is>
      </c>
      <c r="B125" s="35" t="inlineStr">
        <is>
          <t>Gestore - Inviti</t>
        </is>
      </c>
      <c r="C125" s="35" t="inlineStr">
        <is>
          <t>Invio email automatico vs fallback 'copia link'</t>
        </is>
      </c>
      <c r="D125" s="35" t="inlineStr">
        <is>
          <t>Un invito appena creato con contatto email</t>
        </is>
      </c>
      <c r="E125" s="35" t="inlineStr">
        <is>
          <t>Osserva lo stato dell'invito subito dopo la creazione</t>
        </is>
      </c>
      <c r="F125" s="35" t="inlineStr">
        <is>
          <t>Se RESEND_API_KEY è configurato, lo stato passa a 'Inviato' e email_sent_at è valorizzato; se non configurato, l'invito resta 'In attesa' e l'interfaccia permette comunque di copiare il link per condividerlo manualmente</t>
        </is>
      </c>
      <c r="G125" s="35" t="inlineStr">
        <is>
          <t>DA TESTARE</t>
        </is>
      </c>
      <c r="H125" s="35" t="n"/>
      <c r="I125" s="35" t="inlineStr">
        <is>
          <t>Bassa</t>
        </is>
      </c>
      <c r="J125" s="35" t="n"/>
      <c r="K125" s="36" t="n"/>
      <c r="L125" s="36" t="n"/>
    </row>
    <row r="126">
      <c r="A126" s="34" t="inlineStr">
        <is>
          <t>TC-125</t>
        </is>
      </c>
      <c r="B126" s="35" t="inlineStr">
        <is>
          <t>Gestore - Inviti</t>
        </is>
      </c>
      <c r="C126" s="35" t="inlineStr">
        <is>
          <t>Lista inviti mostra lo stato corretto per ciascuno</t>
        </is>
      </c>
      <c r="D126" s="35" t="inlineStr">
        <is>
          <t>Almeno un invito per stato (in attesa/inviato/registrato/riscattato/scaduto)</t>
        </is>
      </c>
      <c r="E126" s="35" t="inlineStr">
        <is>
          <t>Apri 'Inviti' e osserva la tabella</t>
        </is>
      </c>
      <c r="F126" s="35" t="inlineStr">
        <is>
          <t>Ogni riga mostra il badge di stato coerente col database (In attesa/Inviato/Registrato/Riscattato/Scaduto), quest'ultimo calcolato automaticamente dalla data di scadenza senza bisogno di un job pianificato</t>
        </is>
      </c>
      <c r="G126" s="35" t="inlineStr">
        <is>
          <t>DA TESTARE</t>
        </is>
      </c>
      <c r="H126" s="35" t="n"/>
      <c r="I126" s="35" t="inlineStr">
        <is>
          <t>Media</t>
        </is>
      </c>
      <c r="J126" s="35" t="n"/>
      <c r="K126" s="36" t="n"/>
      <c r="L126" s="36" t="n"/>
    </row>
    <row r="127">
      <c r="A127" s="34" t="inlineStr">
        <is>
          <t>TC-126</t>
        </is>
      </c>
      <c r="B127" s="35" t="inlineStr">
        <is>
          <t>Gestore - Inviti</t>
        </is>
      </c>
      <c r="C127" s="35" t="inlineStr">
        <is>
          <t>Disattivazione/riattivazione manuale di un invito</t>
        </is>
      </c>
      <c r="D127" s="35" t="inlineStr">
        <is>
          <t>Un invito attivo, non ancora scaduto</t>
        </is>
      </c>
      <c r="E127" s="35" t="inlineStr">
        <is>
          <t>Clicca 'Disattiva' sull'invito; poi 'Riattiva'</t>
        </is>
      </c>
      <c r="F127" s="35" t="inlineStr">
        <is>
          <t>L'invito disattivato non è più utilizzabile in fase di registrazione/sconto anche se il codice è corretto; riattivandolo torna utilizzabile (se non scaduto)</t>
        </is>
      </c>
      <c r="G127" s="35" t="inlineStr">
        <is>
          <t>DA TESTARE</t>
        </is>
      </c>
      <c r="H127" s="35" t="n"/>
      <c r="I127" s="35" t="inlineStr">
        <is>
          <t>Bassa</t>
        </is>
      </c>
      <c r="J127" s="35" t="n"/>
      <c r="K127" s="36" t="n"/>
      <c r="L127" s="36" t="n"/>
    </row>
    <row r="128">
      <c r="A128" s="34" t="inlineStr">
        <is>
          <t>TC-127</t>
        </is>
      </c>
      <c r="B128" s="35" t="inlineStr">
        <is>
          <t>Genitori - Registrazione</t>
        </is>
      </c>
      <c r="C128" s="35" t="inlineStr">
        <is>
          <t>Link con codice invito precompila il campo e mostra l'anteprima</t>
        </is>
      </c>
      <c r="D128" s="35" t="inlineStr">
        <is>
          <t>Un invito attivo e non scaduto</t>
        </is>
      </c>
      <c r="E128" s="35" t="inlineStr">
        <is>
          <t>Apri il link di registrazione ricevuto (con ?invite=CODICE)</t>
        </is>
      </c>
      <c r="F128" s="35" t="inlineStr">
        <is>
          <t>Il form di registrazione si apre già in modalità 'Crea account' col codice invito precompilato; viene mostrata un'anteprima con nome del centro e percentuale di sconto prima di completare la registrazione</t>
        </is>
      </c>
      <c r="G128" s="35" t="inlineStr">
        <is>
          <t>DA TESTARE</t>
        </is>
      </c>
      <c r="H128" s="35" t="n"/>
      <c r="I128" s="35" t="inlineStr">
        <is>
          <t>Media</t>
        </is>
      </c>
      <c r="J128" s="35" t="n"/>
      <c r="K128" s="36" t="n"/>
      <c r="L128" s="36" t="n"/>
    </row>
    <row r="129">
      <c r="A129" s="34" t="inlineStr">
        <is>
          <t>TC-128</t>
        </is>
      </c>
      <c r="B129" s="35" t="inlineStr">
        <is>
          <t>Genitori - Registrazione</t>
        </is>
      </c>
      <c r="C129" s="35" t="inlineStr">
        <is>
          <t>Registrazione con codice invito collega automaticamente l'invito al nuovo profilo</t>
        </is>
      </c>
      <c r="D129" s="35" t="inlineStr">
        <is>
          <t>Un invito attivo e non scaduto, codice valido</t>
        </is>
      </c>
      <c r="E129" s="35" t="inlineStr">
        <is>
          <t>Completa la registrazione inserendo il codice invito (manualmente o da link)</t>
        </is>
      </c>
      <c r="F129" s="35" t="inlineStr">
        <is>
          <t>Il nuovo profilo genitore viene creato con invited_by_code valorizzato; l'invito corrispondente passa a stato 'Registrato' con registered_parent_id collegato al nuovo utente, visibile subito nella lista Inviti del Gestore</t>
        </is>
      </c>
      <c r="G129" s="35" t="inlineStr">
        <is>
          <t>DA TESTARE</t>
        </is>
      </c>
      <c r="H129" s="35" t="n"/>
      <c r="I129" s="35" t="inlineStr">
        <is>
          <t>Alta</t>
        </is>
      </c>
      <c r="J129" s="35" t="n"/>
      <c r="K129" s="36" t="n"/>
      <c r="L129" s="36" t="n"/>
    </row>
    <row r="130">
      <c r="A130" s="34" t="inlineStr">
        <is>
          <t>TC-129</t>
        </is>
      </c>
      <c r="B130" s="35" t="inlineStr">
        <is>
          <t>Genitori - Prenotazione</t>
        </is>
      </c>
      <c r="C130" s="35" t="inlineStr">
        <is>
          <t>Sconto invito applicato una tantum alla prima prenotazione idonea</t>
        </is>
      </c>
      <c r="D130" s="35" t="inlineStr">
        <is>
          <t>Genitore registrato tramite invito, con sconto non ancora utilizzato</t>
        </is>
      </c>
      <c r="E130" s="35" t="inlineStr">
        <is>
          <t>Prenota un'attività fino al riepilogo prezzo</t>
        </is>
      </c>
      <c r="F130" s="35" t="inlineStr">
        <is>
          <t>Il riepilogo mostra una riga 'Sconto invito 🎁' calcolata sulla percentuale dell'invito; a prenotazione confermata, discount_applied_at viene valorizzato (sconto consumato)</t>
        </is>
      </c>
      <c r="G130" s="35" t="inlineStr">
        <is>
          <t>DA TESTARE</t>
        </is>
      </c>
      <c r="H130" s="35" t="n"/>
      <c r="I130" s="35" t="inlineStr">
        <is>
          <t>Alta</t>
        </is>
      </c>
      <c r="J130" s="35" t="n"/>
      <c r="K130" s="36" t="n"/>
      <c r="L130" s="36" t="n"/>
    </row>
    <row r="131">
      <c r="A131" s="34" t="inlineStr">
        <is>
          <t>TC-130</t>
        </is>
      </c>
      <c r="B131" s="35" t="inlineStr">
        <is>
          <t>Genitori - Prenotazione</t>
        </is>
      </c>
      <c r="C131" s="35" t="inlineStr">
        <is>
          <t>Sconto invito non riapplicabile a una seconda prenotazione</t>
        </is>
      </c>
      <c r="D131" s="35" t="inlineStr">
        <is>
          <t>Genitore che ha già usato lo sconto invito su una prenotazione precedente</t>
        </is>
      </c>
      <c r="E131" s="35" t="inlineStr">
        <is>
          <t>Effettua una seconda prenotazione</t>
        </is>
      </c>
      <c r="F131" s="35" t="inlineStr">
        <is>
          <t>Il riepilogo NON mostra più la riga 'Sconto invito' (discount_applied_at già valorizzato) — lo sconto è una tantum, non riutilizzabile su prenotazioni successive</t>
        </is>
      </c>
      <c r="G131" s="35" t="inlineStr">
        <is>
          <t>DA TESTARE</t>
        </is>
      </c>
      <c r="H131" s="35" t="n"/>
      <c r="I131" s="35" t="inlineStr">
        <is>
          <t>Media</t>
        </is>
      </c>
      <c r="J131" s="35" t="n"/>
      <c r="K131" s="36" t="n"/>
      <c r="L131" s="36" t="n"/>
    </row>
    <row r="132">
      <c r="A132" s="34" t="inlineStr">
        <is>
          <t>TC-131</t>
        </is>
      </c>
      <c r="B132" s="35" t="inlineStr">
        <is>
          <t>Gestore - Inviti</t>
        </is>
      </c>
      <c r="C132" s="35" t="inlineStr">
        <is>
          <t>Invito scaduto non più utilizzabile</t>
        </is>
      </c>
      <c r="D132" s="35" t="inlineStr">
        <is>
          <t>Un invito con promo_expires_at nel passato</t>
        </is>
      </c>
      <c r="E132" s="35" t="inlineStr">
        <is>
          <t>Apri 'Inviti' e osserva lo stato; prova ad aprire il link di registrazione con quel codice</t>
        </is>
      </c>
      <c r="F132" s="35" t="inlineStr">
        <is>
          <t>L'invito mostra stato 'Scaduto' nella lista Gestore; l'anteprima in registrazione segnala il codice come non più valido e non applica alcuno sconto se comunque si completa la registrazione</t>
        </is>
      </c>
      <c r="G132" s="35" t="inlineStr">
        <is>
          <t>DA TESTARE</t>
        </is>
      </c>
      <c r="H132" s="35" t="n"/>
      <c r="I132" s="35" t="inlineStr">
        <is>
          <t>Bassa</t>
        </is>
      </c>
      <c r="J132" s="35" t="n"/>
      <c r="K132" s="36" t="n"/>
      <c r="L132" s="36" t="n"/>
    </row>
    <row r="133">
      <c r="A133" s="34" t="inlineStr">
        <is>
          <t>TC-132</t>
        </is>
      </c>
      <c r="B133" s="35" t="inlineStr">
        <is>
          <t>Genitori - Profilo</t>
        </is>
      </c>
      <c r="C133" s="35" t="inlineStr">
        <is>
          <t>Dati personali estesi (telefono, data di nascita, genere) salvati e mostrati</t>
        </is>
      </c>
      <c r="D133" s="35" t="inlineStr">
        <is>
          <t>Login genitore</t>
        </is>
      </c>
      <c r="E133" s="35" t="inlineStr">
        <is>
          <t>In Profilo, click 'Modifica', compila telefono/data di nascita/genere, salva</t>
        </is>
      </c>
      <c r="F133" s="35" t="inlineStr">
        <is>
          <t>I valori inseriti vengono salvati su Supabase e ripresentati precompilati alla riapertura del form</t>
        </is>
      </c>
      <c r="G133" s="35" t="inlineStr">
        <is>
          <t>DA TESTARE</t>
        </is>
      </c>
      <c r="H133" s="35" t="n"/>
      <c r="I133" s="35" t="inlineStr">
        <is>
          <t>Alta</t>
        </is>
      </c>
      <c r="J133" s="35" t="n"/>
      <c r="K133" s="36" t="n"/>
      <c r="L133" s="36" t="n"/>
    </row>
    <row r="134">
      <c r="A134" s="34" t="inlineStr">
        <is>
          <t>TC-133</t>
        </is>
      </c>
      <c r="B134" s="35" t="inlineStr">
        <is>
          <t>Genitori - Profilo</t>
        </is>
      </c>
      <c r="C134" s="35" t="inlineStr">
        <is>
          <t>Cambio password dalla sezione Sicurezza</t>
        </is>
      </c>
      <c r="D134" s="35" t="inlineStr">
        <is>
          <t>Login genitore</t>
        </is>
      </c>
      <c r="E134" s="35" t="inlineStr">
        <is>
          <t>In Profilo &gt; Sicurezza, inserisci una nuova password (min 8 caratteri) e conferma, salva</t>
        </is>
      </c>
      <c r="F134" s="35" t="inlineStr">
        <is>
          <t>La password viene aggiornata (supabase.auth.updateUser); il login successivo funziona con la nuova password</t>
        </is>
      </c>
      <c r="G134" s="35" t="inlineStr">
        <is>
          <t>DA TESTARE</t>
        </is>
      </c>
      <c r="H134" s="35" t="n"/>
      <c r="I134" s="35" t="inlineStr">
        <is>
          <t>Alta</t>
        </is>
      </c>
      <c r="J134" s="35" t="n"/>
      <c r="K134" s="36" t="n"/>
      <c r="L134" s="36" t="inlineStr">
        <is>
          <t>AGGIORNATO: 'Sicurezza' e' ora una sotto-pagina dedicata (/profile/sicurezza o /center/account/sicurezza), non piu' una sezione inline sulla stessa pagina profilo — vedi TC-148/TC-138 per la navigazione del menu 'Impostazioni'.</t>
        </is>
      </c>
    </row>
    <row r="135">
      <c r="A135" s="34" t="inlineStr">
        <is>
          <t>TC-134</t>
        </is>
      </c>
      <c r="B135" s="35" t="inlineStr">
        <is>
          <t>Genitori - Profilo</t>
        </is>
      </c>
      <c r="C135" s="35" t="inlineStr">
        <is>
          <t>Preferenze (lingua/tema/notifiche) persistono</t>
        </is>
      </c>
      <c r="D135" s="35" t="inlineStr">
        <is>
          <t>Login genitore</t>
        </is>
      </c>
      <c r="E135" s="35" t="inlineStr">
        <is>
          <t>In Profilo &gt; Preferenze, cambia lingua/tema e disattiva una notifica</t>
        </is>
      </c>
      <c r="F135" s="35" t="inlineStr">
        <is>
          <t>Le scelte vengono salvate subito (senza pulsante Salva) e restano dopo un reload della pagina</t>
        </is>
      </c>
      <c r="G135" s="35" t="inlineStr">
        <is>
          <t>DA TESTARE</t>
        </is>
      </c>
      <c r="H135" s="35" t="n"/>
      <c r="I135" s="35" t="inlineStr">
        <is>
          <t>Media</t>
        </is>
      </c>
      <c r="J135" s="35" t="n"/>
      <c r="K135" s="36" t="n"/>
      <c r="L135" s="36" t="inlineStr">
        <is>
          <t>AGGIORNATO: split in due sotto-pagine distinte — 'Preferenze' (lingua/tema, /profile/preferenze) e 'Notifiche' (email/push/SMS, /profile/notifiche, vedi nuovo TC-147) — prima erano sulla stessa pagina.</t>
        </is>
      </c>
    </row>
    <row r="136">
      <c r="A136" s="34" t="inlineStr">
        <is>
          <t>TC-135</t>
        </is>
      </c>
      <c r="B136" s="35" t="inlineStr">
        <is>
          <t>Genitori - Profilo</t>
        </is>
      </c>
      <c r="C136" s="35" t="inlineStr">
        <is>
          <t>Consenso marketing attivabile/disattivabile</t>
        </is>
      </c>
      <c r="D136" s="35" t="inlineStr">
        <is>
          <t>Login genitore</t>
        </is>
      </c>
      <c r="E136" s="35" t="inlineStr">
        <is>
          <t>In Profilo &gt; Privacy e account, attiva/disattiva il consenso marketing</t>
        </is>
      </c>
      <c r="F136" s="35" t="inlineStr">
        <is>
          <t>Il valore viene salvato su profiles.marketing_consent e resta dopo reload</t>
        </is>
      </c>
      <c r="G136" s="35" t="inlineStr">
        <is>
          <t>DA TESTARE</t>
        </is>
      </c>
      <c r="H136" s="35" t="n"/>
      <c r="I136" s="35" t="inlineStr">
        <is>
          <t>Bassa</t>
        </is>
      </c>
      <c r="J136" s="35" t="n"/>
      <c r="K136" s="36" t="n"/>
      <c r="L136" s="36" t="inlineStr">
        <is>
          <t>AGGIORNATO: 'Privacy e account' e' ora una sotto-pagina dedicata (/profile/privacy o /center/account/privacy).</t>
        </is>
      </c>
    </row>
    <row r="137">
      <c r="A137" s="34" t="inlineStr">
        <is>
          <t>TC-136</t>
        </is>
      </c>
      <c r="B137" s="35" t="inlineStr">
        <is>
          <t>Genitori - Profilo</t>
        </is>
      </c>
      <c r="C137" s="35" t="inlineStr">
        <is>
          <t>Disattivazione temporanea dell'account</t>
        </is>
      </c>
      <c r="D137" s="35" t="inlineStr">
        <is>
          <t>Login genitore</t>
        </is>
      </c>
      <c r="E137" s="35" t="inlineStr">
        <is>
          <t>In Profilo &gt; Privacy e account, click 'Disattiva account temporaneamente' e conferma</t>
        </is>
      </c>
      <c r="F137" s="35" t="inlineStr">
        <is>
          <t>account_status passa a 'deactivated', l'utente viene disconnesso</t>
        </is>
      </c>
      <c r="G137" s="35" t="inlineStr">
        <is>
          <t>DA TESTARE</t>
        </is>
      </c>
      <c r="H137" s="35" t="n"/>
      <c r="I137" s="35" t="inlineStr">
        <is>
          <t>Media</t>
        </is>
      </c>
      <c r="J137" s="35" t="n"/>
      <c r="K137" s="36" t="n"/>
      <c r="L137" s="36" t="inlineStr">
        <is>
          <t>AGGIORNATO: vedi nota TC-135 — stessa sotto-pagina /profile/privacy.</t>
        </is>
      </c>
    </row>
    <row r="138">
      <c r="A138" s="34" t="inlineStr">
        <is>
          <t>TC-137</t>
        </is>
      </c>
      <c r="B138" s="35" t="inlineStr">
        <is>
          <t>Genitori - Profilo</t>
        </is>
      </c>
      <c r="C138" s="35" t="inlineStr">
        <is>
          <t>Richiesta di cancellazione account (diritto all'oblio)</t>
        </is>
      </c>
      <c r="D138" s="35" t="inlineStr">
        <is>
          <t>Login genitore</t>
        </is>
      </c>
      <c r="E138" s="35" t="inlineStr">
        <is>
          <t>In Profilo &gt; Privacy e account, click 'Richiedi cancellazione account' e conferma</t>
        </is>
      </c>
      <c r="F138" s="35" t="inlineStr">
        <is>
          <t>account_status passa a 'deletion_requested' con timestamp; la richiesta va evasa manualmente da un platform_admin (nessuna cancellazione automatica lato client)</t>
        </is>
      </c>
      <c r="G138" s="35" t="inlineStr">
        <is>
          <t>DA TESTARE</t>
        </is>
      </c>
      <c r="H138" s="35" t="n"/>
      <c r="I138" s="35" t="inlineStr">
        <is>
          <t>Media</t>
        </is>
      </c>
      <c r="J138" s="35" t="n"/>
      <c r="K138" s="36" t="n"/>
      <c r="L138" s="36" t="inlineStr">
        <is>
          <t>AGGIORNATO: vedi nota TC-135 — stessa sotto-pagina /profile/privacy.</t>
        </is>
      </c>
    </row>
    <row r="139">
      <c r="A139" s="34" t="inlineStr">
        <is>
          <t>TC-138</t>
        </is>
      </c>
      <c r="B139" s="35" t="inlineStr">
        <is>
          <t>Gestore - Il mio account</t>
        </is>
      </c>
      <c r="C139" s="35" t="inlineStr">
        <is>
          <t>Pagina profilo personale distinta dal profilo del centro</t>
        </is>
      </c>
      <c r="D139" s="35" t="inlineStr">
        <is>
          <t>Login gestore</t>
        </is>
      </c>
      <c r="E139" s="35" t="inlineStr">
        <is>
          <t>Apri '/center/account' dal menu 'Il mio account'</t>
        </is>
      </c>
      <c r="F139" s="35" t="inlineStr">
        <is>
          <t>Mostra dati personali/sicurezza/preferenze/privacy del gestore (non i dati del centro, che restano su 'Il mio centro' /center/profile)</t>
        </is>
      </c>
      <c r="G139" s="35" t="inlineStr">
        <is>
          <t>DA TESTARE</t>
        </is>
      </c>
      <c r="H139" s="35" t="n"/>
      <c r="I139" s="35" t="inlineStr">
        <is>
          <t>Alta</t>
        </is>
      </c>
      <c r="J139" s="35" t="n"/>
      <c r="K139" s="36" t="n"/>
      <c r="L139" s="36" t="inlineStr">
        <is>
          <t>AGGIORNATO: il menu 'Impostazioni' su /center/account ora apre sotto-pagine dedicate (stessa struttura del profilo genitore, vedi TC-148); rimossa dal test l'assenza inline di #security-new-password, sostituita da un click-through verso /center/account/sicurezza.</t>
        </is>
      </c>
    </row>
    <row r="140">
      <c r="A140" s="34" t="inlineStr">
        <is>
          <t>TC-139</t>
        </is>
      </c>
      <c r="B140" s="35" t="inlineStr">
        <is>
          <t>Gestore - Registro presenze</t>
        </is>
      </c>
      <c r="C140" s="35" t="inlineStr">
        <is>
          <t>Elenco partecipanti raggruppato per attività e settimana</t>
        </is>
      </c>
      <c r="D140" s="35" t="inlineStr">
        <is>
          <t>Login gestore, almeno una prenotazione reale sulla propria attività</t>
        </is>
      </c>
      <c r="E140" s="35" t="inlineStr">
        <is>
          <t>Apri '/center/attendance'</t>
        </is>
      </c>
      <c r="F140" s="35" t="inlineStr">
        <is>
          <t>I bambini iscritti compaiono divisi per attività+settimana, con nome bambino, nome/contatto genitore ed eventuale badge Gruppo</t>
        </is>
      </c>
      <c r="G140" s="35" t="inlineStr">
        <is>
          <t>DA TESTARE</t>
        </is>
      </c>
      <c r="H140" s="35" t="n"/>
      <c r="I140" s="35" t="inlineStr">
        <is>
          <t>Alta</t>
        </is>
      </c>
      <c r="J140" s="35" t="n"/>
      <c r="K140" s="36" t="n"/>
      <c r="L140" s="36" t="n"/>
    </row>
    <row r="141">
      <c r="A141" s="34" t="inlineStr">
        <is>
          <t>TC-140</t>
        </is>
      </c>
      <c r="B141" s="35" t="inlineStr">
        <is>
          <t>Gestore - Registro presenze</t>
        </is>
      </c>
      <c r="C141" s="35" t="inlineStr">
        <is>
          <t>Segnare presente/assente per un giorno specifico persiste</t>
        </is>
      </c>
      <c r="D141" s="35" t="inlineStr">
        <is>
          <t>Partecipante presente in una settimana</t>
        </is>
      </c>
      <c r="E141" s="35" t="inlineStr">
        <is>
          <t>In Registro presenze, seleziona un giorno e clicca il bottone stato di un bambino</t>
        </is>
      </c>
      <c r="F141" s="35" t="inlineStr">
        <is>
          <t>Lo stato passa a Presente/Assente ed è salvato su attendance_records (persiste dopo reload)</t>
        </is>
      </c>
      <c r="G141" s="35" t="inlineStr">
        <is>
          <t>DA TESTARE</t>
        </is>
      </c>
      <c r="H141" s="35" t="n"/>
      <c r="I141" s="35" t="inlineStr">
        <is>
          <t>Alta</t>
        </is>
      </c>
      <c r="J141" s="35" t="n"/>
      <c r="K141" s="36" t="n"/>
      <c r="L141" s="36" t="inlineStr">
        <is>
          <t>Riga bambino aggiornata a gruppo di 3 bottoni (Presente/In ritardo/Assente) per il check-in MVP — vedi TC-151/152.</t>
        </is>
      </c>
    </row>
    <row r="142">
      <c r="A142" s="34" t="inlineStr">
        <is>
          <t>TC-141</t>
        </is>
      </c>
      <c r="B142" s="35" t="inlineStr">
        <is>
          <t>Genitori - Home</t>
        </is>
      </c>
      <c r="C142" s="35" t="inlineStr">
        <is>
          <t>Il badge avatar in Home porta al profilo</t>
        </is>
      </c>
      <c r="D142" s="35" t="inlineStr">
        <is>
          <t>Login genitore</t>
        </is>
      </c>
      <c r="E142" s="35" t="inlineStr">
        <is>
          <t>Clicca il badge con le iniziali/foto in alto a destra della Home</t>
        </is>
      </c>
      <c r="F142" s="35" t="inlineStr">
        <is>
          <t>Naviga a /profile — prima era un elemento inerte, senza alcuna azione</t>
        </is>
      </c>
      <c r="G142" s="35" t="inlineStr">
        <is>
          <t>DA TESTARE</t>
        </is>
      </c>
      <c r="H142" s="35" t="n"/>
      <c r="I142" s="35" t="inlineStr">
        <is>
          <t>Alta</t>
        </is>
      </c>
      <c r="J142" s="35" t="n"/>
      <c r="K142" s="36" t="n"/>
      <c r="L142" s="36" t="n"/>
    </row>
    <row r="143">
      <c r="A143" s="34" t="inlineStr">
        <is>
          <t>TC-142</t>
        </is>
      </c>
      <c r="B143" s="35" t="inlineStr">
        <is>
          <t>Genitori - Home</t>
        </is>
      </c>
      <c r="C143" s="35" t="inlineStr">
        <is>
          <t>Il pallino sul badge avatar riflette il profilo incompleto</t>
        </is>
      </c>
      <c r="D143" s="35" t="inlineStr">
        <is>
          <t>Login genitore</t>
        </is>
      </c>
      <c r="E143" s="35" t="inlineStr">
        <is>
          <t>Osserva il badge avatar in Home a seconda che il profilo sia completo o meno</t>
        </is>
      </c>
      <c r="F143" s="35" t="inlineStr">
        <is>
          <t>Il pallino rosso compare SOLO se il profilo è incompleto (stessa logica di isParentProfileIncomplete) — prima era sempre presente, puramente decorativo</t>
        </is>
      </c>
      <c r="G143" s="35" t="inlineStr">
        <is>
          <t>DA TESTARE</t>
        </is>
      </c>
      <c r="H143" s="35" t="n"/>
      <c r="I143" s="35" t="inlineStr">
        <is>
          <t>Media</t>
        </is>
      </c>
      <c r="J143" s="35" t="n"/>
      <c r="K143" s="36" t="n"/>
      <c r="L143" s="36" t="n"/>
    </row>
    <row r="144">
      <c r="A144" s="34" t="inlineStr">
        <is>
          <t>TC-143</t>
        </is>
      </c>
      <c r="B144" s="35" t="inlineStr">
        <is>
          <t>Genitori - Home</t>
        </is>
      </c>
      <c r="C144" s="35" t="inlineStr">
        <is>
          <t>Gli avatar bambino in 'Per bambino' mostrano la foto reale</t>
        </is>
      </c>
      <c r="D144" s="35" t="inlineStr">
        <is>
          <t>Bambino con avatar_url impostato</t>
        </is>
      </c>
      <c r="E144" s="35" t="inlineStr">
        <is>
          <t>Apri Home &gt; Per bambino, osserva l'avatar del bambino</t>
        </is>
      </c>
      <c r="F144" s="35" t="inlineStr">
        <is>
          <t>Mostra la foto caricata, non solo emoji+colore; l'anello di selezione non la taglia</t>
        </is>
      </c>
      <c r="G144" s="35" t="inlineStr">
        <is>
          <t>DA TESTARE</t>
        </is>
      </c>
      <c r="H144" s="35" t="n"/>
      <c r="I144" s="35" t="inlineStr">
        <is>
          <t>Media</t>
        </is>
      </c>
      <c r="J144" s="35" t="n"/>
      <c r="K144" s="36" t="n"/>
      <c r="L144" s="36"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c r="A145" s="34" t="inlineStr">
        <is>
          <t>TC-144</t>
        </is>
      </c>
      <c r="B145" s="35" t="inlineStr">
        <is>
          <t>Gestore - Account</t>
        </is>
      </c>
      <c r="C145" s="35" t="inlineStr">
        <is>
          <t>Badge profilo in alto a destra e logout spostato in 'Il mio account'</t>
        </is>
      </c>
      <c r="D145" s="35" t="inlineStr">
        <is>
          <t>Login gestore</t>
        </is>
      </c>
      <c r="E145" s="35" t="inlineStr">
        <is>
          <t>Apri /center, osserva sidebar/header; clicca il badge profilo</t>
        </is>
      </c>
      <c r="F145" s="35" t="inlineStr">
        <is>
          <t>Nessun logout persistente in sidebar/header; il badge porta a /center/account, dove si trova 'Esci dall'account'</t>
        </is>
      </c>
      <c r="G145" s="35" t="inlineStr">
        <is>
          <t>DA TESTARE</t>
        </is>
      </c>
      <c r="H145" s="35" t="n"/>
      <c r="I145" s="35" t="inlineStr">
        <is>
          <t>Alta</t>
        </is>
      </c>
      <c r="J145" s="35" t="n"/>
      <c r="K145" s="36" t="n"/>
      <c r="L145" s="36" t="n"/>
    </row>
    <row r="146">
      <c r="A146" s="21" t="inlineStr">
        <is>
          <t>TC-147</t>
        </is>
      </c>
      <c r="B146" s="21" t="inlineStr">
        <is>
          <t>Genitori - Profilo</t>
        </is>
      </c>
      <c r="C146" s="21" t="inlineStr">
        <is>
          <t>Notifiche (email/push/SMS) persistono</t>
        </is>
      </c>
      <c r="D146" s="21" t="inlineStr">
        <is>
          <t>Genitore loggato</t>
        </is>
      </c>
      <c r="E146" s="21" t="inlineStr">
        <is>
          <t>Vai su /profile/notifiche -&gt; attiva 'Notifiche SMS' -&gt; ricarica</t>
        </is>
      </c>
      <c r="F146" s="21" t="inlineStr">
        <is>
          <t>Lo stato si salva subito e resta dopo il reload</t>
        </is>
      </c>
      <c r="G146" s="21" t="inlineStr">
        <is>
          <t>DA TESTARE</t>
        </is>
      </c>
      <c r="H146" s="21">
        <f>IF(G146="BUG","BUG-"&amp;A146,IF(G146="FUNCTIONAL","FUNCTIONAL-"&amp;A146,""))</f>
        <v/>
      </c>
      <c r="I146" s="21" t="inlineStr">
        <is>
          <t>Media</t>
        </is>
      </c>
      <c r="L146" s="21" t="inlineStr">
        <is>
          <t>NUOVA sotto-pagina: assorbe la parte 'notifiche' del precedente TC-134 (ora su pagina separata da Preferenze).</t>
        </is>
      </c>
    </row>
    <row r="147">
      <c r="A147" s="21" t="inlineStr">
        <is>
          <t>TC-148</t>
        </is>
      </c>
      <c r="B147" s="21" t="inlineStr">
        <is>
          <t>Genitori - Profilo</t>
        </is>
      </c>
      <c r="C147" s="21" t="inlineStr">
        <is>
          <t>Le voci di Impostazioni aprono le sotto-pagine dedicate</t>
        </is>
      </c>
      <c r="D147" s="21" t="inlineStr">
        <is>
          <t>Genitore loggato</t>
        </is>
      </c>
      <c r="E147" s="21" t="inlineStr">
        <is>
          <t>Su /profile, clicca 'Sicurezza' nel menu Impostazioni -&gt; verifica URL e contenuto -&gt; premi Indietro</t>
        </is>
      </c>
      <c r="F147" s="21" t="inlineStr">
        <is>
          <t>Si apre /profile/sicurezza con il form password; 'Indietro' torna a /profile</t>
        </is>
      </c>
      <c r="G147" s="21" t="inlineStr">
        <is>
          <t>DA TESTARE</t>
        </is>
      </c>
      <c r="H147" s="21">
        <f>IF(G147="BUG","BUG-"&amp;A147,IF(G147="FUNCTIONAL","FUNCTIONAL-"&amp;A147,""))</f>
        <v/>
      </c>
      <c r="I147" s="21" t="inlineStr">
        <is>
          <t>Alta</t>
        </is>
      </c>
      <c r="L147" s="21"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c r="A148" s="21" t="inlineStr">
        <is>
          <t>TC-149</t>
        </is>
      </c>
      <c r="B148" s="21" t="inlineStr">
        <is>
          <t>Gestore - Registro presenze</t>
        </is>
      </c>
      <c r="C148" s="21" t="inlineStr">
        <is>
          <t>Riepilogo 'arrivati su prenotati' del giorno</t>
        </is>
      </c>
      <c r="D148" s="21" t="inlineStr">
        <is>
          <t>Gestore loggato, prenotazione fixture presente</t>
        </is>
      </c>
      <c r="E148" s="21" t="inlineStr">
        <is>
          <t>Apri /center/attendance -&gt; seleziona l'attivita' di test -&gt; marca un bambino presente</t>
        </is>
      </c>
      <c r="F148" s="21" t="inlineStr">
        <is>
          <t>Il riepilogo 'N presenti su M prenotati' si aggiorna in tempo reale</t>
        </is>
      </c>
      <c r="G148" s="21" t="inlineStr">
        <is>
          <t>DA TESTARE</t>
        </is>
      </c>
      <c r="H148" s="21">
        <f>IF(G148="BUG","BUG-"&amp;A148,IF(G148="FUNCTIONAL","FUNCTIONAL-"&amp;A148,""))</f>
        <v/>
      </c>
      <c r="I148" s="21" t="inlineStr">
        <is>
          <t>Media</t>
        </is>
      </c>
      <c r="L148" s="21"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c r="A149" s="21" t="inlineStr">
        <is>
          <t>TC-150</t>
        </is>
      </c>
      <c r="B149" s="21" t="inlineStr">
        <is>
          <t>Genitori - Profilo</t>
        </is>
      </c>
      <c r="C149" s="21" t="inlineStr">
        <is>
          <t>Il menu 'Scatta foto/Galleria' resta nel viewport</t>
        </is>
      </c>
      <c r="D149" s="21" t="inlineStr">
        <is>
          <t>Genitore loggato, viewport mobile (375px)</t>
        </is>
      </c>
      <c r="E149" s="21" t="inlineStr">
        <is>
          <t>Su /profile, clicca l'icona fotocamera sull'avatar</t>
        </is>
      </c>
      <c r="F149" s="21" t="inlineStr">
        <is>
          <t>Il riquadro del menu non sporge oltre i bordi orizzontali del viewport</t>
        </is>
      </c>
      <c r="G149" s="21" t="inlineStr">
        <is>
          <t>BUG</t>
        </is>
      </c>
      <c r="H149" s="21">
        <f>IF(G149="BUG","BUG-"&amp;A149,IF(G149="FUNCTIONAL","FUNCTIONAL-"&amp;A149,""))</f>
        <v/>
      </c>
      <c r="I149" s="21" t="inlineStr">
        <is>
          <t>Bassa</t>
        </is>
      </c>
      <c r="K149" s="21" t="inlineStr">
        <is>
          <t>RISOLTO</t>
        </is>
      </c>
      <c r="L149" s="21"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c r="A150" s="21" t="inlineStr">
        <is>
          <t>TC-151</t>
        </is>
      </c>
      <c r="B150" s="21" t="inlineStr">
        <is>
          <t>Genitori - Home</t>
        </is>
      </c>
      <c r="C150" s="21" t="inlineStr">
        <is>
          <t>Check-in MVP: 'e' arrivato/a?' (Si/In ritardo/No)</t>
        </is>
      </c>
      <c r="D150" s="21" t="inlineStr">
        <is>
          <t>Genitore loggato, prenotazione con settimana che copre oggi</t>
        </is>
      </c>
      <c r="E150" s="21" t="inlineStr">
        <is>
          <t>Su Home, rispondi alla card di check-in del bambino -&gt; ricarica</t>
        </is>
      </c>
      <c r="F150" s="21" t="inlineStr">
        <is>
          <t>La risposta si salva subito e resta dopo il reload; 'Siamo in ritardo' avvisa il centro via email</t>
        </is>
      </c>
      <c r="G150" s="21" t="inlineStr">
        <is>
          <t>DA TESTARE</t>
        </is>
      </c>
      <c r="H150" s="21">
        <f>IF(G150="BUG","BUG-"&amp;A150,IF(G150="FUNCTIONAL","FUNCTIONAL-"&amp;A150,""))</f>
        <v/>
      </c>
      <c r="I150" s="21" t="inlineStr">
        <is>
          <t>Alta</t>
        </is>
      </c>
      <c r="L150" s="21"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c r="A151" s="21" t="inlineStr">
        <is>
          <t>TC-152</t>
        </is>
      </c>
      <c r="B151" s="21" t="inlineStr">
        <is>
          <t>Gestore - Registro presenze</t>
        </is>
      </c>
      <c r="C151" s="21" t="inlineStr">
        <is>
          <t>Lo stato 'in ritardo' del check-in genitore e' visibile e correggibile</t>
        </is>
      </c>
      <c r="D151" s="21" t="inlineStr">
        <is>
          <t>Genitore ha risposto 'Siamo in ritardo' per oggi</t>
        </is>
      </c>
      <c r="E151" s="21" t="inlineStr">
        <is>
          <t>Il gestore apre /center/attendance -&gt; trova il bambino con badge 'Segnalato dal genitore' -&gt; corregge lo stato</t>
        </is>
      </c>
      <c r="F151" s="21" t="inlineStr">
        <is>
          <t>Il badge e lo stato 'In ritardo' sono visibili; la correzione del gestore aggiorna lo stato e rimuove il badge</t>
        </is>
      </c>
      <c r="G151" s="21" t="inlineStr">
        <is>
          <t>DA TESTARE</t>
        </is>
      </c>
      <c r="H151" s="21">
        <f>IF(G151="BUG","BUG-"&amp;A151,IF(G151="FUNCTIONAL","FUNCTIONAL-"&amp;A151,""))</f>
        <v/>
      </c>
      <c r="I151" s="21" t="inlineStr">
        <is>
          <t>Alta</t>
        </is>
      </c>
      <c r="L151" s="21"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c r="A152" s="21" t="inlineStr">
        <is>
          <t>TC-153</t>
        </is>
      </c>
      <c r="B152" s="21" t="inlineStr">
        <is>
          <t>Genitori - Home (Planner/Per Bambino)</t>
        </is>
      </c>
      <c r="C152" s="21" t="inlineStr">
        <is>
          <t>Colore del chip bambino selezionato nel Planner coerente col resto dell'app</t>
        </is>
      </c>
      <c r="D152" s="21" t="inlineStr">
        <is>
          <t>Almeno 2 bambini nel profilo</t>
        </is>
      </c>
      <c r="E152" s="21" t="inlineStr">
        <is>
          <t>Nel Planner, seleziona un bambino specifico dal selettore 'Tutti / [nome]'</t>
        </is>
      </c>
      <c r="F152" s="21" t="inlineStr">
        <is>
          <t>Il chip selezionato usa il colore accento di quel bambino (lo stesso dell'anello avatar in 'Per bambino'), non un nero fisso</t>
        </is>
      </c>
      <c r="G152" s="21" t="inlineStr">
        <is>
          <t>DA TESTARE</t>
        </is>
      </c>
      <c r="H152" s="21">
        <f>IF(G152="BUG","BUG-"&amp;A152,IF(G152="FUNCTIONAL","FUNCTIONAL-"&amp;A152,""))</f>
        <v/>
      </c>
      <c r="I152" s="21" t="inlineStr">
        <is>
          <t>Bassa</t>
        </is>
      </c>
      <c r="K152" s="21" t="inlineStr">
        <is>
          <t>RISOLTO</t>
        </is>
      </c>
      <c r="L152" s="21"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c r="A153" s="21" t="inlineStr">
        <is>
          <t>TC-154</t>
        </is>
      </c>
      <c r="B153" s="21" t="inlineStr">
        <is>
          <t>Genitori - Home (Planner/Per Bambino)</t>
        </is>
      </c>
      <c r="C153" s="21" t="inlineStr">
        <is>
          <t>Settimana con copertura parziale (alcuni bambini si, altri no) distinguibile e completabile</t>
        </is>
      </c>
      <c r="D153" s="21" t="inlineStr">
        <is>
          <t>Almeno 2 bambini, una settimana coperta solo per uno di loro</t>
        </is>
      </c>
      <c r="E153" s="21" t="inlineStr">
        <is>
          <t>Apri il Planner in vista 'Tutti': osserva una settimana coperta solo per un bambino</t>
        </is>
      </c>
      <c r="F153" s="21" t="inlineStr">
        <is>
          <t>La riga ha uno sfondo distinto (non uguale alle settimane pienamente coperte) e mostra una CTA 'Aggiungi [nome]' per ciascun bambino ancora scoperto, che porta dritto alla prenotazione della stessa attivita'/settimana</t>
        </is>
      </c>
      <c r="G153" s="21" t="inlineStr">
        <is>
          <t>DA TESTARE</t>
        </is>
      </c>
      <c r="H153" s="21">
        <f>IF(G153="BUG","BUG-"&amp;A153,IF(G153="FUNCTIONAL","FUNCTIONAL-"&amp;A153,""))</f>
        <v/>
      </c>
      <c r="I153" s="21" t="inlineStr">
        <is>
          <t>Alta</t>
        </is>
      </c>
      <c r="K153" s="21" t="inlineStr">
        <is>
          <t>RISOLTO</t>
        </is>
      </c>
      <c r="L153" s="21"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c r="A154" s="21" t="inlineStr">
        <is>
          <t>TC-155</t>
        </is>
      </c>
      <c r="B154" s="21" t="inlineStr">
        <is>
          <t>Genitori - Home (Planner/Per Bambino)</t>
        </is>
      </c>
      <c r="C154" s="21" t="inlineStr">
        <is>
          <t>'Per riempire la settimana N' sceglie la settimana prioritaria, non la prima scoperta</t>
        </is>
      </c>
      <c r="D154" s="21" t="inlineStr">
        <is>
          <t>Planner con almeno una settimana scoperta tra due coperte (o all'inizio/fine)</t>
        </is>
      </c>
      <c r="E154" s="21" t="inlineStr">
        <is>
          <t>Apri il Planner, osserva quale settimana viene proposta sotto 'Per riempire la settimana N'</t>
        </is>
      </c>
      <c r="F154" s="21" t="inlineStr">
        <is>
          <t>Viene proposta la settimana 'a buco' (scoperta, con coperture sia prima che dopo nella stagione) come priorita'; solo in assenza di un buco si torna alla prima scoperta in ordine cronologico</t>
        </is>
      </c>
      <c r="G154" s="21" t="inlineStr">
        <is>
          <t>DA TESTARE</t>
        </is>
      </c>
      <c r="H154" s="21">
        <f>IF(G154="BUG","BUG-"&amp;A154,IF(G154="FUNCTIONAL","FUNCTIONAL-"&amp;A154,""))</f>
        <v/>
      </c>
      <c r="I154" s="21" t="inlineStr">
        <is>
          <t>Media</t>
        </is>
      </c>
      <c r="K154" s="21" t="inlineStr">
        <is>
          <t>RISOLTO</t>
        </is>
      </c>
      <c r="L154" s="21"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c r="A155" s="21" t="inlineStr">
        <is>
          <t>TC-156</t>
        </is>
      </c>
      <c r="B155" s="21" t="inlineStr">
        <is>
          <t>Genitori - Home (Planner/Per Bambino)</t>
        </is>
      </c>
      <c r="C155" s="21" t="inlineStr">
        <is>
          <t>Suggerimenti 'Per riempire' filtrati per disponibilita' reale e preferenze del bambino</t>
        </is>
      </c>
      <c r="D155" s="21" t="inlineStr">
        <is>
          <t>Settimana da riempire con attivita' disponibili in quella settimana; bambino con preferenze impostate nel profilo</t>
        </is>
      </c>
      <c r="E155" s="21" t="inlineStr">
        <is>
          <t>Apri il Planner, osserva le card suggerite sotto 'Per riempire la settimana N'</t>
        </is>
      </c>
      <c r="F155" s="21" t="inlineStr">
        <is>
          <t>Compaiono SOLO attivita' con posti liberi reali in quella settimana (activity_weeks.spots_left &gt; 0) e, se un bambino e' selezionato, che rientrano nelle sue preferenze (kid.interests)</t>
        </is>
      </c>
      <c r="G155" s="21" t="inlineStr">
        <is>
          <t>DA TESTARE</t>
        </is>
      </c>
      <c r="H155" s="21">
        <f>IF(G155="BUG","BUG-"&amp;A155,IF(G155="FUNCTIONAL","FUNCTIONAL-"&amp;A155,""))</f>
        <v/>
      </c>
      <c r="I155" s="21" t="inlineStr">
        <is>
          <t>Alta</t>
        </is>
      </c>
      <c r="K155" s="21" t="inlineStr">
        <is>
          <t>RISOLTO</t>
        </is>
      </c>
      <c r="L155" s="21"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c r="A156" s="21" t="inlineStr">
        <is>
          <t>TC-158</t>
        </is>
      </c>
      <c r="B156" s="21" t="inlineStr">
        <is>
          <t>Genitori - Cerca</t>
        </is>
      </c>
      <c r="C156" s="21" t="inlineStr">
        <is>
          <t>Filtri Data e preferenze bambino pre-applicati arrivando dal Planner</t>
        </is>
      </c>
      <c r="D156" s="21" t="inlineStr">
        <is>
          <t>Arrivo da Home -&gt; Planner -&gt; 'Riempi' (o CTA inline 'Per riempire la settimana N') con un bambino selezionato</t>
        </is>
      </c>
      <c r="E156" s="21" t="inlineStr">
        <is>
          <t>Clicca 'Riempi' su una settimana scoperta, o la scritta 'Per riempire la settimana N'</t>
        </is>
      </c>
      <c r="F156" s="21" t="inlineStr">
        <is>
          <t>Si apre Cerca con il filtro Data gia' impostato sulla settimana richiesta e, se un bambino era selezionato, anche le sue preferenze; un banner mostra 'Stai cercando per la Settimana N' + 'preferenze di [nome]', con 'Rimuovi' che azzera entrambi insieme</t>
        </is>
      </c>
      <c r="G156" s="21" t="inlineStr">
        <is>
          <t>DA TESTARE</t>
        </is>
      </c>
      <c r="H156" s="21">
        <f>IF(G156="BUG","BUG-"&amp;A156,IF(G156="FUNCTIONAL","FUNCTIONAL-"&amp;A156,""))</f>
        <v/>
      </c>
      <c r="I156" s="21" t="inlineStr">
        <is>
          <t>Alta</t>
        </is>
      </c>
      <c r="K156" s="21" t="inlineStr">
        <is>
          <t>RISOLTO</t>
        </is>
      </c>
      <c r="L156" s="21" t="inlineStr">
        <is>
          <t>NUOVA FUNZIONALITA' (Fabrizio: 'cliccando sulla scritta... deve esserci la sezione Cerca con i filtri pre-applicati - preferenze bambino, date'). Vedi SearchClient.tsx (weekParam/kidParam) e PlannerView.tsx (link con ?week=&amp;kid=).</t>
        </is>
      </c>
    </row>
    <row r="157">
      <c r="A157" s="21" t="inlineStr">
        <is>
          <t>TC-159</t>
        </is>
      </c>
      <c r="B157" s="21" t="inlineStr">
        <is>
          <t>Genitori - Prenotazione</t>
        </is>
      </c>
      <c r="C157" s="21" t="inlineStr">
        <is>
          <t>La freccia indietro annulla lo step corrente invece di uscire dal flusso</t>
        </is>
      </c>
      <c r="D157" s="21" t="inlineStr">
        <is>
          <t>Attivita' di test con almeno una settimana selezionabile</t>
        </is>
      </c>
      <c r="E157" s="21" t="inlineStr">
        <is>
          <t>In Prenotazione, avanza allo step 2 o 3, poi clicca la freccia indietro dell'header</t>
        </is>
      </c>
      <c r="F157" s="21" t="inlineStr">
        <is>
          <t>Si torna allo step precedente restando su /booking/[id]; solo dal primo step la freccia esce davvero dal flusso (verso la pagina precedente reale)</t>
        </is>
      </c>
      <c r="G157" s="21" t="inlineStr">
        <is>
          <t>DA TESTARE</t>
        </is>
      </c>
      <c r="H157" s="21">
        <f>IF(G157="BUG","BUG-"&amp;A157,IF(G157="FUNCTIONAL","FUNCTIONAL-"&amp;A157,""))</f>
        <v/>
      </c>
      <c r="I157" s="21" t="inlineStr">
        <is>
          <t>Alta</t>
        </is>
      </c>
      <c r="K157" s="21" t="inlineStr">
        <is>
          <t>RISOLTO</t>
        </is>
      </c>
      <c r="L157" s="21"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c r="A158" s="21" t="inlineStr">
        <is>
          <t>TC-160</t>
        </is>
      </c>
      <c r="B158" s="21" t="inlineStr">
        <is>
          <t>Genitori - Attivita</t>
        </is>
      </c>
      <c r="C158" s="21" t="inlineStr">
        <is>
          <t>La freccia indietro dal dettaglio attivita' non porta piu' alla Prenotazione</t>
        </is>
      </c>
      <c r="D158" s="21" t="inlineStr">
        <is>
          <t>Attivita' di test raggiungibile da Cerca</t>
        </is>
      </c>
      <c r="E158" s="21" t="inlineStr">
        <is>
          <t>Apri Cerca -&gt; apri il dettaglio di un'attivita' -&gt; clicca la freccia indietro</t>
        </is>
      </c>
      <c r="F158" s="21" t="inlineStr">
        <is>
          <t>Si torna a Cerca (la pagina da cui si era arrivati), non a /booking/... 'Prenota Ora'</t>
        </is>
      </c>
      <c r="G158" s="21" t="inlineStr">
        <is>
          <t>DA TESTARE</t>
        </is>
      </c>
      <c r="H158" s="21">
        <f>IF(G158="BUG","BUG-"&amp;A158,IF(G158="FUNCTIONAL","FUNCTIONAL-"&amp;A158,""))</f>
        <v/>
      </c>
      <c r="I158" s="21" t="inlineStr">
        <is>
          <t>Alta</t>
        </is>
      </c>
      <c r="K158" s="21" t="inlineStr">
        <is>
          <t>RISOLTO</t>
        </is>
      </c>
      <c r="L158" s="21"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c r="A159" s="21" t="inlineStr">
        <is>
          <t>TC-161</t>
        </is>
      </c>
      <c r="B159" s="21" t="inlineStr">
        <is>
          <t>Genitori - Attivita</t>
        </is>
      </c>
      <c r="C159" s="21" t="inlineStr">
        <is>
          <t>La card attivita' mostra la foto di copertina reale quando presente</t>
        </is>
      </c>
      <c r="D159" s="21" t="inlineStr">
        <is>
          <t>Attivita' con una cover_image_url impostata dal gestore (es. attivita' 'Test' di Fabrizio)</t>
        </is>
      </c>
      <c r="E159" s="21" t="inlineStr">
        <is>
          <t>Apri Cerca o Home e osserva la card dell'attivita' con copertina caricata</t>
        </is>
      </c>
      <c r="F159" s="21" t="inlineStr">
        <is>
          <t>La card mostra la foto di copertina reale, opportunamente ritagliata, al posto della sola emoji su sfondo a gradiente</t>
        </is>
      </c>
      <c r="G159" s="21" t="inlineStr">
        <is>
          <t>DA TESTARE</t>
        </is>
      </c>
      <c r="H159" s="21">
        <f>IF(G159="BUG","BUG-"&amp;A159,IF(G159="FUNCTIONAL","FUNCTIONAL-"&amp;A159,""))</f>
        <v/>
      </c>
      <c r="I159" s="21" t="inlineStr">
        <is>
          <t>Bassa</t>
        </is>
      </c>
      <c r="K159" s="21" t="inlineStr">
        <is>
          <t>RISOLTO</t>
        </is>
      </c>
      <c r="L159" s="21"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c r="A160" s="21" t="inlineStr">
        <is>
          <t>TC-162</t>
        </is>
      </c>
      <c r="B160" s="21" t="inlineStr">
        <is>
          <t>Genitori - Attivita</t>
        </is>
      </c>
      <c r="C160" s="21" t="inlineStr">
        <is>
          <t>'Contatta il gestore' dal dettaglio invia una richiesta visibile in 'Le mie richieste'</t>
        </is>
      </c>
      <c r="D160" s="21" t="inlineStr">
        <is>
          <t>Attivita' di test raggiungibile, genitore loggato</t>
        </is>
      </c>
      <c r="E160" s="21" t="inlineStr">
        <is>
          <t>Apri il dettaglio dell'attivita' -&gt; 'Contatta il gestore' -&gt; scrivi un messaggio -&gt; Invia</t>
        </is>
      </c>
      <c r="F160" s="21" t="inlineStr">
        <is>
          <t>Conferma 'Richiesta inviata' a schermo; il messaggio compare in /richieste ('Le mie richieste') con stato 'In attesa di risposta'</t>
        </is>
      </c>
      <c r="G160" s="21" t="inlineStr">
        <is>
          <t>DA TESTARE</t>
        </is>
      </c>
      <c r="H160" s="21">
        <f>IF(G160="BUG","BUG-"&amp;A160,IF(G160="FUNCTIONAL","FUNCTIONAL-"&amp;A160,""))</f>
        <v/>
      </c>
      <c r="I160" s="21" t="inlineStr">
        <is>
          <t>Alta</t>
        </is>
      </c>
      <c r="L160" s="21"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c r="A161" s="21" t="inlineStr">
        <is>
          <t>TC-163</t>
        </is>
      </c>
      <c r="B161" s="21" t="inlineStr">
        <is>
          <t>Gestore - Le mie richieste</t>
        </is>
      </c>
      <c r="C161" s="21" t="inlineStr">
        <is>
          <t>Il gestore vede e risponde a una richiesta del genitore, che appare in 'Le mie richieste'</t>
        </is>
      </c>
      <c r="D161" s="21" t="inlineStr">
        <is>
          <t>Il genitore ha inviato una richiesta su un'attivita' del centro del gestore</t>
        </is>
      </c>
      <c r="E161" s="21" t="inlineStr">
        <is>
          <t>Login Gestore -&gt; 'Le mie richieste' -&gt; apri la richiesta ricevuta -&gt; scrivi una risposta -&gt; Invia risposta</t>
        </is>
      </c>
      <c r="F161" s="21" t="inlineStr">
        <is>
          <t>La richiesta si sposta da 'Da rispondere' a 'Storico' con stato 'Risposto'; il genitore vede la stessa risposta in /richieste con stato 'Risposta ricevuta'</t>
        </is>
      </c>
      <c r="G161" s="21" t="inlineStr">
        <is>
          <t>DA TESTARE</t>
        </is>
      </c>
      <c r="H161" s="21">
        <f>IF(G161="BUG","BUG-"&amp;A161,IF(G161="FUNCTIONAL","FUNCTIONAL-"&amp;A161,""))</f>
        <v/>
      </c>
      <c r="I161" s="21" t="inlineStr">
        <is>
          <t>Alta</t>
        </is>
      </c>
      <c r="L161" s="21" t="inlineStr">
        <is>
          <t>Completa il ciclo del ticketing semplice richiesto da Fabrizio (vedi TC-162). Test end-to-end con due context browser separati (genitore + gestore), stesso pattern di TC-152.</t>
        </is>
      </c>
    </row>
    <row r="162">
      <c r="A162" s="21" t="inlineStr">
        <is>
          <t>TC-164</t>
        </is>
      </c>
      <c r="B162" s="21" t="inlineStr">
        <is>
          <t>Gestore - Le mie richieste</t>
        </is>
      </c>
      <c r="C162" s="21" t="inlineStr">
        <is>
          <t>Stato vuoto di 'Le mie richieste' lato gestore</t>
        </is>
      </c>
      <c r="D162" s="21" t="inlineStr">
        <is>
          <t>Nessuna richiesta ricevuta per il centro</t>
        </is>
      </c>
      <c r="E162" s="21" t="inlineStr">
        <is>
          <t>Apri /center/richieste senza richieste ricevute</t>
        </is>
      </c>
      <c r="F162" s="21" t="inlineStr">
        <is>
          <t>Mostra 'Nessuna richiesta in attesa di risposta' invece di una lista vuota senza spiegazione</t>
        </is>
      </c>
      <c r="G162" s="21" t="inlineStr">
        <is>
          <t>DA TESTARE</t>
        </is>
      </c>
      <c r="H162" s="21">
        <f>IF(G162="BUG","BUG-"&amp;A162,IF(G162="FUNCTIONAL","FUNCTIONAL-"&amp;A162,""))</f>
        <v/>
      </c>
      <c r="I162" s="21" t="inlineStr">
        <is>
          <t>Media</t>
        </is>
      </c>
      <c r="L162" s="21" t="inlineStr">
        <is>
          <t>Coerente con lo stato vuoto gia' usato in Richieste Gruppo (stesso pattern UI).</t>
        </is>
      </c>
    </row>
    <row r="163">
      <c r="A163" s="21" t="inlineStr">
        <is>
          <t>TC-165</t>
        </is>
      </c>
      <c r="B163" s="21" t="inlineStr">
        <is>
          <t>Gestore - Report presenze</t>
        </is>
      </c>
      <c r="C163" s="21" t="inlineStr">
        <is>
          <t>Il Report presenze mostra le tre sezioni (andamento, per attività, ritardatari)</t>
        </is>
      </c>
      <c r="D163" s="21" t="inlineStr">
        <is>
          <t>Account Gestore di test, almeno un giorno di camp già trascorso per avere dati (altrimenti si vede lo stato vuoto)</t>
        </is>
      </c>
      <c r="E163" s="21" t="inlineStr">
        <is>
          <t>Login Gestore -&gt; 'Report presenze'</t>
        </is>
      </c>
      <c r="F163" s="21" t="inlineStr">
        <is>
          <t>Tre sezioni visibili: grafico 'Andamento nel tempo' (presente/in ritardo/assente per giorno), grafico 'Tasso assenza/ritardo per attività', elenco 'Ritardatari abituali' (bambini con almeno 2 giorni in ritardo/assente, con contatto genitore)</t>
        </is>
      </c>
      <c r="G163" s="21" t="inlineStr">
        <is>
          <t>DA TESTARE</t>
        </is>
      </c>
      <c r="H163" s="21">
        <f>IF(G163="BUG","BUG-"&amp;A163,IF(G163="FUNCTIONAL","FUNCTIONAL-"&amp;A163,""))</f>
        <v/>
      </c>
      <c r="I163" s="21" t="inlineStr">
        <is>
          <t>Media</t>
        </is>
      </c>
      <c r="L163" s="21"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c r="A164" s="21" t="inlineStr">
        <is>
          <t>TC-166</t>
        </is>
      </c>
      <c r="B164" s="21" t="inlineStr">
        <is>
          <t>Gestore - Report presenze</t>
        </is>
      </c>
      <c r="C164" s="21" t="inlineStr">
        <is>
          <t>La voce 'Report presenze' è nel menu Gestione con link funzionante</t>
        </is>
      </c>
      <c r="D164" s="21" t="inlineStr">
        <is>
          <t>Account Gestore di test</t>
        </is>
      </c>
      <c r="E164" s="21" t="inlineStr">
        <is>
          <t>Login Gestore -&gt; apri la sidebar -&gt; clicca 'Report presenze' nella sezione Gestione</t>
        </is>
      </c>
      <c r="F164" s="21" t="inlineStr">
        <is>
          <t>Si apre /center/report-presenze con il titolo 'Report presenze' visibile</t>
        </is>
      </c>
      <c r="G164" s="21" t="inlineStr">
        <is>
          <t>DA TESTARE</t>
        </is>
      </c>
      <c r="H164" s="21">
        <f>IF(G164="BUG","BUG-"&amp;A164,IF(G164="FUNCTIONAL","FUNCTIONAL-"&amp;A164,""))</f>
        <v/>
      </c>
      <c r="I164" s="21" t="inlineStr">
        <is>
          <t>Bassa</t>
        </is>
      </c>
      <c r="L164" s="21" t="inlineStr">
        <is>
          <t>Voce di navigazione aggiunta in app/center/layout.tsx, subito dopo 'Registro presenze'.</t>
        </is>
      </c>
    </row>
    <row r="165">
      <c r="A165" s="21" t="inlineStr">
        <is>
          <t>TC-167</t>
        </is>
      </c>
      <c r="B165" s="21" t="inlineStr">
        <is>
          <t>Genitori - Home</t>
        </is>
      </c>
      <c r="C165" s="21" t="inlineStr">
        <is>
          <t>La card di check-in mostra la foto/copertina e la settimana in corso</t>
        </is>
      </c>
      <c r="D165" s="21" t="inlineStr">
        <is>
          <t>Prenotazione con settimana che copre oggi (vedi tests/cleanup-test-data.mjs)</t>
        </is>
      </c>
      <c r="E165" s="21" t="inlineStr">
        <is>
          <t>Login genitore -&gt; apri Home nel giorno coperto dalla settimana di camp</t>
        </is>
      </c>
      <c r="F165" s="21" t="inlineStr">
        <is>
          <t>La card di check-in mostra un thumbnail (foto di copertina reale o gradiente+emoji) cliccabile verso il dettaglio attivita', con l'etichetta 'Questa settimana · Settimana N' sopra alla domanda '[bambino] e' arrivato/a a [attivita']?'</t>
        </is>
      </c>
      <c r="G165" s="21" t="inlineStr">
        <is>
          <t>DA TESTARE</t>
        </is>
      </c>
      <c r="H165" s="21">
        <f>IF(G165="BUG","BUG-"&amp;A165,IF(G165="FUNCTIONAL","FUNCTIONAL-"&amp;A165,""))</f>
        <v/>
      </c>
      <c r="I165" s="21" t="inlineStr">
        <is>
          <t>Bassa</t>
        </is>
      </c>
      <c r="L165" s="21"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c r="A166" s="21" t="inlineStr">
        <is>
          <t>TC-168</t>
        </is>
      </c>
      <c r="B166" s="21" t="inlineStr">
        <is>
          <t>Genitori - Home (Planner/Per Bambino)</t>
        </is>
      </c>
      <c r="C166" s="21" t="inlineStr">
        <is>
          <t>Le settimane scoperte/escluse nel Planner usano la stessa naming convention delle settimane coperte</t>
        </is>
      </c>
      <c r="D166" s="21" t="inlineStr">
        <is>
          <t>Bambino con almeno una settimana scoperta o esclusa ('Non mi serve')</t>
        </is>
      </c>
      <c r="E166" s="21" t="inlineStr">
        <is>
          <t>Apri Home -&gt; vista Planner -&gt; osserva una riga scoperta ed una esclusa</t>
        </is>
      </c>
      <c r="F166" s="21" t="inlineStr">
        <is>
          <t>Ogni riga mostra 'Settimana N · [intervallo date]' come riga principale (stesso formato usato per le settimane coperte), con lo stato ('scoperta' / 'non ti serve') come riga secondaria sotto</t>
        </is>
      </c>
      <c r="G166" s="21" t="inlineStr">
        <is>
          <t>DA TESTARE</t>
        </is>
      </c>
      <c r="H166" s="21">
        <f>IF(G166="BUG","BUG-"&amp;A166,IF(G166="FUNCTIONAL","FUNCTIONAL-"&amp;A166,""))</f>
        <v/>
      </c>
      <c r="I166" s="21" t="inlineStr">
        <is>
          <t>Bassa</t>
        </is>
      </c>
      <c r="L166" s="21" t="inlineStr">
        <is>
          <t>NUOVA FUNZIONALITA' (Fabrizio: 'le settimane ripristinate o escluse devono avere la stessa naming convention Settimana X - Mese giornoinizio-giornofine'). Vedi PlannerView.tsx. Il testo di stato resta minuscolo per non rompere la regex gia' usata da TC-103.</t>
        </is>
      </c>
    </row>
    <row r="167">
      <c r="A167" s="21" t="inlineStr">
        <is>
          <t>TC-169</t>
        </is>
      </c>
      <c r="B167" s="21" t="inlineStr">
        <is>
          <t>Genitori - Cerca</t>
        </is>
      </c>
      <c r="C167" s="21" t="inlineStr">
        <is>
          <t>Filtro 'Tipo attivita'' selezionabile a mano e azzerabile con la X</t>
        </is>
      </c>
      <c r="D167" s="21" t="inlineStr">
        <is>
          <t>Nessuna</t>
        </is>
      </c>
      <c r="E167" s="21" t="inlineStr">
        <is>
          <t>Apri Cerca -&gt; clicca il chip 'Tipo attivita'' -&gt; seleziona una categoria</t>
        </is>
      </c>
      <c r="F167" s="21" t="inlineStr">
        <is>
          <t>Il chip mostra 'Tipo attivita' (1)', la lista si filtra di conseguenza, e la X sul chip azzera solo questo filtro senza toccare gli altri</t>
        </is>
      </c>
      <c r="G167" s="21" t="inlineStr">
        <is>
          <t>DA TESTARE</t>
        </is>
      </c>
      <c r="H167" s="21">
        <f>IF(G167="BUG","BUG-"&amp;A167,IF(G167="FUNCTIONAL","FUNCTIONAL-"&amp;A167,""))</f>
        <v/>
      </c>
      <c r="I167" s="21" t="inlineStr">
        <is>
          <t>Media</t>
        </is>
      </c>
      <c r="L167" s="21"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c r="A168" s="21" t="inlineStr">
        <is>
          <t>TC-170</t>
        </is>
      </c>
      <c r="B168" s="21" t="inlineStr">
        <is>
          <t>Genitori - Cerca</t>
        </is>
      </c>
      <c r="C168" s="21" t="inlineStr">
        <is>
          <t>La vista Mappa usa uno stile 'light' invece dello standard OSM</t>
        </is>
      </c>
      <c r="D168" s="21" t="inlineStr">
        <is>
          <t>Nessuna</t>
        </is>
      </c>
      <c r="E168" s="21" t="inlineStr">
        <is>
          <t>Apri Cerca -&gt; passa alla vista 'Mappa'</t>
        </is>
      </c>
      <c r="F168" s="21" t="inlineStr">
        <is>
          <t>Le tile della mappa sono in stile 'light' (CartoDB Positron), non lo standard OpenStreetMap colorato</t>
        </is>
      </c>
      <c r="G168" s="21" t="inlineStr">
        <is>
          <t>DA TESTARE</t>
        </is>
      </c>
      <c r="H168" s="21">
        <f>IF(G168="BUG","BUG-"&amp;A168,IF(G168="FUNCTIONAL","FUNCTIONAL-"&amp;A168,""))</f>
        <v/>
      </c>
      <c r="I168" s="21" t="inlineStr">
        <is>
          <t>Bassa</t>
        </is>
      </c>
      <c r="L168" s="21" t="inlineStr">
        <is>
          <t>NUOVA FUNZIONALITA' (Fabrizio: 'le mappe si possono mettere in versione light tipo maps standard per alleggerire la vista?'). Vedi ActivityMap.tsx (TileLayer CartoDB Positron al posto delle tile OSM standard, nessuna API key richiesta).</t>
        </is>
      </c>
    </row>
    <row r="169">
      <c r="A169" s="21" t="inlineStr">
        <is>
          <t>TC-171</t>
        </is>
      </c>
      <c r="B169" s="21" t="inlineStr">
        <is>
          <t>Genitori - Profilo</t>
        </is>
      </c>
      <c r="C169" s="21" t="inlineStr">
        <is>
          <t>'Modifica ritaglio' riapre il crop sulla foto profilo gia' caricata</t>
        </is>
      </c>
      <c r="D169" s="21" t="inlineStr">
        <is>
          <t>Genitore con una foto profilo gia' caricata (vedi TC-113)</t>
        </is>
      </c>
      <c r="E169" s="21" t="inlineStr">
        <is>
          <t>Apri Profilo -&gt; menu foto -&gt; 'Modifica ritaglio'</t>
        </is>
      </c>
      <c r="F169" s="21" t="inlineStr">
        <is>
          <t>Si riapre il modal di ritaglio partendo dalla foto gia' caricata (non richiede di sceglierne una nuova), con zoom e centratura disponibili come nel primo upload</t>
        </is>
      </c>
      <c r="G169" s="21" t="inlineStr">
        <is>
          <t>DA TESTARE</t>
        </is>
      </c>
      <c r="H169" s="21">
        <f>IF(G169="BUG","BUG-"&amp;A169,IF(G169="FUNCTIONAL","FUNCTIONAL-"&amp;A169,""))</f>
        <v/>
      </c>
      <c r="I169" s="21" t="inlineStr">
        <is>
          <t>Media</t>
        </is>
      </c>
      <c r="L169" s="21"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c r="A170" s="21" t="inlineStr">
        <is>
          <t>TC-172</t>
        </is>
      </c>
      <c r="B170" s="21" t="inlineStr">
        <is>
          <t>Genitori - Profilo</t>
        </is>
      </c>
      <c r="C170" s="21" t="inlineStr">
        <is>
          <t>'Le mie prenotazioni' mostra l'elenco reale o lo stato vuoto</t>
        </is>
      </c>
      <c r="D170" s="21" t="inlineStr">
        <is>
          <t>Nessuna (gestisce anche il caso senza prenotazioni)</t>
        </is>
      </c>
      <c r="E170" s="21" t="inlineStr">
        <is>
          <t>Apri Profilo -&gt; 'Le mie prenotazioni'</t>
        </is>
      </c>
      <c r="F170" s="21" t="inlineStr">
        <is>
          <t>Si apre /prenotazioni con l'elenco reale delle prenotazioni (stato, settimane, bambini, prezzo con eventuale sconto barrato) oppure, se non ce ne sono, un messaggio di stato vuoto invece di una lista bianca</t>
        </is>
      </c>
      <c r="G170" s="21" t="inlineStr">
        <is>
          <t>DA TESTARE</t>
        </is>
      </c>
      <c r="H170" s="21">
        <f>IF(G170="BUG","BUG-"&amp;A170,IF(G170="FUNCTIONAL","FUNCTIONAL-"&amp;A170,""))</f>
        <v/>
      </c>
      <c r="I170" s="21" t="inlineStr">
        <is>
          <t>Alta</t>
        </is>
      </c>
      <c r="L170" s="21"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c r="A171" s="21" t="inlineStr">
        <is>
          <t>TC-173</t>
        </is>
      </c>
      <c r="B171" s="21" t="inlineStr">
        <is>
          <t>Genitori - Attivita</t>
        </is>
      </c>
      <c r="C171" s="21" t="inlineStr">
        <is>
          <t>'Preferiti' nel profilo elenca le attivita' salvate</t>
        </is>
      </c>
      <c r="D171" s="21" t="inlineStr">
        <is>
          <t>Almeno un'attivita' salvata nei Preferiti (vedi TC-026)</t>
        </is>
      </c>
      <c r="E171" s="21" t="inlineStr">
        <is>
          <t>Salva un'attivita' dal cuore nel dettaglio -&gt; apri Profilo -&gt; 'Preferiti'</t>
        </is>
      </c>
      <c r="F171" s="21" t="inlineStr">
        <is>
          <t>L'attivita' salvata compare nella lista 'Preferiti'; se nessuna attivita' e' salvata, mostra lo stato vuoto invece di una lista bianca</t>
        </is>
      </c>
      <c r="G171" s="21" t="inlineStr">
        <is>
          <t>DA TESTARE</t>
        </is>
      </c>
      <c r="H171" s="21">
        <f>IF(G171="BUG","BUG-"&amp;A171,IF(G171="FUNCTIONAL","FUNCTIONAL-"&amp;A171,""))</f>
        <v/>
      </c>
      <c r="I171" s="21" t="inlineStr">
        <is>
          <t>Media</t>
        </is>
      </c>
      <c r="L171" s="21"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c r="A172" s="21" t="inlineStr">
        <is>
          <t>TC-174</t>
        </is>
      </c>
      <c r="B172" s="21" t="inlineStr">
        <is>
          <t>Genitori - Profilo</t>
        </is>
      </c>
      <c r="C172" s="21" t="inlineStr">
        <is>
          <t>Lingua e Tema mostrano il badge 'Non ancora attivo'; le Notifiche sono dentro Preferenze</t>
        </is>
      </c>
      <c r="D172" s="21" t="inlineStr">
        <is>
          <t>Nessuna</t>
        </is>
      </c>
      <c r="E172" s="21" t="inlineStr">
        <is>
          <t>Apri Profilo -&gt; Preferenze</t>
        </is>
      </c>
      <c r="F172" s="21"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1" t="inlineStr">
        <is>
          <t>DA TESTARE</t>
        </is>
      </c>
      <c r="H172" s="21">
        <f>IF(G172="BUG","BUG-"&amp;A172,IF(G172="FUNCTIONAL","FUNCTIONAL-"&amp;A172,""))</f>
        <v/>
      </c>
      <c r="I172" s="21" t="inlineStr">
        <is>
          <t>Bassa</t>
        </is>
      </c>
      <c r="L172" s="21"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c r="A173" s="21" t="inlineStr">
        <is>
          <t>TC-175</t>
        </is>
      </c>
      <c r="B173" s="21" t="inlineStr">
        <is>
          <t>Admin - Nuovi pannelli</t>
        </is>
      </c>
      <c r="C173" s="21" t="inlineStr">
        <is>
          <t>'Richieste (SLA)' mostra l'aggregato di tutti i centri</t>
        </is>
      </c>
      <c r="D173" s="21" t="inlineStr">
        <is>
          <t>Account Admin piattaforma di test</t>
        </is>
      </c>
      <c r="E173" s="21" t="inlineStr">
        <is>
          <t>Login Admin -&gt; 'Richieste (SLA)'</t>
        </is>
      </c>
      <c r="F173" s="21" t="inlineStr">
        <is>
          <t>Tabella con un centro per riga: totale richieste, aperte, tempo medio di risposta, eta' della richiesta aperta piu' vecchia; stato vuoto se non ci sono ancora richieste</t>
        </is>
      </c>
      <c r="G173" s="21" t="inlineStr">
        <is>
          <t>DA TESTARE</t>
        </is>
      </c>
      <c r="H173" s="21">
        <f>IF(G173="BUG","BUG-"&amp;A173,IF(G173="FUNCTIONAL","FUNCTIONAL-"&amp;A173,""))</f>
        <v/>
      </c>
      <c r="I173" s="21" t="inlineStr">
        <is>
          <t>Media</t>
        </is>
      </c>
      <c r="L173" s="21"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c r="A174" s="21" t="inlineStr">
        <is>
          <t>TC-176</t>
        </is>
      </c>
      <c r="B174" s="21" t="inlineStr">
        <is>
          <t>Admin - Nuovi pannelli</t>
        </is>
      </c>
      <c r="C174" s="21" t="inlineStr">
        <is>
          <t>'Presenze' confronta il tasso di assenza/ritardo tra centri</t>
        </is>
      </c>
      <c r="D174" s="21" t="inlineStr">
        <is>
          <t>Account Admin piattaforma di test</t>
        </is>
      </c>
      <c r="E174" s="21" t="inlineStr">
        <is>
          <t>Login Admin -&gt; 'Presenze'</t>
        </is>
      </c>
      <c r="F174" s="21" t="inlineStr">
        <is>
          <t>Tabella con un centro per riga: giorni registrati, assenze, ritardi, tasso assenza/ritardo, scostamento dalla media piattaforma (evidenziato in rosso se molto sopra media); stato vuoto se non ci sono ancora presenze registrate</t>
        </is>
      </c>
      <c r="G174" s="21" t="inlineStr">
        <is>
          <t>DA TESTARE</t>
        </is>
      </c>
      <c r="H174" s="21">
        <f>IF(G174="BUG","BUG-"&amp;A174,IF(G174="FUNCTIONAL","FUNCTIONAL-"&amp;A174,""))</f>
        <v/>
      </c>
      <c r="I174" s="21" t="inlineStr">
        <is>
          <t>Media</t>
        </is>
      </c>
      <c r="L174" s="21"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c r="A175" s="21" t="inlineStr">
        <is>
          <t>TC-177</t>
        </is>
      </c>
      <c r="B175" s="21" t="inlineStr">
        <is>
          <t>Admin - Nuovi pannelli</t>
        </is>
      </c>
      <c r="C175" s="21" t="inlineStr">
        <is>
          <t>'Preferiti' elenca le attivita' con interesse alto e conversione bassa</t>
        </is>
      </c>
      <c r="D175" s="21" t="inlineStr">
        <is>
          <t>Account Admin piattaforma di test</t>
        </is>
      </c>
      <c r="E175" s="21" t="inlineStr">
        <is>
          <t>Login Admin -&gt; 'Preferiti'</t>
        </is>
      </c>
      <c r="F175" s="21" t="inlineStr">
        <is>
          <t>Tabella con attivita', centro, numero preferiti, numero prenotazioni ed etichetta 'Mai prenotata'/'Interesse alto' quando pertinente; stato vuoto se non ci sono ancora preferiti salvati</t>
        </is>
      </c>
      <c r="G175" s="21" t="inlineStr">
        <is>
          <t>DA TESTARE</t>
        </is>
      </c>
      <c r="H175" s="21">
        <f>IF(G175="BUG","BUG-"&amp;A175,IF(G175="FUNCTIONAL","FUNCTIONAL-"&amp;A175,""))</f>
        <v/>
      </c>
      <c r="I175" s="21" t="inlineStr">
        <is>
          <t>Bassa</t>
        </is>
      </c>
      <c r="L175" s="21"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c r="A176" s="21" t="inlineStr">
        <is>
          <t>TC-178</t>
        </is>
      </c>
      <c r="B176" s="21" t="inlineStr">
        <is>
          <t>Gestore - Le mie richieste</t>
        </is>
      </c>
      <c r="C176" s="21" t="inlineStr">
        <is>
          <t>Pallino 'non letta' + selezione multipla + segna come letta/da leggere (genitore e gestore)</t>
        </is>
      </c>
      <c r="D176" s="21" t="inlineStr">
        <is>
          <t>Nessuna</t>
        </is>
      </c>
      <c r="E176" s="21" t="inlineStr">
        <is>
          <t>Genitore invia una richiesta -&gt; gestore la vede con il pallino rosso -&gt; selezionala -&gt; 'Segna come lette' -&gt; gestore risponde -&gt; genitore vede la risposta col pallino rosso -&gt; selezionala -&gt; 'Segna come lette'</t>
        </is>
      </c>
      <c r="F176" s="21" t="inlineStr">
        <is>
          <t>Il pallino rosso indica una richiesta/risposta non ancora vista dal lato corrente; sparisce dopo 'Segna come lette' e riappare con 'Segna come da leggere'; 'Seleziona tutte' spunta tutte le righe in una volta</t>
        </is>
      </c>
      <c r="G176" s="21" t="inlineStr">
        <is>
          <t>DA TESTARE</t>
        </is>
      </c>
      <c r="H176" s="21">
        <f>IF(G176="BUG","BUG-"&amp;A176,IF(G176="FUNCTIONAL","FUNCTIONAL-"&amp;A176,""))</f>
        <v/>
      </c>
      <c r="I176" s="21" t="inlineStr">
        <is>
          <t>Media</t>
        </is>
      </c>
      <c r="L176" s="21"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c r="A177" s="21" t="inlineStr">
        <is>
          <t>TC-179</t>
        </is>
      </c>
      <c r="B177" s="21" t="inlineStr">
        <is>
          <t>Genitori - Home</t>
        </is>
      </c>
      <c r="C177" s="21" t="inlineStr">
        <is>
          <t>La card di check-in si riduce a riepilogo dopo la risposta e si riapre per correggerla</t>
        </is>
      </c>
      <c r="D177" s="21" t="inlineStr">
        <is>
          <t>Prenotazione con settimana che copre oggi</t>
        </is>
      </c>
      <c r="E177" s="21" t="inlineStr">
        <is>
          <t>Rispondi al check-in dalla Home (es. 'Si') -&gt; osserva la card -&gt; tocca il riepilogo -&gt; cambia risposta</t>
        </is>
      </c>
      <c r="F177" s="21" t="inlineStr">
        <is>
          <t>Dopo la risposta la card grande si riduce a un riepilogo compatto (icona esito + nome bambino/attivita); toccando il riepilogo si riapre per correggere un errore di selezione, poi si richiude di nuovo con il nuovo esito</t>
        </is>
      </c>
      <c r="G177" s="21" t="inlineStr">
        <is>
          <t>DA TESTARE</t>
        </is>
      </c>
      <c r="H177" s="21">
        <f>IF(G177="BUG","BUG-"&amp;A177,IF(G177="FUNCTIONAL","FUNCTIONAL-"&amp;A177,""))</f>
        <v/>
      </c>
      <c r="I177" s="21" t="inlineStr">
        <is>
          <t>Media</t>
        </is>
      </c>
      <c r="L177" s="21"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c r="A178" s="21" t="inlineStr">
        <is>
          <t>TC-180</t>
        </is>
      </c>
      <c r="B178" s="21" t="inlineStr">
        <is>
          <t>Genitori - Home (Planner/Per Bambino)</t>
        </is>
      </c>
      <c r="C178" s="21" t="inlineStr">
        <is>
          <t>La riga di una settimana coperta mostra una chevron che indica che e' cliccabile</t>
        </is>
      </c>
      <c r="D178" s="21" t="inlineStr">
        <is>
          <t>Almeno una settimana coperta nel Planner</t>
        </is>
      </c>
      <c r="E178" s="21" t="inlineStr">
        <is>
          <t>Home -&gt; Planner -&gt; osserva una riga di settimana coperta</t>
        </is>
      </c>
      <c r="F178" s="21" t="inlineStr">
        <is>
          <t>La riga mostra una chevron (&gt;) accanto al nome attivita' e reagisce al passaggio del mouse/tocco (hover/active), segnalando chiaramente che porta alla scheda del campus</t>
        </is>
      </c>
      <c r="G178" s="21" t="inlineStr">
        <is>
          <t>DA TESTARE</t>
        </is>
      </c>
      <c r="H178" s="21">
        <f>IF(G178="BUG","BUG-"&amp;A178,IF(G178="FUNCTIONAL","FUNCTIONAL-"&amp;A178,""))</f>
        <v/>
      </c>
      <c r="I178" s="21" t="inlineStr">
        <is>
          <t>Bassa</t>
        </is>
      </c>
      <c r="L178" s="21" t="inlineStr">
        <is>
          <t>NUOVA FUNZIONALITA' (Fabrizio: 'nella selelzione nel pllanner delle settimane gia' prenotate manca un po' la UX che fa percepire il click che porta alla pagina di dettaglio del camp'). Vedi PlannerView.tsx (chevron + hover/active sulla riga).</t>
        </is>
      </c>
    </row>
    <row r="179">
      <c r="A179" s="21" t="inlineStr">
        <is>
          <t>TC-181</t>
        </is>
      </c>
      <c r="B179" s="21" t="inlineStr">
        <is>
          <t>Genitori - Home (Planner/Per Bambino)</t>
        </is>
      </c>
      <c r="C179" s="21" t="inlineStr">
        <is>
          <t>Vista 'Tutti' del Planner segnala quando i fratelli hanno campi diversi la stessa settimana</t>
        </is>
      </c>
      <c r="D179" s="21" t="inlineStr">
        <is>
          <t>Almeno 2 bambini, iscritti ad attivita' diverse nella stessa settimana di camp (dati di test da arricchire)</t>
        </is>
      </c>
      <c r="E179" s="21" t="inlineStr">
        <is>
          <t>Home -&gt; Planner -&gt; vista 'Tutti' -&gt; osserva una settimana in cui i bambini sono iscritti a campus diversi</t>
        </is>
      </c>
      <c r="F179" s="21" t="inlineStr">
        <is>
          <t>Sotto la riga della settimana compare una nota 'Campi diversi questa settimana: [Bambino] -&gt; [Attivita], [Bambino2] -&gt; [Attivita2]' invece di mostrare silenziosamente solo la prima attivita' trovata</t>
        </is>
      </c>
      <c r="G179" s="21" t="inlineStr">
        <is>
          <t>DA TESTARE</t>
        </is>
      </c>
      <c r="H179" s="21">
        <f>IF(G179="BUG","BUG-"&amp;A179,IF(G179="FUNCTIONAL","FUNCTIONAL-"&amp;A179,""))</f>
        <v/>
      </c>
      <c r="I179" s="21" t="inlineStr">
        <is>
          <t>Bassa</t>
        </is>
      </c>
      <c r="L179" s="21"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c r="A180" s="21" t="inlineStr">
        <is>
          <t>TC-182</t>
        </is>
      </c>
      <c r="B180" s="21" t="inlineStr">
        <is>
          <t>Genitori - Profilo</t>
        </is>
      </c>
      <c r="C180" s="21" t="inlineStr">
        <is>
          <t>'Le mie prenotazioni' raggruppa per settimana/bambino/campus, sempre in ordine cronologico</t>
        </is>
      </c>
      <c r="D180" s="21" t="inlineStr">
        <is>
          <t>Almeno una prenotazione</t>
        </is>
      </c>
      <c r="E180" s="21" t="inlineStr">
        <is>
          <t>Apri /prenotazioni -&gt; usa i pulsanti 'Raggruppa per: Settimana/Bambino/Campus'</t>
        </is>
      </c>
      <c r="F180" s="21" t="inlineStr">
        <is>
          <t>La lista mostra intestazioni di gruppo (mese/nome bambino/nome campus) secondo il criterio scelto; sia le prenotazioni dentro ogni gruppo sia l'ordine dei gruppi stessi seguono sempre la cronologia (mai l'alfabeto), senza errori</t>
        </is>
      </c>
      <c r="G180" s="21" t="inlineStr">
        <is>
          <t>DA TESTARE</t>
        </is>
      </c>
      <c r="H180" s="21">
        <f>IF(G180="BUG","BUG-"&amp;A180,IF(G180="FUNCTIONAL","FUNCTIONAL-"&amp;A180,""))</f>
        <v/>
      </c>
      <c r="I180" s="21" t="inlineStr">
        <is>
          <t>Media</t>
        </is>
      </c>
      <c r="L180" s="21"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c r="A181" s="21" t="inlineStr">
        <is>
          <t>TC-183</t>
        </is>
      </c>
      <c r="B181" s="21" t="inlineStr">
        <is>
          <t>Gestore - Il mio account</t>
        </is>
      </c>
      <c r="C181" s="21" t="inlineStr">
        <is>
          <t>Il profilo personale del gestore mostra 'Ruolo in azienda' invece di genere/data di nascita</t>
        </is>
      </c>
      <c r="D181" s="21" t="inlineStr">
        <is>
          <t>Nessuna</t>
        </is>
      </c>
      <c r="E181" s="21" t="inlineStr">
        <is>
          <t>Login Gestore -&gt; 'Il mio account' -&gt; 'Modifica' -&gt; osserva i campi -&gt; scegli un ruolo in azienda -&gt; Salva -&gt; ricarica</t>
        </is>
      </c>
      <c r="F181" s="21"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1" t="inlineStr">
        <is>
          <t>DA TESTARE</t>
        </is>
      </c>
      <c r="H181" s="21">
        <f>IF(G181="BUG","BUG-"&amp;A181,IF(G181="FUNCTIONAL","FUNCTIONAL-"&amp;A181,""))</f>
        <v/>
      </c>
      <c r="I181" s="21" t="inlineStr">
        <is>
          <t>Media</t>
        </is>
      </c>
      <c r="L181" s="21"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c r="A182" s="21" t="inlineStr">
        <is>
          <t>TC-184</t>
        </is>
      </c>
      <c r="B182" s="21" t="inlineStr">
        <is>
          <t>Gestore - Le mie richieste</t>
        </is>
      </c>
      <c r="C182" s="21" t="inlineStr">
        <is>
          <t>'Le mie richieste' mostra un'intestazione di mese sopra le richieste (gestore e genitore)</t>
        </is>
      </c>
      <c r="D182" s="21" t="inlineStr">
        <is>
          <t>Almeno una richiesta esistente</t>
        </is>
      </c>
      <c r="E182" s="21" t="inlineStr">
        <is>
          <t>Login Gestore -&gt; 'Le mie richieste' -&gt; osserva le intestazioni sopra le sezioni 'Da rispondere'/'Storico'; login Genitore -&gt; 'Le mie richieste' -&gt; osserva le intestazioni sopra la lista</t>
        </is>
      </c>
      <c r="F182" s="21" t="inlineStr">
        <is>
          <t>Le richieste sono raggruppate per mese di creazione (es. 'LUGLIO 2026') con lo stesso stile del raggruppamento mensile gia' introdotto nel Registro presenze, sia lato gestore sia lato genitore</t>
        </is>
      </c>
      <c r="G182" s="21" t="inlineStr">
        <is>
          <t>DA TESTARE</t>
        </is>
      </c>
      <c r="H182" s="21">
        <f>IF(G182="BUG","BUG-"&amp;A182,IF(G182="FUNCTIONAL","FUNCTIONAL-"&amp;A182,""))</f>
        <v/>
      </c>
      <c r="I182" s="21" t="inlineStr">
        <is>
          <t>Bassa</t>
        </is>
      </c>
      <c r="L182" s="21"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c r="A183" s="21" t="inlineStr">
        <is>
          <t>TC-185</t>
        </is>
      </c>
      <c r="B183" s="21" t="inlineStr">
        <is>
          <t>Genitori - Profilo</t>
        </is>
      </c>
      <c r="C183" s="21" t="inlineStr">
        <is>
          <t>'Le mie prenotazioni' ha un solo controllo per il bambino, non due</t>
        </is>
      </c>
      <c r="D183" s="21" t="inlineStr">
        <is>
          <t>Nessuna</t>
        </is>
      </c>
      <c r="E183" s="21" t="inlineStr">
        <is>
          <t>Apri /prenotazioni -&gt; osserva i controlli sopra la lista</t>
        </is>
      </c>
      <c r="F183" s="21" t="inlineStr">
        <is>
          <t>Esiste un solo modo per organizzare la lista per bambino ('Raggruppa per: Bambino'); non c'e' piu' una riga di chip filtro separata ('Tutti i bambini/Nome1/Nome2') che duplicava lo stesso concetto</t>
        </is>
      </c>
      <c r="G183" s="21" t="inlineStr">
        <is>
          <t>DA TESTARE</t>
        </is>
      </c>
      <c r="H183" s="21">
        <f>IF(G183="BUG","BUG-"&amp;A183,IF(G183="FUNCTIONAL","FUNCTIONAL-"&amp;A183,""))</f>
        <v/>
      </c>
      <c r="I183" s="21" t="inlineStr">
        <is>
          <t>Bassa</t>
        </is>
      </c>
      <c r="L183" s="21"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c r="A184" s="21" t="inlineStr">
        <is>
          <t>TC-186</t>
        </is>
      </c>
      <c r="B184" s="21" t="inlineStr">
        <is>
          <t>Gestore - Registro presenze</t>
        </is>
      </c>
      <c r="C184" s="21" t="inlineStr">
        <is>
          <t>La settimana di oggi è selezionata di default e ha il badge 'Oggi'</t>
        </is>
      </c>
      <c r="D184" s="21" t="inlineStr">
        <is>
          <t>Prenotazione con settimana che copre oggi</t>
        </is>
      </c>
      <c r="E184" s="21" t="inlineStr">
        <is>
          <t>Login Gestore -&gt; Registro presenze</t>
        </is>
      </c>
      <c r="F184" s="21" t="inlineStr">
        <is>
          <t>La settimana/attività che copre la data odierna è già selezionata all'apertura della pagina (non serve cliccarla) ed è marcata con un badge 'Oggi' nella sidebar di sinistra</t>
        </is>
      </c>
      <c r="G184" s="21" t="inlineStr">
        <is>
          <t>DA TESTARE</t>
        </is>
      </c>
      <c r="H184" s="21">
        <f>IF(G184="BUG","BUG-"&amp;A184,IF(G184="FUNCTIONAL","FUNCTIONAL-"&amp;A184,""))</f>
        <v/>
      </c>
      <c r="I184" s="21" t="inlineStr">
        <is>
          <t>Alta</t>
        </is>
      </c>
      <c r="L184" s="21"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c r="A185" s="21" t="inlineStr">
        <is>
          <t>TC-187</t>
        </is>
      </c>
      <c r="B185" s="21" t="inlineStr">
        <is>
          <t>Gestore - Registro presenze</t>
        </is>
      </c>
      <c r="C185" s="21" t="inlineStr">
        <is>
          <t>'Registro presenze' nel menu mostra un badge per i check-in del genitore da confermare</t>
        </is>
      </c>
      <c r="D185" s="21" t="inlineStr">
        <is>
          <t>Almeno un check-in fatto dal genitore</t>
        </is>
      </c>
      <c r="E185" s="21" t="inlineStr">
        <is>
          <t>Genitore fa un check-in dalla Home -&gt; Gestore apre il pannello (qualsiasi pagina) e osserva la voce di menu 'Registro presenze'</t>
        </is>
      </c>
      <c r="F185" s="21" t="inlineStr">
        <is>
          <t>La voce 'Registro presenze' mostra un pallino/badge numerico rosso col conteggio dei check-in fatti dal genitore non ancora confermati/corretti dal gestore, stesso stile del badge già esistente su 'Le mie richieste'</t>
        </is>
      </c>
      <c r="G185" s="21" t="inlineStr">
        <is>
          <t>DA TESTARE</t>
        </is>
      </c>
      <c r="H185" s="21">
        <f>IF(G185="BUG","BUG-"&amp;A185,IF(G185="FUNCTIONAL","FUNCTIONAL-"&amp;A185,""))</f>
        <v/>
      </c>
      <c r="I185" s="21" t="inlineStr">
        <is>
          <t>Media</t>
        </is>
      </c>
      <c r="L185" s="21"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c r="A186" s="21" t="inlineStr">
        <is>
          <t>TC-188</t>
        </is>
      </c>
      <c r="B186" s="21" t="inlineStr">
        <is>
          <t>Genitori - Le mie prenotazioni</t>
        </is>
      </c>
      <c r="C186" s="21" t="inlineStr">
        <is>
          <t>Dashboard 'Le mie prenotazioni' con Vista Elenco/Copertura/Calendario, copertura e statistiche</t>
        </is>
      </c>
      <c r="D186" s="21" t="inlineStr">
        <is>
          <t>Nessuna (gestisce anche account senza prenotazioni)</t>
        </is>
      </c>
      <c r="E186" s="21" t="inlineStr">
        <is>
          <t>Login Genitore -&gt; Le mie prenotazioni</t>
        </is>
      </c>
      <c r="F186" s="21"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1" t="inlineStr">
        <is>
          <t>DA TESTARE</t>
        </is>
      </c>
      <c r="H186" s="21">
        <f>IF(G186="BUG","BUG-"&amp;A186,IF(G186="FUNCTIONAL","FUNCTIONAL-"&amp;A186,""))</f>
        <v/>
      </c>
      <c r="I186" s="21" t="inlineStr">
        <is>
          <t>Alta</t>
        </is>
      </c>
      <c r="L186" s="21"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c r="A187" s="21" t="inlineStr">
        <is>
          <t>TC-189</t>
        </is>
      </c>
      <c r="B187" s="21" t="inlineStr">
        <is>
          <t>Genitori - Home</t>
        </is>
      </c>
      <c r="C187" s="21" t="inlineStr">
        <is>
          <t>'Già prenotato per [bambino]' in Home apre Le mie prenotazioni filtrata su quel bambino</t>
        </is>
      </c>
      <c r="D187" s="21" t="inlineStr">
        <is>
          <t>Almeno un bambino con una prenotazione</t>
        </is>
      </c>
      <c r="E187" s="21" t="inlineStr">
        <is>
          <t>Login Genitore -&gt; Home -&gt; vista 'Per bambino' -&gt; click su una riga sotto 'Già prenotato per [nome]'</t>
        </is>
      </c>
      <c r="F187" s="21" t="inlineStr">
        <is>
          <t>Si apre /prenotazioni?kid=[id bambino], con il filtro rapido bambino già impostato su quel figlio (non più la scheda del campus)</t>
        </is>
      </c>
      <c r="G187" s="21" t="inlineStr">
        <is>
          <t>DA TESTARE</t>
        </is>
      </c>
      <c r="H187" s="21">
        <f>IF(G187="BUG","BUG-"&amp;A187,IF(G187="FUNCTIONAL","FUNCTIONAL-"&amp;A187,""))</f>
        <v/>
      </c>
      <c r="I187" s="21" t="inlineStr">
        <is>
          <t>Alta</t>
        </is>
      </c>
      <c r="L187" s="21"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c r="A188" s="21" t="inlineStr">
        <is>
          <t>TC-190</t>
        </is>
      </c>
      <c r="B188" s="21" t="inlineStr">
        <is>
          <t>Genitori - Le mie prenotazioni</t>
        </is>
      </c>
      <c r="C188" s="21" t="inlineStr">
        <is>
          <t>Azioni rapide (Dettagli/Modifica/Annulla/Contatta) rispettano la finestra di preavviso del centro</t>
        </is>
      </c>
      <c r="D188" s="21" t="inlineStr">
        <is>
          <t>Almeno una prenotazione confermata</t>
        </is>
      </c>
      <c r="E188" s="21" t="inlineStr">
        <is>
          <t>Login Genitore -&gt; Le mie prenotazioni -&gt; osserva le azioni rapide su una card</t>
        </is>
      </c>
      <c r="F188" s="21"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1" t="inlineStr">
        <is>
          <t>DA TESTARE</t>
        </is>
      </c>
      <c r="H188" s="21">
        <f>IF(G188="BUG","BUG-"&amp;A188,IF(G188="FUNCTIONAL","FUNCTIONAL-"&amp;A188,""))</f>
        <v/>
      </c>
      <c r="I188" s="21" t="inlineStr">
        <is>
          <t>Alta</t>
        </is>
      </c>
      <c r="L188" s="21"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c r="A189" s="21" t="inlineStr">
        <is>
          <t>TC-191</t>
        </is>
      </c>
      <c r="B189" s="21" t="inlineStr">
        <is>
          <t>Genitori - Le mie prenotazioni</t>
        </is>
      </c>
      <c r="C189" s="21" t="inlineStr">
        <is>
          <t>Pagina 'Modifica prenotazione' permette di cambiare le settimane e ricalcola il totale</t>
        </is>
      </c>
      <c r="D189" s="21" t="inlineStr">
        <is>
          <t>Prenotazione modificabile (entro la finestra di preavviso)</t>
        </is>
      </c>
      <c r="E189" s="21" t="inlineStr">
        <is>
          <t>Login Genitore -&gt; Le mie prenotazioni -&gt; 'Modifica' su una prenotazione -&gt; cambia le settimane selezionate -&gt; Salva modifiche</t>
        </is>
      </c>
      <c r="F189" s="21"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1" t="inlineStr">
        <is>
          <t>DA TESTARE</t>
        </is>
      </c>
      <c r="H189" s="21">
        <f>IF(G189="BUG","BUG-"&amp;A189,IF(G189="FUNCTIONAL","FUNCTIONAL-"&amp;A189,""))</f>
        <v/>
      </c>
      <c r="I189" s="21" t="inlineStr">
        <is>
          <t>Alta</t>
        </is>
      </c>
      <c r="L189" s="21"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c r="A190" s="21" t="inlineStr">
        <is>
          <t>TC-192</t>
        </is>
      </c>
      <c r="B190" s="21" t="inlineStr">
        <is>
          <t>Gestore - Il mio centro</t>
        </is>
      </c>
      <c r="C190" s="21" t="inlineStr">
        <is>
          <t>Il centro può configurare i giorni di preavviso per annullo/modifica prenotazione</t>
        </is>
      </c>
      <c r="D190" s="21" t="inlineStr">
        <is>
          <t>Account collegato a un centro</t>
        </is>
      </c>
      <c r="E190" s="21" t="inlineStr">
        <is>
          <t>Login Gestore -&gt; Il mio centro -&gt; sezione 'Cancellazioni e modifiche' -&gt; modifica 'Giorni di preavviso richiesti' -&gt; Salva</t>
        </is>
      </c>
      <c r="F190" s="21" t="inlineStr">
        <is>
          <t>Il valore viene salvato su centers.cancellation_window_days e si applica subito lato genitore (Le mie prenotazioni) per decidere se Modifica/Annulla sono disponibili in autonomia oppure serve contattare il centro</t>
        </is>
      </c>
      <c r="G190" s="21" t="inlineStr">
        <is>
          <t>DA TESTARE</t>
        </is>
      </c>
      <c r="H190" s="21">
        <f>IF(G190="BUG","BUG-"&amp;A190,IF(G190="FUNCTIONAL","FUNCTIONAL-"&amp;A190,""))</f>
        <v/>
      </c>
      <c r="I190" s="21" t="inlineStr">
        <is>
          <t>Alta</t>
        </is>
      </c>
      <c r="L190" s="21"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c r="A191" s="21" t="inlineStr">
        <is>
          <t>TC-N01</t>
        </is>
      </c>
      <c r="B191" s="21" t="inlineStr">
        <is>
          <t>NEXTGEN - Setup</t>
        </is>
      </c>
      <c r="C191" s="21" t="inlineStr">
        <is>
          <t>/nextgen raggiungibile da un genitore autenticato</t>
        </is>
      </c>
      <c r="D191" s="21" t="inlineStr">
        <is>
          <t>Account genitore di test</t>
        </is>
      </c>
      <c r="E191" s="21" t="inlineStr">
        <is>
          <t>Login Genitore -&gt; vai su /nextgen</t>
        </is>
      </c>
      <c r="F191" s="21" t="inlineStr">
        <is>
          <t>La pagina si apre, mostra il badge 'NextGen' e i dati del genitore (bambini) letti tramite lo stesso layer dati di LEGACY</t>
        </is>
      </c>
      <c r="G191" s="21" t="inlineStr">
        <is>
          <t>DA TESTARE</t>
        </is>
      </c>
      <c r="H191" s="21">
        <f>IF(G191="BUG","BUG-"&amp;A191,IF(G191="FUNCTIONAL","FUNCTIONAL-"&amp;A191,""))</f>
        <v/>
      </c>
      <c r="I191" s="21" t="inlineStr">
        <is>
          <t>Alta</t>
        </is>
      </c>
      <c r="L191" s="21"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c r="A192" s="21" t="inlineStr">
        <is>
          <t>TC-N02</t>
        </is>
      </c>
      <c r="B192" s="21" t="inlineStr">
        <is>
          <t>NEXTGEN - Setup</t>
        </is>
      </c>
      <c r="C192" s="21" t="inlineStr">
        <is>
          <t>/nextgen/center raggiungibile da un gestore</t>
        </is>
      </c>
      <c r="D192" s="21" t="inlineStr">
        <is>
          <t>Account gestore di test collegato a un centro</t>
        </is>
      </c>
      <c r="E192" s="21" t="inlineStr">
        <is>
          <t>Login Gestore -&gt; vai su /nextgen/center</t>
        </is>
      </c>
      <c r="F192" s="21" t="inlineStr">
        <is>
          <t>La pagina si apre, mostra il badge 'NextGen' e il nome del centro collegato tramite lib/data/center-admin.ts (stesso layer di LEGACY)</t>
        </is>
      </c>
      <c r="G192" s="21" t="inlineStr">
        <is>
          <t>DA TESTARE</t>
        </is>
      </c>
      <c r="H192" s="21">
        <f>IF(G192="BUG","BUG-"&amp;A192,IF(G192="FUNCTIONAL","FUNCTIONAL-"&amp;A192,""))</f>
        <v/>
      </c>
      <c r="I192" s="21" t="inlineStr">
        <is>
          <t>Alta</t>
        </is>
      </c>
      <c r="L192" s="21" t="inlineStr">
        <is>
          <t>SPRINT 0. Vedi app/nextgen/center/layout.tsx, app/nextgen/center/page.tsx.</t>
        </is>
      </c>
    </row>
    <row r="193">
      <c r="A193" s="21" t="inlineStr">
        <is>
          <t>TC-N03</t>
        </is>
      </c>
      <c r="B193" s="21" t="inlineStr">
        <is>
          <t>NEXTGEN - Setup</t>
        </is>
      </c>
      <c r="C193" s="21" t="inlineStr">
        <is>
          <t>/nextgen/admin raggiungibile da un platform_admin</t>
        </is>
      </c>
      <c r="D193" s="21" t="inlineStr">
        <is>
          <t>Account platform_admin di test</t>
        </is>
      </c>
      <c r="E193" s="21" t="inlineStr">
        <is>
          <t>Login Admin -&gt; vai su /nextgen/admin</t>
        </is>
      </c>
      <c r="F193" s="21" t="inlineStr">
        <is>
          <t>La pagina si apre e mostra il badge 'NextGen'</t>
        </is>
      </c>
      <c r="G193" s="21" t="inlineStr">
        <is>
          <t>DA TESTARE</t>
        </is>
      </c>
      <c r="H193" s="21">
        <f>IF(G193="BUG","BUG-"&amp;A193,IF(G193="FUNCTIONAL","FUNCTIONAL-"&amp;A193,""))</f>
        <v/>
      </c>
      <c r="I193" s="21" t="inlineStr">
        <is>
          <t>Media</t>
        </is>
      </c>
      <c r="L193" s="21" t="inlineStr">
        <is>
          <t>SPRINT 0. Vedi app/nextgen/admin/layout.tsx, app/nextgen/admin/page.tsx.</t>
        </is>
      </c>
    </row>
    <row r="194">
      <c r="A194" s="21" t="inlineStr">
        <is>
          <t>TC-N04</t>
        </is>
      </c>
      <c r="B194" s="21" t="inlineStr">
        <is>
          <t>NEXTGEN - Setup</t>
        </is>
      </c>
      <c r="C194" s="21" t="inlineStr">
        <is>
          <t>Un genitore non può accedere a /nextgen/center</t>
        </is>
      </c>
      <c r="D194" s="21" t="inlineStr">
        <is>
          <t>Account genitore di test (ruolo parent)</t>
        </is>
      </c>
      <c r="E194" s="21" t="inlineStr">
        <is>
          <t>Login Genitore -&gt; vai su /nextgen/center</t>
        </is>
      </c>
      <c r="F194" s="21" t="inlineStr">
        <is>
          <t>Redirect automatico a /nextgen, nessun contenuto Gestore mostrato</t>
        </is>
      </c>
      <c r="G194" s="21" t="inlineStr">
        <is>
          <t>DA TESTARE</t>
        </is>
      </c>
      <c r="H194" s="21">
        <f>IF(G194="BUG","BUG-"&amp;A194,IF(G194="FUNCTIONAL","FUNCTIONAL-"&amp;A194,""))</f>
        <v/>
      </c>
      <c r="I194" s="21" t="inlineStr">
        <is>
          <t>Alta</t>
        </is>
      </c>
      <c r="L194" s="21" t="inlineStr">
        <is>
          <t>SPRINT 0 - stesso schema di guard-per-ruolo di LEGACY (app/center/layout.tsx), replicato nel nuovo namespace.</t>
        </is>
      </c>
    </row>
    <row r="195">
      <c r="A195" s="21" t="inlineStr">
        <is>
          <t>TC-N05</t>
        </is>
      </c>
      <c r="B195" s="21" t="inlineStr">
        <is>
          <t>NEXTGEN - Setup</t>
        </is>
      </c>
      <c r="C195" s="21" t="inlineStr">
        <is>
          <t>Un genitore non può accedere a /nextgen/admin</t>
        </is>
      </c>
      <c r="D195" s="21" t="inlineStr">
        <is>
          <t>Account genitore di test (ruolo parent)</t>
        </is>
      </c>
      <c r="E195" s="21" t="inlineStr">
        <is>
          <t>Login Genitore -&gt; vai su /nextgen/admin</t>
        </is>
      </c>
      <c r="F195" s="21" t="inlineStr">
        <is>
          <t>Redirect automatico a /nextgen, nessun contenuto Admin mostrato</t>
        </is>
      </c>
      <c r="G195" s="21" t="inlineStr">
        <is>
          <t>DA TESTARE</t>
        </is>
      </c>
      <c r="H195" s="21">
        <f>IF(G195="BUG","BUG-"&amp;A195,IF(G195="FUNCTIONAL","FUNCTIONAL-"&amp;A195,""))</f>
        <v/>
      </c>
      <c r="I195" s="21" t="inlineStr">
        <is>
          <t>Alta</t>
        </is>
      </c>
      <c r="L195" s="21" t="inlineStr">
        <is>
          <t>SPRINT 0.</t>
        </is>
      </c>
    </row>
    <row r="196">
      <c r="A196" s="21" t="inlineStr">
        <is>
          <t>TC-N06</t>
        </is>
      </c>
      <c r="B196" s="21" t="inlineStr">
        <is>
          <t>NEXTGEN - Setup</t>
        </is>
      </c>
      <c r="C196" s="21" t="inlineStr">
        <is>
          <t>Un utente non autenticato viene rediretto al login da /nextgen</t>
        </is>
      </c>
      <c r="D196" s="21" t="inlineStr">
        <is>
          <t>Nessuna sessione attiva</t>
        </is>
      </c>
      <c r="E196" s="21" t="inlineStr">
        <is>
          <t>Senza login, vai direttamente su /nextgen</t>
        </is>
      </c>
      <c r="F196" s="21" t="inlineStr">
        <is>
          <t>Redirect a /auth/login?next=/nextgen (stesso comportamento di LEGACY)</t>
        </is>
      </c>
      <c r="G196" s="21" t="inlineStr">
        <is>
          <t>DA TESTARE</t>
        </is>
      </c>
      <c r="H196" s="21">
        <f>IF(G196="BUG","BUG-"&amp;A196,IF(G196="FUNCTIONAL","FUNCTIONAL-"&amp;A196,""))</f>
        <v/>
      </c>
      <c r="I196" s="21" t="inlineStr">
        <is>
          <t>Alta</t>
        </is>
      </c>
      <c r="L196" s="21" t="inlineStr">
        <is>
          <t>SPRINT 0.</t>
        </is>
      </c>
    </row>
    <row r="197">
      <c r="A197" s="21" t="inlineStr">
        <is>
          <t>TC-N07</t>
        </is>
      </c>
      <c r="B197" s="21" t="inlineStr">
        <is>
          <t>NEXTGEN - Dashboard Genitore</t>
        </is>
      </c>
      <c r="C197" s="21" t="inlineStr">
        <is>
          <t>La copertura dell'estate è il primo contenuto mostrato in home</t>
        </is>
      </c>
      <c r="D197" s="21" t="inlineStr">
        <is>
          <t>Account genitore di test</t>
        </is>
      </c>
      <c r="E197" s="21" t="inlineStr">
        <is>
          <t>Login Genitore -&gt; vai su /nextgen</t>
        </is>
      </c>
      <c r="F197" s="21" t="inlineStr">
        <is>
          <t>Prima di tutto (sopra prossimi impegni e statistiche) è visibile una card con la copertura delle settimane (organizzato/parzialmente/scoperto) e un messaggio di sintesi</t>
        </is>
      </c>
      <c r="G197" s="21" t="inlineStr">
        <is>
          <t>DA TESTARE</t>
        </is>
      </c>
      <c r="H197" s="21">
        <f>IF(G197="BUG","BUG-"&amp;A197,IF(G197="FUNCTIONAL","FUNCTIONAL-"&amp;A197,""))</f>
        <v/>
      </c>
      <c r="I197" s="21" t="inlineStr">
        <is>
          <t>Alta</t>
        </is>
      </c>
      <c r="L197" s="21"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c r="A198" s="21" t="inlineStr">
        <is>
          <t>TC-N08</t>
        </is>
      </c>
      <c r="B198" s="21" t="inlineStr">
        <is>
          <t>NEXTGEN - Dashboard Genitore</t>
        </is>
      </c>
      <c r="C198" s="21" t="inlineStr">
        <is>
          <t>L'elenco completo prenotazioni è secondario, collassato di default</t>
        </is>
      </c>
      <c r="D198" s="21" t="inlineStr">
        <is>
          <t>Almeno una prenotazione</t>
        </is>
      </c>
      <c r="E198" s="21" t="inlineStr">
        <is>
          <t>Login Genitore -&gt; /nextgen -&gt; scorri fino a 'Tutte le prenotazioni' -&gt; espandi</t>
        </is>
      </c>
      <c r="F198" s="21"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1" t="inlineStr">
        <is>
          <t>DA TESTARE</t>
        </is>
      </c>
      <c r="H198" s="21">
        <f>IF(G198="BUG","BUG-"&amp;A198,IF(G198="FUNCTIONAL","FUNCTIONAL-"&amp;A198,""))</f>
        <v/>
      </c>
      <c r="I198" s="21" t="inlineStr">
        <is>
          <t>Media</t>
        </is>
      </c>
      <c r="L198" s="21"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c r="A199" s="21" t="inlineStr">
        <is>
          <t>TC-N09</t>
        </is>
      </c>
      <c r="B199" s="21" t="inlineStr">
        <is>
          <t>NEXTGEN - Dashboard Genitore</t>
        </is>
      </c>
      <c r="C199" s="21" t="inlineStr">
        <is>
          <t>Statistiche sintetiche (confermate/in attesa/speso) sempre visibili</t>
        </is>
      </c>
      <c r="D199" s="21" t="inlineStr">
        <is>
          <t>Nessuna (gestisce anche account senza prenotazioni)</t>
        </is>
      </c>
      <c r="E199" s="21" t="inlineStr">
        <is>
          <t>Login Genitore -&gt; vai su /nextgen</t>
        </is>
      </c>
      <c r="F199" s="21" t="inlineStr">
        <is>
          <t>3 tile compatte sempre visibili: numero prenotazioni Confermate, numero In attesa, Speso finora (€)</t>
        </is>
      </c>
      <c r="G199" s="21" t="inlineStr">
        <is>
          <t>DA TESTARE</t>
        </is>
      </c>
      <c r="H199" s="21">
        <f>IF(G199="BUG","BUG-"&amp;A199,IF(G199="FUNCTIONAL","FUNCTIONAL-"&amp;A199,""))</f>
        <v/>
      </c>
      <c r="I199" s="21" t="inlineStr">
        <is>
          <t>Media</t>
        </is>
      </c>
      <c r="L199" s="21" t="inlineStr">
        <is>
          <t>SPRINT 1 - riepilogo pianificazione + stato prenotazioni unificati in un'unica riga di 3 tile, per non duplicare l'indicatore di copertura già mostrato in cima.</t>
        </is>
      </c>
    </row>
    <row r="200">
      <c r="A200" s="21" t="inlineStr">
        <is>
          <t>TC-N10</t>
        </is>
      </c>
      <c r="B200" s="21" t="inlineStr">
        <is>
          <t>NEXTGEN - Ricerca e scoperta</t>
        </is>
      </c>
      <c r="C200" s="21" t="inlineStr">
        <is>
          <t>/nextgen/search mostra risultati ordinati con motivazioni, senza pannelli filtro multipli</t>
        </is>
      </c>
      <c r="D200" s="21" t="inlineStr">
        <is>
          <t>Account genitore di test</t>
        </is>
      </c>
      <c r="E200" s="21" t="inlineStr">
        <is>
          <t>Login Genitore -&gt; /nextgen -&gt; 'Scopri attività'</t>
        </is>
      </c>
      <c r="F200" s="21" t="inlineStr">
        <is>
          <t>La pagina mostra: campo di ricerca testuale, pulsante 'Usa la mia posizione', chip bambino (se 2+ bambini) - NESSUN pannello età/prezzo/zona/tag/servizi separato. Ogni risultato mostra motivazioni leggibili (es. 'Piace a Piero', 'Vicino a te') sopra la card</t>
        </is>
      </c>
      <c r="G200" s="21" t="inlineStr">
        <is>
          <t>DA TESTARE</t>
        </is>
      </c>
      <c r="H200" s="21">
        <f>IF(G200="BUG","BUG-"&amp;A200,IF(G200="FUNCTIONAL","FUNCTIONAL-"&amp;A200,""))</f>
        <v/>
      </c>
      <c r="I200" s="21" t="inlineStr">
        <is>
          <t>Alta</t>
        </is>
      </c>
      <c r="L200" s="21"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c r="A201" s="21" t="inlineStr">
        <is>
          <t>TC-N11</t>
        </is>
      </c>
      <c r="B201" s="21" t="inlineStr">
        <is>
          <t>NEXTGEN - Ricerca e scoperta</t>
        </is>
      </c>
      <c r="C201" s="21" t="inlineStr">
        <is>
          <t>Il link 'Scopri attività' nella Dashboard porta alla Ricerca NEXTGEN</t>
        </is>
      </c>
      <c r="D201" s="21" t="inlineStr">
        <is>
          <t>Nessuna</t>
        </is>
      </c>
      <c r="E201" s="21" t="inlineStr">
        <is>
          <t>Login Genitore -&gt; /nextgen -&gt; click su 'Scopri attività' (accanto alla card di copertura)</t>
        </is>
      </c>
      <c r="F201" s="21" t="inlineStr">
        <is>
          <t>Naviga a /nextgen/search</t>
        </is>
      </c>
      <c r="G201" s="21" t="inlineStr">
        <is>
          <t>DA TESTARE</t>
        </is>
      </c>
      <c r="H201" s="21">
        <f>IF(G201="BUG","BUG-"&amp;A201,IF(G201="FUNCTIONAL","FUNCTIONAL-"&amp;A201,""))</f>
        <v/>
      </c>
      <c r="I201" s="21" t="inlineStr">
        <is>
          <t>Media</t>
        </is>
      </c>
      <c r="L201" s="21" t="inlineStr">
        <is>
          <t>SPRINT 2 - unico punto di ingresso aggiunto alla Dashboard Sprint 1.</t>
        </is>
      </c>
    </row>
    <row r="202">
      <c r="A202" s="21" t="inlineStr">
        <is>
          <t>TC-N12</t>
        </is>
      </c>
      <c r="B202" s="21" t="inlineStr">
        <is>
          <t>NEXTGEN - Ricerca e scoperta</t>
        </is>
      </c>
      <c r="C202" s="21" t="inlineStr">
        <is>
          <t>Il filtro testuale per nome riduce correttamente i risultati</t>
        </is>
      </c>
      <c r="D202" s="21" t="inlineStr">
        <is>
          <t>Nessuna</t>
        </is>
      </c>
      <c r="E202" s="21" t="inlineStr">
        <is>
          <t>In /nextgen/search, scrivi un nome che non esiste in nessuna attività</t>
        </is>
      </c>
      <c r="F202" s="21" t="inlineStr">
        <is>
          <t>Messaggio 'Nessuna attività trovata.'</t>
        </is>
      </c>
      <c r="G202" s="21" t="inlineStr">
        <is>
          <t>DA TESTARE</t>
        </is>
      </c>
      <c r="H202" s="21">
        <f>IF(G202="BUG","BUG-"&amp;A202,IF(G202="FUNCTIONAL","FUNCTIONAL-"&amp;A202,""))</f>
        <v/>
      </c>
      <c r="I202" s="21" t="inlineStr">
        <is>
          <t>Bassa</t>
        </is>
      </c>
      <c r="L202" s="21" t="inlineStr">
        <is>
          <t>SPRINT 2 - unico filtro manuale rimasto oltre al bambino e alla posizione, per scelta di scope (prezzo/servizi restano informazioni sulla card, non filtri, in questo sprint).</t>
        </is>
      </c>
    </row>
    <row r="203">
      <c r="A203" s="21" t="inlineStr">
        <is>
          <t>TC-N13</t>
        </is>
      </c>
      <c r="B203" s="21" t="inlineStr">
        <is>
          <t>NEXTGEN - Planner</t>
        </is>
      </c>
      <c r="C203" s="21" t="inlineStr">
        <is>
          <t>/nextgen/planner mostra la timeline familiare completa (13 settimane)</t>
        </is>
      </c>
      <c r="D203" s="21" t="inlineStr">
        <is>
          <t>Account genitore di test</t>
        </is>
      </c>
      <c r="E203" s="21" t="inlineStr">
        <is>
          <t>Login Genitore -&gt; /nextgen -&gt; 'Apri il planner completo' (o tab Planner)</t>
        </is>
      </c>
      <c r="F203" s="21" t="inlineStr">
        <is>
          <t>La pagina mostra: copertura (X di Y settimane coperte + barra), timeline con tutte le 13 settimane (Sett. 1...Sett. 13), stato per ciascuna (coperta/scoperta/non ti serve)</t>
        </is>
      </c>
      <c r="G203" s="21" t="inlineStr">
        <is>
          <t>DA TESTARE</t>
        </is>
      </c>
      <c r="H203" s="21">
        <f>IF(G203="BUG","BUG-"&amp;A203,IF(G203="FUNCTIONAL","FUNCTIONAL-"&amp;A203,""))</f>
        <v/>
      </c>
      <c r="I203" s="21" t="inlineStr">
        <is>
          <t>Alta</t>
        </is>
      </c>
      <c r="L203" s="21" t="inlineStr">
        <is>
          <t>SPRINT 3 (richiesta di Fabrizio: 'trasformare il Planner nella feature principale del prodotto... il cuore dell'esperienza'). Riusa getPlannerData (INVARIATO, gia' di Sprint 1). Vedi app/nextgen/planner/page.tsx, PlannerClient.tsx.</t>
        </is>
      </c>
    </row>
    <row r="204">
      <c r="A204" s="21" t="inlineStr">
        <is>
          <t>TC-N14</t>
        </is>
      </c>
      <c r="B204" s="21" t="inlineStr">
        <is>
          <t>NEXTGEN - Planner</t>
        </is>
      </c>
      <c r="C204" s="21" t="inlineStr">
        <is>
          <t>Sovrapposizioni reali (stesso bambino, 2 prenotazioni sulla stessa settimana) segnalate chiaramente</t>
        </is>
      </c>
      <c r="D204" s="21" t="inlineStr">
        <is>
          <t>Account genitore di test con un bambino prenotato 2 volte sulla stessa settimana fisica (dato di test)</t>
        </is>
      </c>
      <c r="E204" s="21" t="inlineStr">
        <is>
          <t>Login Genitore -&gt; /nextgen/planner</t>
        </is>
      </c>
      <c r="F204" s="21" t="inlineStr">
        <is>
          <t>Riquadro 'Sovrapposizioni da controllare' visibile, con nome bambino + settimana + le 2 attivita' coinvolte. Se non ci sono sovrapposizioni, il riquadro non appare.</t>
        </is>
      </c>
      <c r="G204" s="21" t="inlineStr">
        <is>
          <t>DA TESTARE</t>
        </is>
      </c>
      <c r="H204" s="21">
        <f>IF(G204="BUG","BUG-"&amp;A204,IF(G204="FUNCTIONAL","FUNCTIONAL-"&amp;A204,""))</f>
        <v/>
      </c>
      <c r="I204" s="21" t="inlineStr">
        <is>
          <t>Alta</t>
        </is>
      </c>
      <c r="L204" s="21"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c r="A205" s="21" t="inlineStr">
        <is>
          <t>TC-N15</t>
        </is>
      </c>
      <c r="B205" s="21" t="inlineStr">
        <is>
          <t>NEXTGEN - Planner</t>
        </is>
      </c>
      <c r="C205" s="21" t="inlineStr">
        <is>
          <t>Budget impegnato (totale + per bambino) sempre visibile</t>
        </is>
      </c>
      <c r="D205" s="21" t="inlineStr">
        <is>
          <t>Account genitore di test con almeno una prenotazione attiva</t>
        </is>
      </c>
      <c r="E205" s="21" t="inlineStr">
        <is>
          <t>Login Genitore -&gt; /nextgen/planner</t>
        </is>
      </c>
      <c r="F205" s="21" t="inlineStr">
        <is>
          <t>Sezione 'Budget impegnato' con il totale (somma prenotazioni non annullate) e, se 2+ bambini, il dettaglio per bambino</t>
        </is>
      </c>
      <c r="G205" s="21" t="inlineStr">
        <is>
          <t>DA TESTARE</t>
        </is>
      </c>
      <c r="H205" s="21">
        <f>IF(G205="BUG","BUG-"&amp;A205,IF(G205="FUNCTIONAL","FUNCTIONAL-"&amp;A205,""))</f>
        <v/>
      </c>
      <c r="I205" s="21" t="inlineStr">
        <is>
          <t>Media</t>
        </is>
      </c>
      <c r="L205" s="21" t="inlineStr">
        <is>
          <t>SPRINT 3 - lib/nextgen/planner-insights.ts#computeBudgetSummary. Limite dichiarato (in nota a UI): una prenotazione condivisa fra piu' bambini viene conteggiata per intero su ciascuno (nessuno split prezzo per figlio nel modello dati attuale).</t>
        </is>
      </c>
    </row>
    <row r="206">
      <c r="A206" s="21" t="inlineStr">
        <is>
          <t>TC-N16</t>
        </is>
      </c>
      <c r="B206" s="21" t="inlineStr">
        <is>
          <t>NEXTGEN - Planner</t>
        </is>
      </c>
      <c r="C206" s="21" t="inlineStr">
        <is>
          <t>Consigli mirati alla settimana prioritaria (stesso motore di Ricerca Sprint 2)</t>
        </is>
      </c>
      <c r="D206" s="21" t="inlineStr">
        <is>
          <t>Account genitore di test con almeno una settimana scoperta</t>
        </is>
      </c>
      <c r="E206" s="21" t="inlineStr">
        <is>
          <t>Login Genitore -&gt; /nextgen/planner, scorri fino a 'Per riempire la settimana N'</t>
        </is>
      </c>
      <c r="F206" s="21" t="inlineStr">
        <is>
          <t>Fino a 4 attivita' consigliate con motivazioni leggibili (stesse di /nextgen/search), mirate alla settimana 'prioritaria' (un buco fra due settimane coperte ha priorita' sulla prima scoperta in ordine)</t>
        </is>
      </c>
      <c r="G206" s="21" t="inlineStr">
        <is>
          <t>DA TESTARE</t>
        </is>
      </c>
      <c r="H206" s="21">
        <f>IF(G206="BUG","BUG-"&amp;A206,IF(G206="FUNCTIONAL","FUNCTIONAL-"&amp;A206,""))</f>
        <v/>
      </c>
      <c r="I206" s="21" t="inlineStr">
        <is>
          <t>Media</t>
        </is>
      </c>
      <c r="L206" s="21" t="inlineStr">
        <is>
          <t>SPRINT 3 - riusa computeSmartMatches (Sprint 2, invariato) e lo stesso algoritmo 'settimana prioritaria' gia' in components/PlannerView.tsx (LEGACY), duplicato in planner-insights.ts#computePriorityWeekIndex per non toccare un componente client di LEGACY.</t>
        </is>
      </c>
    </row>
    <row r="207">
      <c r="A207" s="21" t="inlineStr">
        <is>
          <t>TC-N17</t>
        </is>
      </c>
      <c r="B207" s="21" t="inlineStr">
        <is>
          <t>NEXTGEN - Planner</t>
        </is>
      </c>
      <c r="C207" s="21" t="inlineStr">
        <is>
          <t>NextgenBottomNav permette di raggiungere Home/Planner/Cerca in un tocco</t>
        </is>
      </c>
      <c r="D207" s="21" t="inlineStr">
        <is>
          <t>Nessuna</t>
        </is>
      </c>
      <c r="E207" s="21" t="inlineStr">
        <is>
          <t>Login Genitore -&gt; qualsiasi pagina /nextgen -&gt; tocca 'Planner' poi 'Cerca' poi 'Home' nella barra in basso</t>
        </is>
      </c>
      <c r="F207" s="21" t="inlineStr">
        <is>
          <t>Naviga rispettivamente a /nextgen/planner, /nextgen/search, /nextgen - la voce attiva e' evidenziata</t>
        </is>
      </c>
      <c r="G207" s="21" t="inlineStr">
        <is>
          <t>DA TESTARE</t>
        </is>
      </c>
      <c r="H207" s="21">
        <f>IF(G207="BUG","BUG-"&amp;A207,IF(G207="FUNCTIONAL","FUNCTIONAL-"&amp;A207,""))</f>
        <v/>
      </c>
      <c r="I207" s="21" t="inlineStr">
        <is>
          <t>Media</t>
        </is>
      </c>
      <c r="L207" s="21" t="inlineStr">
        <is>
          <t>SPRINT 3 - nuovo componente components/nextgen/NextgenBottomNav.tsx (solo sotto /nextgen, non tocca components/BottomNav.tsx di LEGACY). Necessario ora che il Planner e' una destinazione di primo livello, non solo un link testuale.</t>
        </is>
      </c>
    </row>
    <row r="208">
      <c r="A208" s="21" t="inlineStr">
        <is>
          <t>TC-098</t>
        </is>
      </c>
      <c r="B208" s="21" t="inlineStr">
        <is>
          <t>Multi-tenant / PWA</t>
        </is>
      </c>
      <c r="C208" s="21" t="inlineStr">
        <is>
          <t>Manifest NEXTGEN distinto da quello LEGACY (stesso host)</t>
        </is>
      </c>
      <c r="D208" s="21" t="inlineStr">
        <is>
          <t>Account genitore di test</t>
        </is>
      </c>
      <c r="E208" s="21" t="inlineStr">
        <is>
          <t>Login Genitore -&gt; apri '/' poi '/nextgen' -&gt; ispeziona &lt;link rel='manifest'&gt; in entrambe</t>
        </is>
      </c>
      <c r="F208" s="21" t="inlineStr">
        <is>
          <t>'/' -&gt; /manifest-family.json (o partner/admin secondo tenant), '/nextgen' -&gt; /manifest-nextgen.json - DIVERSI, con scope/start_url/id '/nextgen' per NEXTGEN</t>
        </is>
      </c>
      <c r="G208" s="21" t="inlineStr">
        <is>
          <t>DA TESTARE</t>
        </is>
      </c>
      <c r="H208" s="21">
        <f>IF(G208="BUG","BUG-"&amp;A208,IF(G208="FUNCTIONAL","FUNCTIONAL-"&amp;A208,""))</f>
        <v/>
      </c>
      <c r="I208" s="21" t="inlineStr">
        <is>
          <t>Alta</t>
        </is>
      </c>
      <c r="L208" s="21"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c r="A209" s="21" t="inlineStr">
        <is>
          <t>TC-099</t>
        </is>
      </c>
      <c r="B209" s="21" t="inlineStr">
        <is>
          <t>Multi-tenant / PWA</t>
        </is>
      </c>
      <c r="C209" s="21" t="inlineStr">
        <is>
          <t>Installazione DOPPIA: LEGACY e NEXTGEN come app separate, senza banner sovrapposti</t>
        </is>
      </c>
      <c r="D209" s="21" t="inlineStr">
        <is>
          <t>Chrome Android o desktop, cache/service worker puliti</t>
        </is>
      </c>
      <c r="E209" s="21" t="inlineStr">
        <is>
          <t>Installa da '/' (LEGACY), poi vai su '/nextgen' e installa anche quella</t>
        </is>
      </c>
      <c r="F209" s="21" t="inlineStr">
        <is>
          <t>Due icone separate in home screen/launcher ('BuddyKids' e 'BuddyKids NextGen', icone diverse). Su '/nextgen' NON appare mai il banner 'Installa BuddyKids' di LEGACY insieme a quello NEXTGEN.</t>
        </is>
      </c>
      <c r="G209" s="21" t="inlineStr">
        <is>
          <t>DA TESTARE</t>
        </is>
      </c>
      <c r="H209" s="21">
        <f>IF(G209="BUG","BUG-"&amp;A209,IF(G209="FUNCTIONAL","FUNCTIONAL-"&amp;A209,""))</f>
        <v/>
      </c>
      <c r="I209" s="21" t="inlineStr">
        <is>
          <t>Alta</t>
        </is>
      </c>
      <c r="L209" s="21"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c r="A210" s="21" t="inlineStr">
        <is>
          <t>TC-N18</t>
        </is>
      </c>
      <c r="B210" s="21" t="inlineStr">
        <is>
          <t>NEXTGEN - Home (rifinitura)</t>
        </is>
      </c>
      <c r="C210" s="21" t="inlineStr">
        <is>
          <t>La Hero Card comunica stato, settimane mancanti e prossimo impegno con una CTA</t>
        </is>
      </c>
      <c r="D210" s="21" t="inlineStr">
        <is>
          <t>Account genitore di test</t>
        </is>
      </c>
      <c r="E210" s="21" t="inlineStr">
        <is>
          <t>Login Genitore -&gt; /nextgen</t>
        </is>
      </c>
      <c r="F210" s="21" t="inlineStr">
        <is>
          <t>Prima card, sfondo caldo distinto, testo 'Organizzata al N%', settimane mancanti nominate ('Settimana X, Settimana Y'), prossimo impegno con data leggibile, pulsante 'Continua a pianificare' -&gt; /nextgen/planner</t>
        </is>
      </c>
      <c r="G210" s="21" t="inlineStr">
        <is>
          <t>DA TESTARE</t>
        </is>
      </c>
      <c r="H210" s="21">
        <f>IF(G210="BUG","BUG-"&amp;A210,IF(G210="FUNCTIONAL","FUNCTIONAL-"&amp;A210,""))</f>
        <v/>
      </c>
      <c r="I210" s="21" t="inlineStr">
        <is>
          <t>Alta</t>
        </is>
      </c>
      <c r="L210" s="21" t="inlineStr">
        <is>
          <t>SPRINT CORRETTIVO (richiesta di Fabrizio: 'la Home deve essere un centro di controllo, capibile in meno di 3 secondi'). Stesso dato di Sprint 1 (getPlannerData), cambia solo la resa visiva/testuale in HomeDashboardClient.tsx.</t>
        </is>
      </c>
    </row>
    <row r="211">
      <c r="A211" s="21" t="inlineStr">
        <is>
          <t>TC-N19</t>
        </is>
      </c>
      <c r="B211" s="21" t="inlineStr">
        <is>
          <t>NEXTGEN - Home (rifinitura)</t>
        </is>
      </c>
      <c r="C211" s="21" t="inlineStr">
        <is>
          <t>Il check-in di oggi (se presente) appare in Home NEXTGEN, con badge codice visivo</t>
        </is>
      </c>
      <c r="D211" s="21" t="inlineStr">
        <is>
          <t>Account genitore di test con una prenotazione attiva OGGI</t>
        </is>
      </c>
      <c r="E211" s="21" t="inlineStr">
        <is>
          <t>Login Genitore -&gt; /nextgen</t>
        </is>
      </c>
      <c r="F211" s="21" t="inlineStr">
        <is>
          <t>Sezione 'Oggi' con la card di check-in (foto attività, domanda, badge 'Codice check-in'). Prima non compariva affatto in NEXTGEN.</t>
        </is>
      </c>
      <c r="G211" s="21" t="inlineStr">
        <is>
          <t>DA TESTARE</t>
        </is>
      </c>
      <c r="H211" s="21">
        <f>IF(G211="BUG","BUG-"&amp;A211,IF(G211="FUNCTIONAL","FUNCTIONAL-"&amp;A211,""))</f>
        <v/>
      </c>
      <c r="I211" s="21" t="inlineStr">
        <is>
          <t>Alta</t>
        </is>
      </c>
      <c r="L211" s="21"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c r="A212" s="21" t="inlineStr">
        <is>
          <t>TC-N20</t>
        </is>
      </c>
      <c r="B212" s="21" t="inlineStr">
        <is>
          <t>NEXTGEN - Home (rifinitura)</t>
        </is>
      </c>
      <c r="C212" s="21" t="inlineStr">
        <is>
          <t>Rispondere al check-in mostra un feedback positivo (toast) non invasivo</t>
        </is>
      </c>
      <c r="D212" s="21" t="inlineStr">
        <is>
          <t>Account genitore di test con check-in disponibile oggi</t>
        </is>
      </c>
      <c r="E212" s="21" t="inlineStr">
        <is>
          <t>Login Genitore -&gt; /nextgen -&gt; tocca 'Sì' sulla card di check-in</t>
        </is>
      </c>
      <c r="F212" s="21" t="inlineStr">
        <is>
          <t>Toast in basso con 'registrato con successo', si chiude da solo dopo ~2.6s, nessun popup modale da chiudere manualmente</t>
        </is>
      </c>
      <c r="G212" s="21" t="inlineStr">
        <is>
          <t>DA TESTARE</t>
        </is>
      </c>
      <c r="H212" s="21">
        <f>IF(G212="BUG","BUG-"&amp;A212,IF(G212="FUNCTIONAL","FUNCTIONAL-"&amp;A212,""))</f>
        <v/>
      </c>
      <c r="I212" s="21" t="inlineStr">
        <is>
          <t>Media</t>
        </is>
      </c>
      <c r="L212" s="21" t="inlineStr">
        <is>
          <t>SPRINT CORRETTIVO ('aumentare i micro-feedback positivi... evitare popup invasivi'). Nuovo components/nextgen/NextgenToastProvider.tsx (Context+hook), montato in app/nextgen/layout.tsx.</t>
        </is>
      </c>
    </row>
    <row r="213">
      <c r="A213" s="21" t="inlineStr">
        <is>
          <t>TC-N21</t>
        </is>
      </c>
      <c r="B213" s="21" t="inlineStr">
        <is>
          <t>NEXTGEN - Home (rifinitura)</t>
        </is>
      </c>
      <c r="C213" s="21" t="inlineStr">
        <is>
          <t>'Prossimo appuntamento' mostra una sola card visuale (non piu' una lista di 3)</t>
        </is>
      </c>
      <c r="D213" s="21" t="inlineStr">
        <is>
          <t>Account genitore di test con almeno una prenotazione futura</t>
        </is>
      </c>
      <c r="E213" s="21" t="inlineStr">
        <is>
          <t>Login Genitore -&gt; /nextgen</t>
        </is>
      </c>
      <c r="F213" s="21" t="inlineStr">
        <is>
          <t>Sezione 'Prossimo appuntamento' con UNA card (foto, figlio, periodo, badge stato, azione) - le altre prenotazioni sono in 'Prenotazioni' piu' sotto, non ripetute qui</t>
        </is>
      </c>
      <c r="G213" s="21" t="inlineStr">
        <is>
          <t>DA TESTARE</t>
        </is>
      </c>
      <c r="H213" s="21">
        <f>IF(G213="BUG","BUG-"&amp;A213,IF(G213="FUNCTIONAL","FUNCTIONAL-"&amp;A213,""))</f>
        <v/>
      </c>
      <c r="I213" s="21" t="inlineStr">
        <is>
          <t>Media</t>
        </is>
      </c>
      <c r="L213" s="21" t="inlineStr">
        <is>
          <t>SPRINT CORRETTIVO - prima erano 'Prossimi impegni' (plurale, fino a 3): ridotto a un solo elemento per diminuire le decisioni da prendere in Home (richiesta esplicita di riduzione del carico cognitivo).</t>
        </is>
      </c>
    </row>
    <row r="214">
      <c r="A214" s="21" t="inlineStr">
        <is>
          <t>TC-N22</t>
        </is>
      </c>
      <c r="B214" s="21" t="inlineStr">
        <is>
          <t>NEXTGEN - Home (rifinitura)</t>
        </is>
      </c>
      <c r="C214" s="21" t="inlineStr">
        <is>
          <t>Le statistiche sintetiche sono in fondo alla pagina, dopo Prenotazioni</t>
        </is>
      </c>
      <c r="D214" s="21" t="inlineStr">
        <is>
          <t>Account genitore di test con almeno una prenotazione</t>
        </is>
      </c>
      <c r="E214" s="21" t="inlineStr">
        <is>
          <t>Login Genitore -&gt; /nextgen -&gt; scorri la pagina</t>
        </is>
      </c>
      <c r="F214" s="21" t="inlineStr">
        <is>
          <t>L'ordine e': Hero Card, Check-in (se oggi), Prossimo appuntamento, Consigliati, Planner sintetico, Prenotazioni, Statistiche (ultime, ridotte)</t>
        </is>
      </c>
      <c r="G214" s="21" t="inlineStr">
        <is>
          <t>DA TESTARE</t>
        </is>
      </c>
      <c r="H214" s="21">
        <f>IF(G214="BUG","BUG-"&amp;A214,IF(G214="FUNCTIONAL","FUNCTIONAL-"&amp;A214,""))</f>
        <v/>
      </c>
      <c r="I214" s="21" t="inlineStr">
        <is>
          <t>Bassa</t>
        </is>
      </c>
      <c r="L214" s="21"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c r="A215" s="21" t="inlineStr">
        <is>
          <t>TC-N23</t>
        </is>
      </c>
      <c r="B215" s="21" t="inlineStr">
        <is>
          <t>NEXTGEN - Home (rifinitura)</t>
        </is>
      </c>
      <c r="C215" s="21" t="inlineStr">
        <is>
          <t>Il Planner, a copertura completa, mostra un messaggio di rassicurazione</t>
        </is>
      </c>
      <c r="D215" s="21" t="inlineStr">
        <is>
          <t>Account genitore di test con tutte le settimane utili coperte</t>
        </is>
      </c>
      <c r="E215" s="21" t="inlineStr">
        <is>
          <t>Login Genitore -&gt; /nextgen/planner</t>
        </is>
      </c>
      <c r="F215" s="21" t="inlineStr">
        <is>
          <t>Sotto la barra di copertura al 100%, testo 'Tutto sotto controllo per questa estate.' con icona di conferma verde</t>
        </is>
      </c>
      <c r="G215" s="21" t="inlineStr">
        <is>
          <t>DA TESTARE</t>
        </is>
      </c>
      <c r="H215" s="21">
        <f>IF(G215="BUG","BUG-"&amp;A215,IF(G215="FUNCTIONAL","FUNCTIONAL-"&amp;A215,""))</f>
        <v/>
      </c>
      <c r="I215" s="21" t="inlineStr">
        <is>
          <t>Bassa</t>
        </is>
      </c>
      <c r="L215" s="21"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sheetData>
  <autoFilter ref="A1:L101"/>
  <conditionalFormatting sqref="G2:G215">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15" showDropDown="0" showInputMessage="0" showErrorMessage="0" allowBlank="1" type="list" errorStyle="stop" operator="between">
      <formula1>"OK,BUG,FUNCTIONAL,ENHANCEMENT,DA TESTARE"</formula1>
      <formula2>0</formula2>
    </dataValidation>
    <dataValidation sqref="I2:I215"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1" min="1" max="1"/>
    <col width="14" customWidth="1" style="21" min="2" max="2"/>
    <col width="3" customWidth="1" style="21" min="3" max="3"/>
    <col width="26" customWidth="1" style="21" min="4" max="4"/>
    <col width="14" customWidth="1" style="21" min="5" max="5"/>
  </cols>
  <sheetData>
    <row r="1" ht="16.5" customHeight="1" s="22">
      <c r="A1" s="38" t="inlineStr">
        <is>
          <t>Riepilogo per Esito</t>
        </is>
      </c>
    </row>
    <row r="2" ht="15" customHeight="1" s="22">
      <c r="A2" s="25" t="inlineStr">
        <is>
          <t>Esito</t>
        </is>
      </c>
      <c r="B2" s="25" t="inlineStr">
        <is>
          <t>Conteggio</t>
        </is>
      </c>
      <c r="D2" s="25" t="inlineStr">
        <is>
          <t>Area</t>
        </is>
      </c>
      <c r="E2" s="25" t="inlineStr">
        <is>
          <t>N. test</t>
        </is>
      </c>
    </row>
    <row r="3" ht="15" customHeight="1" s="22">
      <c r="A3" s="27" t="inlineStr">
        <is>
          <t>OK</t>
        </is>
      </c>
      <c r="B3" s="39">
        <f>COUNTIF('Test Case'!G:G,"OK")</f>
        <v/>
      </c>
      <c r="D3" s="27" t="inlineStr">
        <is>
          <t>Setup</t>
        </is>
      </c>
      <c r="E3" s="39">
        <f>COUNTIF('Test Case'!B:B,"Setup")</f>
        <v/>
      </c>
    </row>
    <row r="4" ht="15" customHeight="1" s="22">
      <c r="A4" s="27" t="inlineStr">
        <is>
          <t>BUG</t>
        </is>
      </c>
      <c r="B4" s="39">
        <f>COUNTIF('Test Case'!G:G,"BUG")</f>
        <v/>
      </c>
      <c r="D4" s="27" t="inlineStr">
        <is>
          <t>Genitori - Home</t>
        </is>
      </c>
      <c r="E4" s="39">
        <f>COUNTIF('Test Case'!B:B,"Genitori - Home")</f>
        <v/>
      </c>
    </row>
    <row r="5" ht="15" customHeight="1" s="22">
      <c r="A5" s="27" t="inlineStr">
        <is>
          <t>FUNCTIONAL</t>
        </is>
      </c>
      <c r="B5" s="39">
        <f>COUNTIF('Test Case'!G:G,"FUNCTIONAL")</f>
        <v/>
      </c>
      <c r="D5" s="27" t="inlineStr">
        <is>
          <t>Genitori - Cerca</t>
        </is>
      </c>
      <c r="E5" s="39">
        <f>COUNTIF('Test Case'!B:B,"Genitori - Cerca")</f>
        <v/>
      </c>
    </row>
    <row r="6" ht="15" customHeight="1" s="22">
      <c r="A6" s="27" t="inlineStr">
        <is>
          <t>DA TESTARE</t>
        </is>
      </c>
      <c r="B6" s="39">
        <f>COUNTIF('Test Case'!G:G,"DA TESTARE")</f>
        <v/>
      </c>
      <c r="D6" s="27" t="inlineStr">
        <is>
          <t>Genitori - Attivita</t>
        </is>
      </c>
      <c r="E6" s="39">
        <f>COUNTIF('Test Case'!B:B,"Genitori - Attivita")</f>
        <v/>
      </c>
    </row>
    <row r="7" ht="15" customHeight="1" s="22">
      <c r="A7" s="29" t="inlineStr">
        <is>
          <t>Totale test case</t>
        </is>
      </c>
      <c r="B7" s="40">
        <f>COUNTA('Test Case'!A2:A10000)</f>
        <v/>
      </c>
      <c r="D7" s="27" t="inlineStr">
        <is>
          <t>Genitori - Prenotazione</t>
        </is>
      </c>
      <c r="E7" s="39">
        <f>COUNTIF('Test Case'!B:B,"Genitori - Prenotazione")</f>
        <v/>
      </c>
    </row>
    <row r="8" ht="15" customHeight="1" s="22">
      <c r="D8" s="27" t="inlineStr">
        <is>
          <t>Genitori - Gruppi</t>
        </is>
      </c>
      <c r="E8" s="39">
        <f>COUNTIF('Test Case'!B:B,"Genitori - Gruppi")</f>
        <v/>
      </c>
    </row>
    <row r="9" ht="15" customHeight="1" s="22">
      <c r="D9" s="27" t="inlineStr">
        <is>
          <t>Gestore - Richieste Gruppo</t>
        </is>
      </c>
      <c r="E9" s="39">
        <f>COUNTIF('Test Case'!B:B,"Gestore - Richieste Gruppo")</f>
        <v/>
      </c>
    </row>
    <row r="10" ht="15" customHeight="1" s="22">
      <c r="D10" s="27" t="inlineStr">
        <is>
          <t>Genitori - Accompagnamento</t>
        </is>
      </c>
      <c r="E10" s="39">
        <f>COUNTIF('Test Case'!B:B,"Genitori - Accompagnamento")</f>
        <v/>
      </c>
    </row>
    <row r="11" ht="15" customHeight="1" s="22">
      <c r="D11" s="27" t="inlineStr">
        <is>
          <t>Genitori - Calendario</t>
        </is>
      </c>
      <c r="E11" s="39">
        <f>COUNTIF('Test Case'!B:B,"Genitori - Calendario")</f>
        <v/>
      </c>
    </row>
    <row r="12" ht="15" customHeight="1" s="22">
      <c r="D12" s="27" t="inlineStr">
        <is>
          <t>Genitori - Profilo</t>
        </is>
      </c>
      <c r="E12" s="39">
        <f>COUNTIF('Test Case'!B:B,"Genitori - Profilo")</f>
        <v/>
      </c>
    </row>
    <row r="13" ht="15" customHeight="1" s="22">
      <c r="D13" s="27" t="inlineStr">
        <is>
          <t>Gestore - Dashboard</t>
        </is>
      </c>
      <c r="E13" s="39">
        <f>COUNTIF('Test Case'!B:B,"Gestore - Dashboard")</f>
        <v/>
      </c>
    </row>
    <row r="14" ht="15" customHeight="1" s="22">
      <c r="D14" s="27" t="inlineStr">
        <is>
          <t>Gestore - Attivita</t>
        </is>
      </c>
      <c r="E14" s="39">
        <f>COUNTIF('Test Case'!B:B,"Gestore - Attivita")</f>
        <v/>
      </c>
    </row>
    <row r="15" ht="15" customHeight="1" s="22">
      <c r="D15" s="27" t="inlineStr">
        <is>
          <t>Gestore - Promozioni</t>
        </is>
      </c>
      <c r="E15" s="39">
        <f>COUNTIF('Test Case'!B:B,"Gestore - Promozioni")</f>
        <v/>
      </c>
    </row>
    <row r="16" ht="15" customHeight="1" s="22">
      <c r="D16" s="27" t="inlineStr">
        <is>
          <t>Gestore - Profilo Centro</t>
        </is>
      </c>
      <c r="E16" s="39">
        <f>COUNTIF('Test Case'!B:B,"Gestore - Profilo Centro")</f>
        <v/>
      </c>
    </row>
    <row r="17" ht="15" customHeight="1" s="22">
      <c r="D17" s="27" t="inlineStr">
        <is>
          <t>Admin - Dashboard</t>
        </is>
      </c>
      <c r="E17" s="39">
        <f>COUNTIF('Test Case'!B:B,"Admin - Dashboard")</f>
        <v/>
      </c>
    </row>
    <row r="18" ht="15" customHeight="1" s="22">
      <c r="D18" s="27" t="inlineStr">
        <is>
          <t>Admin - Gestione</t>
        </is>
      </c>
      <c r="E18" s="39">
        <f>COUNTIF('Test Case'!B:B,"Admin - Gestione")</f>
        <v/>
      </c>
    </row>
    <row r="19" ht="15" customHeight="1" s="22">
      <c r="D19" s="27" t="inlineStr">
        <is>
          <t>Admin - Richieste Gruppo</t>
        </is>
      </c>
      <c r="E19" s="39">
        <f>COUNTIF('Test Case'!B:B,"Admin - Richieste Gruppo")</f>
        <v/>
      </c>
    </row>
    <row r="20" ht="15" customHeight="1" s="22">
      <c r="D20" s="27" t="inlineStr">
        <is>
          <t>Admin - Analytics</t>
        </is>
      </c>
      <c r="E20" s="39">
        <f>COUNTIF('Test Case'!B:B,"Admin - Analytics")</f>
        <v/>
      </c>
    </row>
    <row r="21" ht="15" customHeight="1" s="22">
      <c r="D21" s="27" t="inlineStr">
        <is>
          <t>Multi-tenant / PWA</t>
        </is>
      </c>
      <c r="E21" s="39">
        <f>COUNTIF('Test Case'!B:B,"Multi-tenant / PWA")</f>
        <v/>
      </c>
    </row>
    <row r="22" ht="15" customHeight="1" s="22">
      <c r="D22" s="27" t="inlineStr">
        <is>
          <t>Fuori scope attuale</t>
        </is>
      </c>
      <c r="E22" s="39">
        <f>COUNTIF('Test Case'!B:B,"Fuori scope attuale")</f>
        <v/>
      </c>
    </row>
    <row r="23" ht="15" customHeight="1" s="22">
      <c r="D23" s="27" t="inlineStr">
        <is>
          <t>Genitori - Home (Planner/Per Bambino)</t>
        </is>
      </c>
      <c r="E23" s="39">
        <f>COUNTIF('Test Case'!B:B,"Genitori - Home (Planner/Per Bambino)")</f>
        <v/>
      </c>
    </row>
    <row r="24">
      <c r="D24" s="27" t="inlineStr">
        <is>
          <t>Gestore - Inviti</t>
        </is>
      </c>
      <c r="E24" s="39">
        <f>COUNTIF('Test Case'!B:B,"Gestore - Inviti")</f>
        <v/>
      </c>
    </row>
    <row r="25">
      <c r="D25" s="27" t="inlineStr">
        <is>
          <t>Genitori - Registrazione</t>
        </is>
      </c>
      <c r="E25" s="39">
        <f>COUNTIF('Test Case'!B:B,"Genitori - Registrazione")</f>
        <v/>
      </c>
    </row>
    <row r="26">
      <c r="D26" s="27" t="inlineStr">
        <is>
          <t>Gestore - Le mie richieste</t>
        </is>
      </c>
      <c r="E26" s="39">
        <f>COUNTIF('Test Case'!B:B,"Gestore - Le mie richieste")</f>
        <v/>
      </c>
    </row>
    <row r="27">
      <c r="D27" s="27" t="inlineStr">
        <is>
          <t>Gestore - Report presenze</t>
        </is>
      </c>
      <c r="E27" s="39">
        <f>COUNTIF('Test Case'!B:B,"Gestore - Report presenze")</f>
        <v/>
      </c>
    </row>
    <row r="28">
      <c r="D28" s="21" t="inlineStr">
        <is>
          <t>Admin - Nuovi pannelli</t>
        </is>
      </c>
      <c r="E28" s="21">
        <f>COUNTIF('Test Case'!B:B,"Admin - Nuovi pannelli")</f>
        <v/>
      </c>
    </row>
    <row r="29">
      <c r="D29" s="21" t="inlineStr">
        <is>
          <t>Gestore - Account</t>
        </is>
      </c>
      <c r="E29" s="21">
        <f>COUNTIF('Test Case'!B:B,"Gestore - Account")</f>
        <v/>
      </c>
    </row>
    <row r="30">
      <c r="D30" s="21" t="inlineStr">
        <is>
          <t>Gestore - Il mio account</t>
        </is>
      </c>
      <c r="E30" s="21">
        <f>COUNTIF('Test Case'!B:B,"Gestore - Il mio account")</f>
        <v/>
      </c>
    </row>
    <row r="31">
      <c r="D31" s="21" t="inlineStr">
        <is>
          <t>Gestore - Registro presenze</t>
        </is>
      </c>
      <c r="E31" s="21">
        <f>COUNTIF('Test Case'!B:B,"Gestore - Registro presenze")</f>
        <v/>
      </c>
    </row>
    <row r="32">
      <c r="D32" s="21" t="inlineStr">
        <is>
          <t>NEXTGEN - Setup</t>
        </is>
      </c>
      <c r="E32" s="21">
        <f>COUNTIF('Test Case'!B:B,"NEXTGEN - Setup")</f>
        <v/>
      </c>
    </row>
    <row r="33">
      <c r="D33" s="21" t="inlineStr">
        <is>
          <t>NEXTGEN - Dashboard Genitore</t>
        </is>
      </c>
      <c r="E33" s="21">
        <f>COUNTIF('Test Case'!B:B,"NEXTGEN - Dashboard Genitore")</f>
        <v/>
      </c>
    </row>
    <row r="34">
      <c r="D34" s="21" t="inlineStr">
        <is>
          <t>NEXTGEN - Ricerca e scoperta</t>
        </is>
      </c>
      <c r="E34" s="21">
        <f>COUNTIF('Test Case'!B:B,"NEXTGEN - Ricerca e scoperta")</f>
        <v/>
      </c>
    </row>
    <row r="35">
      <c r="D35" s="21" t="inlineStr">
        <is>
          <t>NEXTGEN - Planner</t>
        </is>
      </c>
      <c r="E35" s="21">
        <f>COUNTIF('Test Case'!B:B,"NEXTGEN - Planner")</f>
        <v/>
      </c>
    </row>
    <row r="36">
      <c r="D36" s="21" t="inlineStr">
        <is>
          <t>NEXTGEN - Home (rifinitura)</t>
        </is>
      </c>
      <c r="E36" s="21">
        <f>COUNTIF('Test Case'!B:B,"NEXTGEN - Home (rifinitura)")</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2026-07-10T18:34:01Z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