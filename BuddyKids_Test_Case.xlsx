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219"/>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c r="A186" s="21" t="inlineStr">
        <is>
          <t>TC-188</t>
        </is>
      </c>
      <c r="B186" s="21" t="inlineStr">
        <is>
          <t>Genitori - Le mie prenotazioni</t>
        </is>
      </c>
      <c r="C186" s="21" t="inlineStr">
        <is>
          <t>Dashboard 'Le mie prenotazioni' con Vista Elenco/Copertura/Calendario, copertura e statistiche</t>
        </is>
      </c>
      <c r="D186" s="21" t="inlineStr">
        <is>
          <t>Nessuna (gestisce anche account senza prenotazioni)</t>
        </is>
      </c>
      <c r="E186" s="21" t="inlineStr">
        <is>
          <t>Login Genitore -&gt; Le mie prenotazioni</t>
        </is>
      </c>
      <c r="F186" s="21"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1" t="inlineStr">
        <is>
          <t>DA TESTARE</t>
        </is>
      </c>
      <c r="H186" s="21">
        <f>IF(G186="BUG","BUG-"&amp;A186,IF(G186="FUNCTIONAL","FUNCTIONAL-"&amp;A186,""))</f>
        <v/>
      </c>
      <c r="I186" s="21" t="inlineStr">
        <is>
          <t>Alta</t>
        </is>
      </c>
      <c r="L186" s="21"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c r="A187" s="21" t="inlineStr">
        <is>
          <t>TC-189</t>
        </is>
      </c>
      <c r="B187" s="21" t="inlineStr">
        <is>
          <t>Genitori - Home</t>
        </is>
      </c>
      <c r="C187" s="21" t="inlineStr">
        <is>
          <t>'Già prenotato per [bambino]' in Home apre Le mie prenotazioni filtrata su quel bambino</t>
        </is>
      </c>
      <c r="D187" s="21" t="inlineStr">
        <is>
          <t>Almeno un bambino con una prenotazione</t>
        </is>
      </c>
      <c r="E187" s="21" t="inlineStr">
        <is>
          <t>Login Genitore -&gt; Home -&gt; vista 'Per bambino' -&gt; click su una riga sotto 'Già prenotato per [nome]'</t>
        </is>
      </c>
      <c r="F187" s="21" t="inlineStr">
        <is>
          <t>Si apre /prenotazioni?kid=[id bambino], con il filtro rapido bambino già impostato su quel figlio (non più la scheda del campus)</t>
        </is>
      </c>
      <c r="G187" s="21" t="inlineStr">
        <is>
          <t>DA TESTARE</t>
        </is>
      </c>
      <c r="H187" s="21">
        <f>IF(G187="BUG","BUG-"&amp;A187,IF(G187="FUNCTIONAL","FUNCTIONAL-"&amp;A187,""))</f>
        <v/>
      </c>
      <c r="I187" s="21" t="inlineStr">
        <is>
          <t>Alta</t>
        </is>
      </c>
      <c r="L187" s="21"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c r="A188" s="21" t="inlineStr">
        <is>
          <t>TC-190</t>
        </is>
      </c>
      <c r="B188" s="21" t="inlineStr">
        <is>
          <t>Genitori - Le mie prenotazioni</t>
        </is>
      </c>
      <c r="C188" s="21" t="inlineStr">
        <is>
          <t>Azioni rapide (Dettagli/Modifica/Annulla/Contatta) rispettano la finestra di preavviso del centro</t>
        </is>
      </c>
      <c r="D188" s="21" t="inlineStr">
        <is>
          <t>Almeno una prenotazione confermata</t>
        </is>
      </c>
      <c r="E188" s="21" t="inlineStr">
        <is>
          <t>Login Genitore -&gt; Le mie prenotazioni -&gt; osserva le azioni rapide su una card</t>
        </is>
      </c>
      <c r="F188" s="21"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1" t="inlineStr">
        <is>
          <t>DA TESTARE</t>
        </is>
      </c>
      <c r="H188" s="21">
        <f>IF(G188="BUG","BUG-"&amp;A188,IF(G188="FUNCTIONAL","FUNCTIONAL-"&amp;A188,""))</f>
        <v/>
      </c>
      <c r="I188" s="21" t="inlineStr">
        <is>
          <t>Alta</t>
        </is>
      </c>
      <c r="L188" s="21"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c r="A189" s="21" t="inlineStr">
        <is>
          <t>TC-191</t>
        </is>
      </c>
      <c r="B189" s="21" t="inlineStr">
        <is>
          <t>Genitori - Le mie prenotazioni</t>
        </is>
      </c>
      <c r="C189" s="21" t="inlineStr">
        <is>
          <t>Pagina 'Modifica prenotazione' permette di cambiare le settimane e ricalcola il totale</t>
        </is>
      </c>
      <c r="D189" s="21" t="inlineStr">
        <is>
          <t>Prenotazione modificabile (entro la finestra di preavviso)</t>
        </is>
      </c>
      <c r="E189" s="21" t="inlineStr">
        <is>
          <t>Login Genitore -&gt; Le mie prenotazioni -&gt; 'Modifica' su una prenotazione -&gt; cambia le settimane selezionate -&gt; Salva modifiche</t>
        </is>
      </c>
      <c r="F189" s="21"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1" t="inlineStr">
        <is>
          <t>DA TESTARE</t>
        </is>
      </c>
      <c r="H189" s="21">
        <f>IF(G189="BUG","BUG-"&amp;A189,IF(G189="FUNCTIONAL","FUNCTIONAL-"&amp;A189,""))</f>
        <v/>
      </c>
      <c r="I189" s="21" t="inlineStr">
        <is>
          <t>Alta</t>
        </is>
      </c>
      <c r="L189" s="21"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c r="A190" s="21" t="inlineStr">
        <is>
          <t>TC-192</t>
        </is>
      </c>
      <c r="B190" s="21" t="inlineStr">
        <is>
          <t>Gestore - Il mio centro</t>
        </is>
      </c>
      <c r="C190" s="21" t="inlineStr">
        <is>
          <t>Il centro può configurare i giorni di preavviso per annullo/modifica prenotazione</t>
        </is>
      </c>
      <c r="D190" s="21" t="inlineStr">
        <is>
          <t>Account collegato a un centro</t>
        </is>
      </c>
      <c r="E190" s="21" t="inlineStr">
        <is>
          <t>Login Gestore -&gt; Il mio centro -&gt; sezione 'Cancellazioni e modifiche' -&gt; modifica 'Giorni di preavviso richiesti' -&gt; Salva</t>
        </is>
      </c>
      <c r="F190" s="21" t="inlineStr">
        <is>
          <t>Il valore viene salvato su centers.cancellation_window_days e si applica subito lato genitore (Le mie prenotazioni) per decidere se Modifica/Annulla sono disponibili in autonomia oppure serve contattare il centro</t>
        </is>
      </c>
      <c r="G190" s="21" t="inlineStr">
        <is>
          <t>DA TESTARE</t>
        </is>
      </c>
      <c r="H190" s="21">
        <f>IF(G190="BUG","BUG-"&amp;A190,IF(G190="FUNCTIONAL","FUNCTIONAL-"&amp;A190,""))</f>
        <v/>
      </c>
      <c r="I190" s="21" t="inlineStr">
        <is>
          <t>Alta</t>
        </is>
      </c>
      <c r="L190" s="21"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c r="A191" s="21" t="inlineStr">
        <is>
          <t>TC-N01</t>
        </is>
      </c>
      <c r="B191" s="21" t="inlineStr">
        <is>
          <t>NEXTGEN - Setup</t>
        </is>
      </c>
      <c r="C191" s="21" t="inlineStr">
        <is>
          <t>/nextgen raggiungibile da un genitore autenticato</t>
        </is>
      </c>
      <c r="D191" s="21" t="inlineStr">
        <is>
          <t>Account genitore di test</t>
        </is>
      </c>
      <c r="E191" s="21" t="inlineStr">
        <is>
          <t>Login Genitore -&gt; vai su /nextgen</t>
        </is>
      </c>
      <c r="F191" s="21" t="inlineStr">
        <is>
          <t>La pagina si apre, mostra il badge 'NextGen' e i dati del genitore (bambini) letti tramite lo stesso layer dati di LEGACY</t>
        </is>
      </c>
      <c r="G191" s="21" t="inlineStr">
        <is>
          <t>DA TESTARE</t>
        </is>
      </c>
      <c r="H191" s="21">
        <f>IF(G191="BUG","BUG-"&amp;A191,IF(G191="FUNCTIONAL","FUNCTIONAL-"&amp;A191,""))</f>
        <v/>
      </c>
      <c r="I191" s="21" t="inlineStr">
        <is>
          <t>Alta</t>
        </is>
      </c>
      <c r="L191" s="21"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c r="A192" s="21" t="inlineStr">
        <is>
          <t>TC-N02</t>
        </is>
      </c>
      <c r="B192" s="21" t="inlineStr">
        <is>
          <t>NEXTGEN - Setup</t>
        </is>
      </c>
      <c r="C192" s="21" t="inlineStr">
        <is>
          <t>/nextgen/center raggiungibile da un gestore</t>
        </is>
      </c>
      <c r="D192" s="21" t="inlineStr">
        <is>
          <t>Account gestore di test collegato a un centro</t>
        </is>
      </c>
      <c r="E192" s="21" t="inlineStr">
        <is>
          <t>Login Gestore -&gt; vai su /nextgen/center</t>
        </is>
      </c>
      <c r="F192" s="21" t="inlineStr">
        <is>
          <t>La pagina si apre, mostra il badge 'NextGen' e il nome del centro collegato tramite lib/data/center-admin.ts (stesso layer di LEGACY)</t>
        </is>
      </c>
      <c r="G192" s="21" t="inlineStr">
        <is>
          <t>DA TESTARE</t>
        </is>
      </c>
      <c r="H192" s="21">
        <f>IF(G192="BUG","BUG-"&amp;A192,IF(G192="FUNCTIONAL","FUNCTIONAL-"&amp;A192,""))</f>
        <v/>
      </c>
      <c r="I192" s="21" t="inlineStr">
        <is>
          <t>Alta</t>
        </is>
      </c>
      <c r="L192" s="21" t="inlineStr">
        <is>
          <t>SPRINT 0. Vedi app/nextgen/center/layout.tsx, app/nextgen/center/page.tsx.</t>
        </is>
      </c>
    </row>
    <row r="193">
      <c r="A193" s="21" t="inlineStr">
        <is>
          <t>TC-N03</t>
        </is>
      </c>
      <c r="B193" s="21" t="inlineStr">
        <is>
          <t>NEXTGEN - Setup</t>
        </is>
      </c>
      <c r="C193" s="21" t="inlineStr">
        <is>
          <t>/nextgen/admin raggiungibile da un platform_admin</t>
        </is>
      </c>
      <c r="D193" s="21" t="inlineStr">
        <is>
          <t>Account platform_admin di test</t>
        </is>
      </c>
      <c r="E193" s="21" t="inlineStr">
        <is>
          <t>Login Admin -&gt; vai su /nextgen/admin</t>
        </is>
      </c>
      <c r="F193" s="21" t="inlineStr">
        <is>
          <t>La pagina si apre e mostra il badge 'NextGen'</t>
        </is>
      </c>
      <c r="G193" s="21" t="inlineStr">
        <is>
          <t>DA TESTARE</t>
        </is>
      </c>
      <c r="H193" s="21">
        <f>IF(G193="BUG","BUG-"&amp;A193,IF(G193="FUNCTIONAL","FUNCTIONAL-"&amp;A193,""))</f>
        <v/>
      </c>
      <c r="I193" s="21" t="inlineStr">
        <is>
          <t>Media</t>
        </is>
      </c>
      <c r="L193" s="21" t="inlineStr">
        <is>
          <t>SPRINT 0. Vedi app/nextgen/admin/layout.tsx, app/nextgen/admin/page.tsx.</t>
        </is>
      </c>
    </row>
    <row r="194">
      <c r="A194" s="21" t="inlineStr">
        <is>
          <t>TC-N04</t>
        </is>
      </c>
      <c r="B194" s="21" t="inlineStr">
        <is>
          <t>NEXTGEN - Setup</t>
        </is>
      </c>
      <c r="C194" s="21" t="inlineStr">
        <is>
          <t>Un genitore non può accedere a /nextgen/center</t>
        </is>
      </c>
      <c r="D194" s="21" t="inlineStr">
        <is>
          <t>Account genitore di test (ruolo parent)</t>
        </is>
      </c>
      <c r="E194" s="21" t="inlineStr">
        <is>
          <t>Login Genitore -&gt; vai su /nextgen/center</t>
        </is>
      </c>
      <c r="F194" s="21" t="inlineStr">
        <is>
          <t>Redirect automatico a /nextgen, nessun contenuto Gestore mostrato</t>
        </is>
      </c>
      <c r="G194" s="21" t="inlineStr">
        <is>
          <t>DA TESTARE</t>
        </is>
      </c>
      <c r="H194" s="21">
        <f>IF(G194="BUG","BUG-"&amp;A194,IF(G194="FUNCTIONAL","FUNCTIONAL-"&amp;A194,""))</f>
        <v/>
      </c>
      <c r="I194" s="21" t="inlineStr">
        <is>
          <t>Alta</t>
        </is>
      </c>
      <c r="L194" s="21" t="inlineStr">
        <is>
          <t>SPRINT 0 - stesso schema di guard-per-ruolo di LEGACY (app/center/layout.tsx), replicato nel nuovo namespace.</t>
        </is>
      </c>
    </row>
    <row r="195">
      <c r="A195" s="21" t="inlineStr">
        <is>
          <t>TC-N05</t>
        </is>
      </c>
      <c r="B195" s="21" t="inlineStr">
        <is>
          <t>NEXTGEN - Setup</t>
        </is>
      </c>
      <c r="C195" s="21" t="inlineStr">
        <is>
          <t>Un genitore non può accedere a /nextgen/admin</t>
        </is>
      </c>
      <c r="D195" s="21" t="inlineStr">
        <is>
          <t>Account genitore di test (ruolo parent)</t>
        </is>
      </c>
      <c r="E195" s="21" t="inlineStr">
        <is>
          <t>Login Genitore -&gt; vai su /nextgen/admin</t>
        </is>
      </c>
      <c r="F195" s="21" t="inlineStr">
        <is>
          <t>Redirect automatico a /nextgen, nessun contenuto Admin mostrato</t>
        </is>
      </c>
      <c r="G195" s="21" t="inlineStr">
        <is>
          <t>DA TESTARE</t>
        </is>
      </c>
      <c r="H195" s="21">
        <f>IF(G195="BUG","BUG-"&amp;A195,IF(G195="FUNCTIONAL","FUNCTIONAL-"&amp;A195,""))</f>
        <v/>
      </c>
      <c r="I195" s="21" t="inlineStr">
        <is>
          <t>Alta</t>
        </is>
      </c>
      <c r="L195" s="21" t="inlineStr">
        <is>
          <t>SPRINT 0.</t>
        </is>
      </c>
    </row>
    <row r="196">
      <c r="A196" s="21" t="inlineStr">
        <is>
          <t>TC-N06</t>
        </is>
      </c>
      <c r="B196" s="21" t="inlineStr">
        <is>
          <t>NEXTGEN - Setup</t>
        </is>
      </c>
      <c r="C196" s="21" t="inlineStr">
        <is>
          <t>Un utente non autenticato viene rediretto al login da /nextgen</t>
        </is>
      </c>
      <c r="D196" s="21" t="inlineStr">
        <is>
          <t>Nessuna sessione attiva</t>
        </is>
      </c>
      <c r="E196" s="21" t="inlineStr">
        <is>
          <t>Senza login, vai direttamente su /nextgen</t>
        </is>
      </c>
      <c r="F196" s="21" t="inlineStr">
        <is>
          <t>Redirect a /auth/login?next=/nextgen (stesso comportamento di LEGACY)</t>
        </is>
      </c>
      <c r="G196" s="21" t="inlineStr">
        <is>
          <t>DA TESTARE</t>
        </is>
      </c>
      <c r="H196" s="21">
        <f>IF(G196="BUG","BUG-"&amp;A196,IF(G196="FUNCTIONAL","FUNCTIONAL-"&amp;A196,""))</f>
        <v/>
      </c>
      <c r="I196" s="21" t="inlineStr">
        <is>
          <t>Alta</t>
        </is>
      </c>
      <c r="L196" s="21" t="inlineStr">
        <is>
          <t>SPRINT 0.</t>
        </is>
      </c>
    </row>
    <row r="197">
      <c r="A197" s="21" t="inlineStr">
        <is>
          <t>TC-N07</t>
        </is>
      </c>
      <c r="B197" s="21" t="inlineStr">
        <is>
          <t>NEXTGEN - Dashboard Genitore</t>
        </is>
      </c>
      <c r="C197" s="21" t="inlineStr">
        <is>
          <t>La copertura dell'estate è il primo contenuto mostrato in home</t>
        </is>
      </c>
      <c r="D197" s="21" t="inlineStr">
        <is>
          <t>Account genitore di test</t>
        </is>
      </c>
      <c r="E197" s="21" t="inlineStr">
        <is>
          <t>Login Genitore -&gt; vai su /nextgen</t>
        </is>
      </c>
      <c r="F197" s="21" t="inlineStr">
        <is>
          <t>Prima di tutto (sopra prossimi impegni e statistiche) è visibile una card con la copertura delle settimane (organizzato/parzialmente/scoperto) e un messaggio di sintesi</t>
        </is>
      </c>
      <c r="G197" s="21" t="inlineStr">
        <is>
          <t>DA TESTARE</t>
        </is>
      </c>
      <c r="H197" s="21">
        <f>IF(G197="BUG","BUG-"&amp;A197,IF(G197="FUNCTIONAL","FUNCTIONAL-"&amp;A197,""))</f>
        <v/>
      </c>
      <c r="I197" s="21" t="inlineStr">
        <is>
          <t>Alta</t>
        </is>
      </c>
      <c r="L197" s="21"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c r="A198" s="21" t="inlineStr">
        <is>
          <t>TC-N08</t>
        </is>
      </c>
      <c r="B198" s="21" t="inlineStr">
        <is>
          <t>NEXTGEN - Dashboard Genitore</t>
        </is>
      </c>
      <c r="C198" s="21" t="inlineStr">
        <is>
          <t>L'elenco completo prenotazioni è secondario, collassato di default</t>
        </is>
      </c>
      <c r="D198" s="21" t="inlineStr">
        <is>
          <t>Almeno una prenotazione</t>
        </is>
      </c>
      <c r="E198" s="21" t="inlineStr">
        <is>
          <t>Login Genitore -&gt; /nextgen -&gt; scorri fino a 'Tutte le prenotazioni' -&gt; espandi</t>
        </is>
      </c>
      <c r="F198" s="21"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1" t="inlineStr">
        <is>
          <t>DA TESTARE</t>
        </is>
      </c>
      <c r="H198" s="21">
        <f>IF(G198="BUG","BUG-"&amp;A198,IF(G198="FUNCTIONAL","FUNCTIONAL-"&amp;A198,""))</f>
        <v/>
      </c>
      <c r="I198" s="21" t="inlineStr">
        <is>
          <t>Media</t>
        </is>
      </c>
      <c r="L198" s="21"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c r="A199" s="21" t="inlineStr">
        <is>
          <t>TC-N09</t>
        </is>
      </c>
      <c r="B199" s="21" t="inlineStr">
        <is>
          <t>NEXTGEN - Dashboard Genitore</t>
        </is>
      </c>
      <c r="C199" s="21" t="inlineStr">
        <is>
          <t>Statistiche sintetiche (confermate/in attesa/speso) sempre visibili</t>
        </is>
      </c>
      <c r="D199" s="21" t="inlineStr">
        <is>
          <t>Nessuna (gestisce anche account senza prenotazioni)</t>
        </is>
      </c>
      <c r="E199" s="21" t="inlineStr">
        <is>
          <t>Login Genitore -&gt; vai su /nextgen</t>
        </is>
      </c>
      <c r="F199" s="21" t="inlineStr">
        <is>
          <t>3 tile compatte sempre visibili: numero prenotazioni Confermate, numero In attesa, Speso finora (€)</t>
        </is>
      </c>
      <c r="G199" s="21" t="inlineStr">
        <is>
          <t>DA TESTARE</t>
        </is>
      </c>
      <c r="H199" s="21">
        <f>IF(G199="BUG","BUG-"&amp;A199,IF(G199="FUNCTIONAL","FUNCTIONAL-"&amp;A199,""))</f>
        <v/>
      </c>
      <c r="I199" s="21" t="inlineStr">
        <is>
          <t>Media</t>
        </is>
      </c>
      <c r="L199" s="21" t="inlineStr">
        <is>
          <t>SPRINT 1 - riepilogo pianificazione + stato prenotazioni unificati in un'unica riga di 3 tile, per non duplicare l'indicatore di copertura già mostrato in cima.</t>
        </is>
      </c>
    </row>
    <row r="200">
      <c r="A200" s="21" t="inlineStr">
        <is>
          <t>TC-N10</t>
        </is>
      </c>
      <c r="B200" s="21" t="inlineStr">
        <is>
          <t>NEXTGEN - Ricerca e scoperta</t>
        </is>
      </c>
      <c r="C200" s="21" t="inlineStr">
        <is>
          <t>/nextgen/search mostra risultati ordinati con motivazioni, senza pannelli filtro multipli</t>
        </is>
      </c>
      <c r="D200" s="21" t="inlineStr">
        <is>
          <t>Account genitore di test</t>
        </is>
      </c>
      <c r="E200" s="21" t="inlineStr">
        <is>
          <t>Login Genitore -&gt; /nextgen -&gt; 'Scopri attività'</t>
        </is>
      </c>
      <c r="F200" s="21" t="inlineStr">
        <is>
          <t>La pagina mostra: campo di ricerca testuale, pulsante 'Usa la mia posizione', chip bambino (se 2+ bambini) - NESSUN pannello età/prezzo/zona/tag/servizi separato. Ogni risultato mostra motivazioni leggibili (es. 'Piace a Piero', 'Vicino a te') sopra la card</t>
        </is>
      </c>
      <c r="G200" s="21" t="inlineStr">
        <is>
          <t>DA TESTARE</t>
        </is>
      </c>
      <c r="H200" s="21">
        <f>IF(G200="BUG","BUG-"&amp;A200,IF(G200="FUNCTIONAL","FUNCTIONAL-"&amp;A200,""))</f>
        <v/>
      </c>
      <c r="I200" s="21" t="inlineStr">
        <is>
          <t>Alta</t>
        </is>
      </c>
      <c r="L200" s="21"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c r="A201" s="21" t="inlineStr">
        <is>
          <t>TC-N11</t>
        </is>
      </c>
      <c r="B201" s="21" t="inlineStr">
        <is>
          <t>NEXTGEN - Ricerca e scoperta</t>
        </is>
      </c>
      <c r="C201" s="21" t="inlineStr">
        <is>
          <t>Il link 'Scopri attività' nella Dashboard porta alla Ricerca NEXTGEN</t>
        </is>
      </c>
      <c r="D201" s="21" t="inlineStr">
        <is>
          <t>Nessuna</t>
        </is>
      </c>
      <c r="E201" s="21" t="inlineStr">
        <is>
          <t>Login Genitore -&gt; /nextgen -&gt; click su 'Scopri attività' (accanto alla card di copertura)</t>
        </is>
      </c>
      <c r="F201" s="21" t="inlineStr">
        <is>
          <t>Naviga a /nextgen/search</t>
        </is>
      </c>
      <c r="G201" s="21" t="inlineStr">
        <is>
          <t>DA TESTARE</t>
        </is>
      </c>
      <c r="H201" s="21">
        <f>IF(G201="BUG","BUG-"&amp;A201,IF(G201="FUNCTIONAL","FUNCTIONAL-"&amp;A201,""))</f>
        <v/>
      </c>
      <c r="I201" s="21" t="inlineStr">
        <is>
          <t>Media</t>
        </is>
      </c>
      <c r="L201" s="21" t="inlineStr">
        <is>
          <t>SPRINT 2 - unico punto di ingresso aggiunto alla Dashboard Sprint 1.</t>
        </is>
      </c>
    </row>
    <row r="202">
      <c r="A202" s="21" t="inlineStr">
        <is>
          <t>TC-N12</t>
        </is>
      </c>
      <c r="B202" s="21" t="inlineStr">
        <is>
          <t>NEXTGEN - Ricerca e scoperta</t>
        </is>
      </c>
      <c r="C202" s="21" t="inlineStr">
        <is>
          <t>Il filtro testuale per nome riduce correttamente i risultati</t>
        </is>
      </c>
      <c r="D202" s="21" t="inlineStr">
        <is>
          <t>Nessuna</t>
        </is>
      </c>
      <c r="E202" s="21" t="inlineStr">
        <is>
          <t>In /nextgen/search, scrivi un nome che non esiste in nessuna attività</t>
        </is>
      </c>
      <c r="F202" s="21" t="inlineStr">
        <is>
          <t>Messaggio 'Nessuna attività trovata.'</t>
        </is>
      </c>
      <c r="G202" s="21" t="inlineStr">
        <is>
          <t>DA TESTARE</t>
        </is>
      </c>
      <c r="H202" s="21">
        <f>IF(G202="BUG","BUG-"&amp;A202,IF(G202="FUNCTIONAL","FUNCTIONAL-"&amp;A202,""))</f>
        <v/>
      </c>
      <c r="I202" s="21" t="inlineStr">
        <is>
          <t>Bassa</t>
        </is>
      </c>
      <c r="L202" s="21" t="inlineStr">
        <is>
          <t>SPRINT 2 - unico filtro manuale rimasto oltre al bambino e alla posizione, per scelta di scope (prezzo/servizi restano informazioni sulla card, non filtri, in questo sprint).</t>
        </is>
      </c>
    </row>
    <row r="203">
      <c r="A203" s="21" t="inlineStr">
        <is>
          <t>TC-N13</t>
        </is>
      </c>
      <c r="B203" s="21" t="inlineStr">
        <is>
          <t>NEXTGEN - Planner</t>
        </is>
      </c>
      <c r="C203" s="21" t="inlineStr">
        <is>
          <t>/nextgen/planner mostra la timeline familiare completa (13 settimane)</t>
        </is>
      </c>
      <c r="D203" s="21" t="inlineStr">
        <is>
          <t>Account genitore di test</t>
        </is>
      </c>
      <c r="E203" s="21" t="inlineStr">
        <is>
          <t>Login Genitore -&gt; /nextgen -&gt; 'Apri il planner completo' (o tab Planner)</t>
        </is>
      </c>
      <c r="F203" s="21" t="inlineStr">
        <is>
          <t>La pagina mostra: copertura (X di Y settimane coperte + barra), timeline con tutte le 13 settimane (Sett. 1...Sett. 13), stato per ciascuna (coperta/scoperta/non ti serve)</t>
        </is>
      </c>
      <c r="G203" s="21" t="inlineStr">
        <is>
          <t>DA TESTARE</t>
        </is>
      </c>
      <c r="H203" s="21">
        <f>IF(G203="BUG","BUG-"&amp;A203,IF(G203="FUNCTIONAL","FUNCTIONAL-"&amp;A203,""))</f>
        <v/>
      </c>
      <c r="I203" s="21" t="inlineStr">
        <is>
          <t>Alta</t>
        </is>
      </c>
      <c r="L203" s="21" t="inlineStr">
        <is>
          <t>SPRINT 3 (richiesta di Fabrizio: 'trasformare il Planner nella feature principale del prodotto... il cuore dell'esperienza'). Riusa getPlannerData (INVARIATO, gia' di Sprint 1). Vedi app/nextgen/planner/page.tsx, PlannerClient.tsx.</t>
        </is>
      </c>
    </row>
    <row r="204">
      <c r="A204" s="21" t="inlineStr">
        <is>
          <t>TC-N14</t>
        </is>
      </c>
      <c r="B204" s="21" t="inlineStr">
        <is>
          <t>NEXTGEN - Planner</t>
        </is>
      </c>
      <c r="C204" s="21" t="inlineStr">
        <is>
          <t>Sovrapposizioni reali (stesso bambino, 2 prenotazioni sulla stessa settimana) segnalate chiaramente</t>
        </is>
      </c>
      <c r="D204" s="21" t="inlineStr">
        <is>
          <t>Account genitore di test con un bambino prenotato 2 volte sulla stessa settimana fisica (dato di test)</t>
        </is>
      </c>
      <c r="E204" s="21" t="inlineStr">
        <is>
          <t>Login Genitore -&gt; /nextgen/planner</t>
        </is>
      </c>
      <c r="F204" s="21" t="inlineStr">
        <is>
          <t>Riquadro 'Sovrapposizioni da controllare' visibile, con nome bambino + settimana + le 2 attivita' coinvolte. Se non ci sono sovrapposizioni, il riquadro non appare.</t>
        </is>
      </c>
      <c r="G204" s="21" t="inlineStr">
        <is>
          <t>DA TESTARE</t>
        </is>
      </c>
      <c r="H204" s="21">
        <f>IF(G204="BUG","BUG-"&amp;A204,IF(G204="FUNCTIONAL","FUNCTIONAL-"&amp;A204,""))</f>
        <v/>
      </c>
      <c r="I204" s="21" t="inlineStr">
        <is>
          <t>Alta</t>
        </is>
      </c>
      <c r="L204" s="21"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c r="A205" s="21" t="inlineStr">
        <is>
          <t>TC-N15</t>
        </is>
      </c>
      <c r="B205" s="21" t="inlineStr">
        <is>
          <t>NEXTGEN - Planner</t>
        </is>
      </c>
      <c r="C205" s="21" t="inlineStr">
        <is>
          <t>Budget impegnato (totale + per bambino) sempre visibile</t>
        </is>
      </c>
      <c r="D205" s="21" t="inlineStr">
        <is>
          <t>Account genitore di test con almeno una prenotazione attiva</t>
        </is>
      </c>
      <c r="E205" s="21" t="inlineStr">
        <is>
          <t>Login Genitore -&gt; /nextgen/planner</t>
        </is>
      </c>
      <c r="F205" s="21" t="inlineStr">
        <is>
          <t>Sezione 'Budget impegnato' con il totale (somma prenotazioni non annullate) e, se 2+ bambini, il dettaglio per bambino</t>
        </is>
      </c>
      <c r="G205" s="21" t="inlineStr">
        <is>
          <t>DA TESTARE</t>
        </is>
      </c>
      <c r="H205" s="21">
        <f>IF(G205="BUG","BUG-"&amp;A205,IF(G205="FUNCTIONAL","FUNCTIONAL-"&amp;A205,""))</f>
        <v/>
      </c>
      <c r="I205" s="21" t="inlineStr">
        <is>
          <t>Media</t>
        </is>
      </c>
      <c r="L205" s="21" t="inlineStr">
        <is>
          <t>SPRINT 3 - lib/nextgen/planner-insights.ts#computeBudgetSummary. Limite dichiarato (in nota a UI): una prenotazione condivisa fra piu' bambini viene conteggiata per intero su ciascuno (nessuno split prezzo per figlio nel modello dati attuale).</t>
        </is>
      </c>
    </row>
    <row r="206">
      <c r="A206" s="21" t="inlineStr">
        <is>
          <t>TC-N16</t>
        </is>
      </c>
      <c r="B206" s="21" t="inlineStr">
        <is>
          <t>NEXTGEN - Planner</t>
        </is>
      </c>
      <c r="C206" s="21" t="inlineStr">
        <is>
          <t>Consigli mirati alla settimana prioritaria (stesso motore di Ricerca Sprint 2)</t>
        </is>
      </c>
      <c r="D206" s="21" t="inlineStr">
        <is>
          <t>Account genitore di test con almeno una settimana scoperta</t>
        </is>
      </c>
      <c r="E206" s="21" t="inlineStr">
        <is>
          <t>Login Genitore -&gt; /nextgen/planner, scorri fino a 'Per riempire la settimana N'</t>
        </is>
      </c>
      <c r="F206" s="21" t="inlineStr">
        <is>
          <t>Fino a 4 attivita' consigliate con motivazioni leggibili (stesse di /nextgen/search), mirate alla settimana 'prioritaria' (un buco fra due settimane coperte ha priorita' sulla prima scoperta in ordine)</t>
        </is>
      </c>
      <c r="G206" s="21" t="inlineStr">
        <is>
          <t>DA TESTARE</t>
        </is>
      </c>
      <c r="H206" s="21">
        <f>IF(G206="BUG","BUG-"&amp;A206,IF(G206="FUNCTIONAL","FUNCTIONAL-"&amp;A206,""))</f>
        <v/>
      </c>
      <c r="I206" s="21" t="inlineStr">
        <is>
          <t>Media</t>
        </is>
      </c>
      <c r="L206" s="21" t="inlineStr">
        <is>
          <t>SPRINT 3 - riusa computeSmartMatches (Sprint 2, invariato) e lo stesso algoritmo 'settimana prioritaria' gia' in components/PlannerView.tsx (LEGACY), duplicato in planner-insights.ts#computePriorityWeekIndex per non toccare un componente client di LEGACY.</t>
        </is>
      </c>
    </row>
    <row r="207">
      <c r="A207" s="21" t="inlineStr">
        <is>
          <t>TC-N17</t>
        </is>
      </c>
      <c r="B207" s="21" t="inlineStr">
        <is>
          <t>NEXTGEN - Planner</t>
        </is>
      </c>
      <c r="C207" s="21" t="inlineStr">
        <is>
          <t>NextgenBottomNav permette di raggiungere Home/Planner/Cerca in un tocco</t>
        </is>
      </c>
      <c r="D207" s="21" t="inlineStr">
        <is>
          <t>Nessuna</t>
        </is>
      </c>
      <c r="E207" s="21" t="inlineStr">
        <is>
          <t>Login Genitore -&gt; qualsiasi pagina /nextgen -&gt; tocca 'Planner' poi 'Cerca' poi 'Home' nella barra in basso</t>
        </is>
      </c>
      <c r="F207" s="21" t="inlineStr">
        <is>
          <t>Naviga rispettivamente a /nextgen/planner, /nextgen/search, /nextgen - la voce attiva e' evidenziata</t>
        </is>
      </c>
      <c r="G207" s="21" t="inlineStr">
        <is>
          <t>DA TESTARE</t>
        </is>
      </c>
      <c r="H207" s="21">
        <f>IF(G207="BUG","BUG-"&amp;A207,IF(G207="FUNCTIONAL","FUNCTIONAL-"&amp;A207,""))</f>
        <v/>
      </c>
      <c r="I207" s="21" t="inlineStr">
        <is>
          <t>Media</t>
        </is>
      </c>
      <c r="L207" s="21" t="inlineStr">
        <is>
          <t>SPRINT 3 - nuovo componente components/nextgen/NextgenBottomNav.tsx (solo sotto /nextgen, non tocca components/BottomNav.tsx di LEGACY). Necessario ora che il Planner e' una destinazione di primo livello, non solo un link testuale.</t>
        </is>
      </c>
    </row>
    <row r="208">
      <c r="A208" s="21" t="inlineStr">
        <is>
          <t>TC-098</t>
        </is>
      </c>
      <c r="B208" s="21" t="inlineStr">
        <is>
          <t>Multi-tenant / PWA</t>
        </is>
      </c>
      <c r="C208" s="21" t="inlineStr">
        <is>
          <t>Manifest NEXTGEN distinto da quello LEGACY (stesso host)</t>
        </is>
      </c>
      <c r="D208" s="21" t="inlineStr">
        <is>
          <t>Account genitore di test</t>
        </is>
      </c>
      <c r="E208" s="21" t="inlineStr">
        <is>
          <t>Login Genitore -&gt; apri '/' poi '/nextgen' -&gt; ispeziona &lt;link rel='manifest'&gt; in entrambe</t>
        </is>
      </c>
      <c r="F208" s="21" t="inlineStr">
        <is>
          <t>'/' -&gt; /manifest-family.json (o partner/admin secondo tenant), '/nextgen' -&gt; /manifest-nextgen.json - DIVERSI, con scope/start_url/id '/nextgen' per NEXTGEN</t>
        </is>
      </c>
      <c r="G208" s="21" t="inlineStr">
        <is>
          <t>DA TESTARE</t>
        </is>
      </c>
      <c r="H208" s="21">
        <f>IF(G208="BUG","BUG-"&amp;A208,IF(G208="FUNCTIONAL","FUNCTIONAL-"&amp;A208,""))</f>
        <v/>
      </c>
      <c r="I208" s="21" t="inlineStr">
        <is>
          <t>Alta</t>
        </is>
      </c>
      <c r="L208" s="21"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c r="A209" s="21" t="inlineStr">
        <is>
          <t>TC-099</t>
        </is>
      </c>
      <c r="B209" s="21" t="inlineStr">
        <is>
          <t>Multi-tenant / PWA</t>
        </is>
      </c>
      <c r="C209" s="21" t="inlineStr">
        <is>
          <t>Installazione DOPPIA: LEGACY e NEXTGEN come app separate, senza banner sovrapposti</t>
        </is>
      </c>
      <c r="D209" s="21" t="inlineStr">
        <is>
          <t>Chrome Android o desktop, cache/service worker puliti</t>
        </is>
      </c>
      <c r="E209" s="21" t="inlineStr">
        <is>
          <t>Installa da '/' (LEGACY), poi vai su '/nextgen' e installa anche quella</t>
        </is>
      </c>
      <c r="F209" s="21" t="inlineStr">
        <is>
          <t>Due icone separate in home screen/launcher ('BuddyKids' e 'BuddyKids NextGen', icone diverse). Su '/nextgen' NON appare mai il banner 'Installa BuddyKids' di LEGACY insieme a quello NEXTGEN.</t>
        </is>
      </c>
      <c r="G209" s="21" t="inlineStr">
        <is>
          <t>DA TESTARE</t>
        </is>
      </c>
      <c r="H209" s="21">
        <f>IF(G209="BUG","BUG-"&amp;A209,IF(G209="FUNCTIONAL","FUNCTIONAL-"&amp;A209,""))</f>
        <v/>
      </c>
      <c r="I209" s="21" t="inlineStr">
        <is>
          <t>Alta</t>
        </is>
      </c>
      <c r="L209" s="21"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c r="A210" s="21" t="inlineStr">
        <is>
          <t>TC-N18</t>
        </is>
      </c>
      <c r="B210" s="21" t="inlineStr">
        <is>
          <t>NEXTGEN - Home (rifinitura)</t>
        </is>
      </c>
      <c r="C210" s="21" t="inlineStr">
        <is>
          <t>La Hero Card comunica stato, settimane mancanti e prossimo impegno con una CTA</t>
        </is>
      </c>
      <c r="D210" s="21" t="inlineStr">
        <is>
          <t>Account genitore di test</t>
        </is>
      </c>
      <c r="E210" s="21" t="inlineStr">
        <is>
          <t>Login Genitore -&gt; /nextgen</t>
        </is>
      </c>
      <c r="F210" s="21" t="inlineStr">
        <is>
          <t>Prima card, sfondo caldo distinto, testo 'Organizzata al N%', settimane mancanti nominate ('Settimana X, Settimana Y'), prossimo impegno con data leggibile, pulsante 'Continua a pianificare' -&gt; /nextgen/planner</t>
        </is>
      </c>
      <c r="G210" s="21" t="inlineStr">
        <is>
          <t>DA TESTARE</t>
        </is>
      </c>
      <c r="H210" s="21">
        <f>IF(G210="BUG","BUG-"&amp;A210,IF(G210="FUNCTIONAL","FUNCTIONAL-"&amp;A210,""))</f>
        <v/>
      </c>
      <c r="I210" s="21" t="inlineStr">
        <is>
          <t>Alta</t>
        </is>
      </c>
      <c r="L210" s="21" t="inlineStr">
        <is>
          <t>SPRINT CORRETTIVO (richiesta di Fabrizio: 'la Home deve essere un centro di controllo, capibile in meno di 3 secondi'). Stesso dato di Sprint 1 (getPlannerData), cambia solo la resa visiva/testuale in HomeDashboardClient.tsx.</t>
        </is>
      </c>
    </row>
    <row r="211">
      <c r="A211" s="21" t="inlineStr">
        <is>
          <t>TC-N19</t>
        </is>
      </c>
      <c r="B211" s="21" t="inlineStr">
        <is>
          <t>NEXTGEN - Home (rifinitura)</t>
        </is>
      </c>
      <c r="C211" s="21" t="inlineStr">
        <is>
          <t>Il check-in di oggi (se presente) appare in Home NEXTGEN, con badge codice visivo</t>
        </is>
      </c>
      <c r="D211" s="21" t="inlineStr">
        <is>
          <t>Account genitore di test con una prenotazione attiva OGGI</t>
        </is>
      </c>
      <c r="E211" s="21" t="inlineStr">
        <is>
          <t>Login Genitore -&gt; /nextgen</t>
        </is>
      </c>
      <c r="F211" s="21" t="inlineStr">
        <is>
          <t>Sezione 'Oggi' con la card di check-in (foto attività, domanda, badge 'Codice check-in'). Prima non compariva affatto in NEXTGEN.</t>
        </is>
      </c>
      <c r="G211" s="21" t="inlineStr">
        <is>
          <t>DA TESTARE</t>
        </is>
      </c>
      <c r="H211" s="21">
        <f>IF(G211="BUG","BUG-"&amp;A211,IF(G211="FUNCTIONAL","FUNCTIONAL-"&amp;A211,""))</f>
        <v/>
      </c>
      <c r="I211" s="21" t="inlineStr">
        <is>
          <t>Alta</t>
        </is>
      </c>
      <c r="L211" s="21"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c r="A212" s="21" t="inlineStr">
        <is>
          <t>TC-N20</t>
        </is>
      </c>
      <c r="B212" s="21" t="inlineStr">
        <is>
          <t>NEXTGEN - Home (rifinitura)</t>
        </is>
      </c>
      <c r="C212" s="21" t="inlineStr">
        <is>
          <t>Rispondere al check-in mostra un feedback positivo (toast) non invasivo</t>
        </is>
      </c>
      <c r="D212" s="21" t="inlineStr">
        <is>
          <t>Account genitore di test con check-in disponibile oggi</t>
        </is>
      </c>
      <c r="E212" s="21" t="inlineStr">
        <is>
          <t>Login Genitore -&gt; /nextgen -&gt; tocca 'Sì' sulla card di check-in</t>
        </is>
      </c>
      <c r="F212" s="21" t="inlineStr">
        <is>
          <t>Toast in basso con 'registrato con successo', si chiude da solo dopo ~2.6s, nessun popup modale da chiudere manualmente</t>
        </is>
      </c>
      <c r="G212" s="21" t="inlineStr">
        <is>
          <t>DA TESTARE</t>
        </is>
      </c>
      <c r="H212" s="21">
        <f>IF(G212="BUG","BUG-"&amp;A212,IF(G212="FUNCTIONAL","FUNCTIONAL-"&amp;A212,""))</f>
        <v/>
      </c>
      <c r="I212" s="21" t="inlineStr">
        <is>
          <t>Media</t>
        </is>
      </c>
      <c r="L212" s="21" t="inlineStr">
        <is>
          <t>SPRINT CORRETTIVO ('aumentare i micro-feedback positivi... evitare popup invasivi'). Nuovo components/nextgen/NextgenToastProvider.tsx (Context+hook), montato in app/nextgen/layout.tsx.</t>
        </is>
      </c>
    </row>
    <row r="213">
      <c r="A213" s="21" t="inlineStr">
        <is>
          <t>TC-N21</t>
        </is>
      </c>
      <c r="B213" s="21" t="inlineStr">
        <is>
          <t>NEXTGEN - Home (rifinitura)</t>
        </is>
      </c>
      <c r="C213" s="21" t="inlineStr">
        <is>
          <t>'Prossimo appuntamento' mostra una sola card visuale (non piu' una lista di 3)</t>
        </is>
      </c>
      <c r="D213" s="21" t="inlineStr">
        <is>
          <t>Account genitore di test con almeno una prenotazione futura</t>
        </is>
      </c>
      <c r="E213" s="21" t="inlineStr">
        <is>
          <t>Login Genitore -&gt; /nextgen</t>
        </is>
      </c>
      <c r="F213" s="21" t="inlineStr">
        <is>
          <t>Sezione 'Prossimo appuntamento' con UNA card (foto, figlio, periodo, badge stato, azione) - le altre prenotazioni sono in 'Prenotazioni' piu' sotto, non ripetute qui</t>
        </is>
      </c>
      <c r="G213" s="21" t="inlineStr">
        <is>
          <t>DA TESTARE</t>
        </is>
      </c>
      <c r="H213" s="21">
        <f>IF(G213="BUG","BUG-"&amp;A213,IF(G213="FUNCTIONAL","FUNCTIONAL-"&amp;A213,""))</f>
        <v/>
      </c>
      <c r="I213" s="21" t="inlineStr">
        <is>
          <t>Media</t>
        </is>
      </c>
      <c r="L213" s="21" t="inlineStr">
        <is>
          <t>SPRINT CORRETTIVO - prima erano 'Prossimi impegni' (plurale, fino a 3): ridotto a un solo elemento per diminuire le decisioni da prendere in Home (richiesta esplicita di riduzione del carico cognitivo).</t>
        </is>
      </c>
    </row>
    <row r="214">
      <c r="A214" s="21" t="inlineStr">
        <is>
          <t>TC-N22</t>
        </is>
      </c>
      <c r="B214" s="21" t="inlineStr">
        <is>
          <t>NEXTGEN - Home (rifinitura)</t>
        </is>
      </c>
      <c r="C214" s="21" t="inlineStr">
        <is>
          <t>Le statistiche sintetiche sono in fondo alla pagina, dopo Prenotazioni</t>
        </is>
      </c>
      <c r="D214" s="21" t="inlineStr">
        <is>
          <t>Account genitore di test con almeno una prenotazione</t>
        </is>
      </c>
      <c r="E214" s="21" t="inlineStr">
        <is>
          <t>Login Genitore -&gt; /nextgen -&gt; scorri la pagina</t>
        </is>
      </c>
      <c r="F214" s="21" t="inlineStr">
        <is>
          <t>L'ordine e': Hero Card, Check-in (se oggi), Prossimo appuntamento, Consigliati, Planner sintetico, Prenotazioni, Statistiche (ultime, ridotte)</t>
        </is>
      </c>
      <c r="G214" s="21" t="inlineStr">
        <is>
          <t>DA TESTARE</t>
        </is>
      </c>
      <c r="H214" s="21">
        <f>IF(G214="BUG","BUG-"&amp;A214,IF(G214="FUNCTIONAL","FUNCTIONAL-"&amp;A214,""))</f>
        <v/>
      </c>
      <c r="I214" s="21" t="inlineStr">
        <is>
          <t>Bassa</t>
        </is>
      </c>
      <c r="L214" s="21"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c r="A215" s="21" t="inlineStr">
        <is>
          <t>TC-N23</t>
        </is>
      </c>
      <c r="B215" s="21" t="inlineStr">
        <is>
          <t>NEXTGEN - Home (rifinitura)</t>
        </is>
      </c>
      <c r="C215" s="21" t="inlineStr">
        <is>
          <t>Il Planner, a copertura completa, mostra un messaggio di rassicurazione</t>
        </is>
      </c>
      <c r="D215" s="21" t="inlineStr">
        <is>
          <t>Account genitore di test con tutte le settimane utili coperte</t>
        </is>
      </c>
      <c r="E215" s="21" t="inlineStr">
        <is>
          <t>Login Genitore -&gt; /nextgen/planner</t>
        </is>
      </c>
      <c r="F215" s="21" t="inlineStr">
        <is>
          <t>Sotto la barra di copertura al 100%, testo 'Tutto sotto controllo per questa estate.' con icona di conferma verde</t>
        </is>
      </c>
      <c r="G215" s="21" t="inlineStr">
        <is>
          <t>DA TESTARE</t>
        </is>
      </c>
      <c r="H215" s="21">
        <f>IF(G215="BUG","BUG-"&amp;A215,IF(G215="FUNCTIONAL","FUNCTIONAL-"&amp;A215,""))</f>
        <v/>
      </c>
      <c r="I215" s="21" t="inlineStr">
        <is>
          <t>Bassa</t>
        </is>
      </c>
      <c r="L215" s="21"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c r="A216" s="21" t="inlineStr">
        <is>
          <t>TC-N24</t>
        </is>
      </c>
      <c r="B216" s="21" t="inlineStr">
        <is>
          <t>NEXTGEN - Home (rifinitura)</t>
        </is>
      </c>
      <c r="C216" s="21" t="inlineStr">
        <is>
          <t>Le etichette 'Settimana 12'/'Settimana 13' nel Planner non vanno a capo</t>
        </is>
      </c>
      <c r="D216" s="21" t="inlineStr">
        <is>
          <t>Account genitore di test</t>
        </is>
      </c>
      <c r="E216" s="21" t="inlineStr">
        <is>
          <t>Login Genitore -&gt; /nextgen/planner -&gt; osserva le righe Settimana 12 e Settimana 13</t>
        </is>
      </c>
      <c r="F216" s="21" t="inlineStr">
        <is>
          <t>L'etichetta resta su una riga sola, come tutte le altre settimane (1-11) - non si spezza su due righe</t>
        </is>
      </c>
      <c r="G216" s="21" t="inlineStr">
        <is>
          <t>DA TESTARE</t>
        </is>
      </c>
      <c r="H216" s="21">
        <f>IF(G216="BUG","BUG-"&amp;A216,IF(G216="FUNCTIONAL","FUNCTIONAL-"&amp;A216,""))</f>
        <v/>
      </c>
      <c r="I216" s="21" t="inlineStr">
        <is>
          <t>Media</t>
        </is>
      </c>
      <c r="L216" s="21"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c r="A217" s="21" t="inlineStr">
        <is>
          <t>TC-N25</t>
        </is>
      </c>
      <c r="B217" s="21" t="inlineStr">
        <is>
          <t>NEXTGEN - Home (rifinitura)</t>
        </is>
      </c>
      <c r="C217" s="21" t="inlineStr">
        <is>
          <t>'Consigliati per voi' rappresenta più di un figlio quando la famiglia ne ha più di uno</t>
        </is>
      </c>
      <c r="D217" s="21" t="inlineStr">
        <is>
          <t>Account genitore di test con 2+ bambini e settimane scoperte</t>
        </is>
      </c>
      <c r="E217" s="21" t="inlineStr">
        <is>
          <t>Login Genitore -&gt; /nextgen, osserva le didascalie 'Per {figlio}' sotto 'Consigliati per voi'</t>
        </is>
      </c>
      <c r="F217" s="21" t="inlineStr">
        <is>
          <t>Se ci sono 2+ figli, l'elenco (fino a 3 attività) mostra almeno un consiglio per ciascun figlio quando possibile, non solo per quello con il punteggio piu' alto in assoluto</t>
        </is>
      </c>
      <c r="G217" s="21" t="inlineStr">
        <is>
          <t>DA TESTARE</t>
        </is>
      </c>
      <c r="H217" s="21">
        <f>IF(G217="BUG","BUG-"&amp;A217,IF(G217="FUNCTIONAL","FUNCTIONAL-"&amp;A217,""))</f>
        <v/>
      </c>
      <c r="I217" s="21" t="inlineStr">
        <is>
          <t>Media</t>
        </is>
      </c>
      <c r="L217" s="21"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c r="A218" s="21" t="inlineStr">
        <is>
          <t>TC-N26</t>
        </is>
      </c>
      <c r="B218" s="21" t="inlineStr">
        <is>
          <t>NEXTGEN - Home (rifinitura)</t>
        </is>
      </c>
      <c r="C218" s="21" t="inlineStr">
        <is>
          <t>I gruppi in 'Tutte le prenotazioni' si possono comprimere ed espandere singolarmente</t>
        </is>
      </c>
      <c r="D218" s="21" t="inlineStr">
        <is>
          <t>Account genitore di test con 2+ prenotazioni in gruppi diversi</t>
        </is>
      </c>
      <c r="E218" s="21" t="inlineStr">
        <is>
          <t>Login Genitore -&gt; /nextgen -&gt; apri 'Tutte le prenotazioni' -&gt; tocca l'intestazione di un gruppo</t>
        </is>
      </c>
      <c r="F218" s="21" t="inlineStr">
        <is>
          <t>Il gruppo toccato si chiude/apre singolarmente (icona chevron su/giu), gli altri gruppi restano invariati</t>
        </is>
      </c>
      <c r="G218" s="21" t="inlineStr">
        <is>
          <t>DA TESTARE</t>
        </is>
      </c>
      <c r="H218" s="21">
        <f>IF(G218="BUG","BUG-"&amp;A218,IF(G218="FUNCTIONAL","FUNCTIONAL-"&amp;A218,""))</f>
        <v/>
      </c>
      <c r="I218" s="21" t="inlineStr">
        <is>
          <t>Bassa</t>
        </is>
      </c>
      <c r="L218" s="21" t="inlineStr">
        <is>
          <t>Richiesta di Fabrizio: 'mi piacerebbe ci fosse modo per comprimere i gruppi o espanderli'. Nessun gruppo collassato di default (comprimere e' un'azione esplicita).</t>
        </is>
      </c>
    </row>
    <row r="219">
      <c r="A219" s="21" t="inlineStr">
        <is>
          <t>TC-N27</t>
        </is>
      </c>
      <c r="B219" s="21" t="inlineStr">
        <is>
          <t>NEXTGEN - Home (rifinitura)</t>
        </is>
      </c>
      <c r="C219" s="21" t="inlineStr">
        <is>
          <t>'Mancano ancora' e 'Prossimo impegno' nella Hero Card hanno un'icona distintiva</t>
        </is>
      </c>
      <c r="D219" s="21" t="inlineStr">
        <is>
          <t>Account genitore di test</t>
        </is>
      </c>
      <c r="E219" s="21" t="inlineStr">
        <is>
          <t>Login Genitore -&gt; /nextgen -&gt; osserva la Hero Card</t>
        </is>
      </c>
      <c r="F219" s="21" t="inlineStr">
        <is>
          <t>Icona calendario/allerta accanto a 'Mancano ancora', icona pin accanto a 'Prossimo impegno' - le due righe sono blocchi etichetta+valore distinti, non piu' una frase unica</t>
        </is>
      </c>
      <c r="G219" s="21" t="inlineStr">
        <is>
          <t>DA TESTARE</t>
        </is>
      </c>
      <c r="H219" s="21">
        <f>IF(G219="BUG","BUG-"&amp;A219,IF(G219="FUNCTIONAL","FUNCTIONAL-"&amp;A219,""))</f>
        <v/>
      </c>
      <c r="I219" s="21" t="inlineStr">
        <is>
          <t>Bassa</t>
        </is>
      </c>
      <c r="L219" s="21" t="inlineStr">
        <is>
          <t>Richiesta di Fabrizio: 'forse ci vuole una iconcina distintiva?'. Ristrutturazione risolve anche il rischio di andare a capo a meta' frase su schermi stretti (titolo Hero ridotto da 30 a 28px).</t>
        </is>
      </c>
    </row>
  </sheetData>
  <autoFilter ref="A1:L101"/>
  <conditionalFormatting sqref="G2:G219">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19" showDropDown="0" showInputMessage="0" showErrorMessage="0" allowBlank="1" type="list" errorStyle="stop" operator="between">
      <formula1>"OK,BUG,FUNCTIONAL,ENHANCEMENT,DA TESTARE"</formula1>
      <formula2>0</formula2>
    </dataValidation>
    <dataValidation sqref="I2:I219"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row r="32">
      <c r="D32" s="21" t="inlineStr">
        <is>
          <t>NEXTGEN - Setup</t>
        </is>
      </c>
      <c r="E32" s="21">
        <f>COUNTIF('Test Case'!B:B,"NEXTGEN - Setup")</f>
        <v/>
      </c>
    </row>
    <row r="33">
      <c r="D33" s="21" t="inlineStr">
        <is>
          <t>NEXTGEN - Dashboard Genitore</t>
        </is>
      </c>
      <c r="E33" s="21">
        <f>COUNTIF('Test Case'!B:B,"NEXTGEN - Dashboard Genitore")</f>
        <v/>
      </c>
    </row>
    <row r="34">
      <c r="D34" s="21" t="inlineStr">
        <is>
          <t>NEXTGEN - Ricerca e scoperta</t>
        </is>
      </c>
      <c r="E34" s="21">
        <f>COUNTIF('Test Case'!B:B,"NEXTGEN - Ricerca e scoperta")</f>
        <v/>
      </c>
    </row>
    <row r="35">
      <c r="D35" s="21" t="inlineStr">
        <is>
          <t>NEXTGEN - Planner</t>
        </is>
      </c>
      <c r="E35" s="21">
        <f>COUNTIF('Test Case'!B:B,"NEXTGEN - Planner")</f>
        <v/>
      </c>
    </row>
    <row r="36">
      <c r="D36" s="21" t="inlineStr">
        <is>
          <t>NEXTGEN - Home (rifinitura)</t>
        </is>
      </c>
      <c r="E36" s="21">
        <f>COUNTIF('Test Case'!B:B,"NEXTGEN - Home (rifinitura)")</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2026-07-10T18:47:42Z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