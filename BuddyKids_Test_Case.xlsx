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<sst xmlns="http://schemas.openxmlformats.org/spreadsheetml/2006/main" count="3166" uniqueCount="2032">
  <si>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</si>
  <si>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</si>
  <si>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</si>
  <si>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</si>
  <si>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</si>
  <si>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</si>
  <si>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</si>
  <si>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</si>
  <si>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</si>
  <si>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</si>
  <si>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</si>
  <si>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</si>
  <si>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</si>
  <si>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</si>
  <si>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</si>
  <si>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</si>
  <si>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</si>
  <si>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</si>
  <si>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</si>
  <si>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</si>
  <si>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</si>
  <si>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</si>
  <si>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</si>
  <si>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</si>
  <si>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</si>
  <si>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</si>
  <si>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</si>
  <si>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</si>
  <si>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</si>
  <si>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</si>
  <si>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</si>
  <si>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</si>
  <si>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</si>
  <si>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</si>
  <si>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</si>
  <si>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</si>
  <si>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</si>
  <si>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</si>
  <si>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</si>
  <si>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</si>
  <si>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</si>
  <si>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</si>
  <si>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</si>
  <si>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</si>
  <si>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</si>
  <si>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</si>
  <si>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</si>
  <si>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</si>
  <si>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</si>
  <si>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</si>
  <si>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</si>
  <si>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</si>
  <si>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</si>
  <si>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</si>
  <si>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</si>
  <si>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</si>
  <si>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</si>
  <si>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</si>
  <si>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</si>
  <si>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</si>
  <si>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</si>
  <si>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</si>
  <si>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</si>
  <si>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</si>
  <si>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</si>
  <si>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</si>
  <si>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</si>
  <si>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</si>
  <si>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</si>
  <si>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</si>
  <si>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</si>
  <si>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</si>
  <si>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</si>
  <si>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</si>
  <si>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</si>
  <si>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</si>
  <si>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</si>
  <si>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</si>
  <si>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</si>
  <si>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</si>
  <si>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</si>
  <si>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</si>
  <si>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</si>
  <si>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</si>
  <si>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</si>
  <si>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</si>
  <si>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</si>
  <si>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</si>
  <si>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</si>
  <si>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</si>
  <si>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</si>
  <si>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</si>
  <si>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</si>
  <si>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</si>
  <si>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</si>
  <si>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</si>
  <si>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</si>
  <si>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</si>
  <si>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</si>
  <si>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</si>
  <si>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</si>
  <si>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</si>
  <si>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</si>
  <si>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</si>
  <si>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</si>
  <si>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</si>
  <si>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</si>
  <si>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</si>
  <si>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</si>
  <si>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</si>
  <si>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</si>
  <si>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</si>
  <si>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</si>
  <si>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</si>
  <si>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</si>
  <si>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</si>
  <si>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</si>
  <si>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</si>
  <si>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</si>
  <si>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</si>
  <si>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</si>
  <si>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</si>
  <si>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</si>
  <si>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</si>
  <si>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</si>
  <si>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</si>
  <si>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</si>
  <si>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</si>
  <si>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</si>
  <si>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</si>
  <si>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</si>
  <si>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</si>
  <si>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</si>
  <si>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</si>
  <si>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</si>
  <si>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</si>
  <si>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</si>
  <si>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</si>
  <si>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</si>
  <si>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</si>
  <si>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</si>
  <si>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</si>
  <si>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</si>
  <si>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</si>
  <si>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</si>
  <si>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</si>
  <si>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</si>
  <si>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</si>
  <si>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</si>
  <si>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</si>
  <si>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</si>
  <si>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</si>
  <si>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</si>
  <si>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</si>
  <si>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</si>
  <si>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</si>
  <si>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</si>
  <si>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</si>
  <si>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</si>
  <si>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</si>
  <si>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</si>
  <si>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</si>
  <si>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</si>
  <si>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</si>
  <si>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</si>
  <si>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</si>
  <si>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</si>
  <si>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</si>
  <si>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</si>
  <si>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</si>
  <si>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</si>
  <si>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</si>
  <si>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</si>
  <si>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</si>
  <si>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</si>
  <si>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</si>
  <si>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</si>
  <si>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</si>
  <si>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</si>
  <si>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</si>
  <si>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</si>
  <si>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</si>
  <si>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</si>
  <si>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</si>
  <si>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</si>
  <si>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</si>
  <si>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</si>
  <si>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</si>
  <si>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</si>
  <si>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</si>
  <si>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</si>
  <si>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</si>
  <si>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</si>
  <si>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</si>
  <si>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</si>
  <si>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</si>
  <si>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</si>
  <si>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</si>
  <si>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</si>
  <si>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</si>
  <si>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</si>
  <si>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</si>
  <si>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</si>
  <si>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</si>
  <si>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</si>
  <si>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</si>
  <si>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</si>
  <si>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</si>
  <si>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</si>
  <si>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</si>
  <si>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</si>
  <si>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</si>
  <si>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</si>
  <si>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</si>
  <si>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</si>
  <si>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</si>
  <si>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</si>
  <si>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</si>
  <si>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</si>
  <si>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</si>
  <si>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</si>
  <si>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</si>
  <si>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</si>
  <si>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</si>
  <si>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</si>
  <si>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</si>
  <si>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</si>
  <si>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</si>
  <si>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</si>
  <si>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</si>
  <si>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</si>
  <si>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</si>
  <si>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</si>
  <si>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</si>
  <si>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</si>
  <si>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</si>
  <si>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</si>
  <si>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</si>
  <si>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</si>
  <si>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</si>
  <si>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</si>
  <si>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</si>
  <si>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</si>
  <si>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</si>
  <si>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</si>
  <si>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</si>
  <si>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</si>
  <si>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</si>
  <si>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</si>
  <si>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</si>
  <si>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</si>
  <si>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</si>
  <si>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</si>
  <si>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</si>
  <si>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</si>
  <si>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</si>
  <si>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</si>
  <si>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</si>
  <si>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</si>
  <si>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</si>
  <si>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</si>
  <si>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</si>
  <si>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</si>
  <si>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</si>
  <si>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</si>
  <si>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</si>
  <si>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</si>
  <si>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</si>
  <si>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</si>
  <si>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</si>
  <si>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</si>
  <si>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</si>
  <si>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</si>
  <si>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</si>
  <si>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</si>
  <si>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</si>
  <si>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</si>
  <si>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</si>
  <si>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</si>
  <si>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</si>
  <si>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</si>
  <si>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</si>
  <si>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</si>
  <si>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</si>
  <si>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</si>
  <si>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</si>
  <si>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</si>
  <si>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</si>
  <si>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</si>
  <si>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</si>
  <si>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</si>
  <si>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</si>
  <si>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</si>
  <si>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</si>
  <si>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</si>
  <si>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</si>
  <si>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</si>
  <si>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</si>
  <si>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</si>
  <si>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</si>
  <si>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</si>
  <si>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</si>
  <si>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</si>
  <si>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</si>
  <si>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</si>
  <si>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</si>
  <si>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</si>
  <si>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</si>
  <si>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</si>
  <si>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</si>
  <si>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</si>
  <si>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</si>
  <si>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</si>
  <si>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</si>
  <si>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</si>
  <si>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</si>
  <si>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</si>
  <si>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</si>
  <si>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</si>
  <si>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</si>
  <si>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</si>
  <si>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</si>
  <si>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</si>
  <si>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</si>
  <si>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</si>
  <si>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</si>
  <si>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</si>
  <si>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</si>
  <si>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</si>
  <si>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</si>
  <si>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</si>
  <si>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</si>
  <si>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</si>
  <si>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</si>
  <si>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</si>
  <si>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</si>
  <si>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</si>
  <si>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</si>
  <si>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</si>
  <si>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</si>
  <si>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</si>
  <si>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</si>
  <si>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</si>
  <si>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</si>
  <si>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</si>
  <si>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</si>
  <si>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</si>
  <si>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</si>
  <si>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</si>
  <si>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</si>
  <si>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</si>
  <si>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</si>
  <si>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</si>
  <si>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</si>
  <si>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</si>
  <si>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</si>
  <si>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</si>
  <si>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</si>
  <si>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</si>
  <si>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</si>
  <si>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</si>
  <si>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</si>
  <si>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</si>
  <si>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</si>
  <si>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</si>
  <si>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</si>
  <si>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</si>
  <si>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</si>
  <si>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</si>
  <si>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</si>
  <si>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</si>
  <si>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</si>
  <si>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</si>
  <si>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</si>
  <si>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</si>
  <si>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</si>
  <si>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</si>
  <si>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</si>
  <si>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</si>
  <si>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</si>
  <si>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</si>
  <si>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</si>
  <si>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</si>
  <si>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</si>
  <si>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</si>
  <si>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</si>
  <si>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</si>
  <si>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</si>
  <si>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</si>
  <si>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</si>
  <si>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</si>
  <si>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</si>
  <si>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</si>
  <si>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</si>
  <si>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</si>
  <si>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</si>
  <si>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</si>
  <si>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</si>
  <si>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</si>
  <si>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</si>
  <si>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</si>
  <si>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</si>
  <si>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</si>
  <si>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</si>
  <si>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</si>
  <si>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</si>
  <si>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</si>
  <si>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</si>
  <si>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</si>
  <si>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</si>
  <si>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</si>
  <si>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</si>
  <si>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</si>
  <si>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</si>
  <si>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</si>
  <si>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</si>
  <si>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</si>
  <si>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</si>
  <si>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</si>
  <si>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</si>
  <si>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</si>
  <si>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</si>
  <si>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</si>
  <si>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</si>
  <si>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</si>
  <si>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</si>
  <si>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</si>
  <si>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</si>
  <si>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</si>
  <si>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</si>
  <si>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</si>
  <si>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</si>
  <si>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</si>
  <si>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</si>
  <si>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</si>
  <si>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</si>
  <si>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</si>
  <si>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</si>
  <si>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</si>
  <si>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</si>
  <si>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</si>
  <si>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</si>
  <si>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</si>
  <si>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</si>
  <si>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</si>
  <si>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</si>
  <si>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</si>
  <si>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</si>
  <si>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</si>
  <si>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</si>
  <si>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</si>
  <si>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</si>
  <si>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</si>
  <si>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</si>
  <si>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</si>
  <si>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</si>
  <si>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</si>
  <si>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</si>
  <si>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</si>
  <si>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</si>
  <si>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</si>
  <si>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</si>
  <si>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</si>
  <si>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</si>
  <si>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</si>
  <si>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</si>
  <si>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</si>
  <si>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</si>
  <si>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</si>
  <si>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</si>
  <si>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</si>
  <si>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</si>
  <si>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</si>
  <si>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</si>
  <si>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</si>
  <si>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</si>
  <si>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</si>
  <si>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</si>
  <si>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</si>
  <si>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</si>
  <si>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</si>
  <si>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</si>
  <si>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</si>
  <si>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</si>
  <si>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</si>
  <si>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</si>
  <si>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</si>
  <si>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</si>
  <si>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</si>
  <si>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</si>
  <si>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</si>
  <si>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</si>
  <si>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</si>
  <si>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</si>
  <si>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</si>
  <si>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</si>
  <si>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</si>
  <si>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</si>
  <si>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</si>
  <si>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</si>
  <si>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</si>
  <si>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</si>
  <si>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</si>
  <si>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</si>
  <si>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</si>
  <si>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</si>
  <si>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</si>
  <si>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</si>
  <si>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</si>
  <si>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</si>
  <si>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</si>
  <si>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</si>
  <si>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</si>
  <si>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</si>
  <si>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</si>
  <si>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</si>
  <si>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</si>
  <si>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</si>
  <si>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</si>
  <si>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</si>
  <si>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</si>
  <si>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</si>
  <si>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</si>
  <si>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</si>
  <si>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</si>
  <si>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</si>
  <si>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</si>
  <si>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</si>
  <si>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</si>
  <si>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</si>
  <si>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</si>
  <si>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</si>
  <si>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</si>
  <si>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</si>
  <si>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</si>
  <si>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</si>
  <si>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</si>
  <si>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</si>
  <si>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</si>
  <si>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</si>
  <si>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</si>
  <si>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</si>
  <si>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</si>
  <si>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</si>
  <si>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</si>
  <si>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</si>
  <si>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</si>
  <si>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</si>
  <si>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</si>
  <si>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</si>
  <si>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</si>
  <si>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</si>
  <si>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</si>
  <si>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</si>
  <si>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</si>
  <si>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</si>
  <si>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</si>
  <si>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</si>
  <si>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</si>
  <si>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</si>
  <si>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</si>
  <si>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</si>
  <si>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</si>
  <si>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</si>
  <si>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</si>
  <si>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</si>
  <si>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</si>
  <si>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</si>
  <si>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</si>
  <si>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</si>
  <si>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</si>
  <si>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</si>
  <si>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</si>
  <si>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</si>
  <si>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</si>
  <si>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</si>
  <si>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</si>
  <si>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</si>
  <si>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</si>
  <si>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</si>
  <si>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</si>
  <si>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</si>
  <si>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</si>
  <si>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</si>
  <si>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</si>
  <si>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</si>
  <si>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</si>
  <si>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</si>
  <si>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</si>
  <si>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</si>
  <si>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</si>
  <si>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</si>
  <si>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</si>
  <si>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</si>
  <si>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</si>
  <si>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</si>
  <si>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</si>
  <si>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</si>
  <si>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</si>
  <si>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</si>
  <si>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</si>
  <si>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</si>
  <si>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</si>
  <si>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</si>
  <si>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</si>
  <si>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</si>
  <si>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</si>
  <si>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</si>
  <si>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</si>
  <si>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</si>
  <si>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</si>
  <si>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</si>
  <si>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</si>
  <si>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</si>
  <si>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</si>
  <si>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</si>
  <si>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</si>
  <si>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</si>
  <si>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</si>
  <si>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</si>
  <si>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</si>
  <si>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</si>
  <si>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</si>
  <si>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</si>
  <si>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</si>
  <si>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</si>
  <si>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</si>
  <si>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</si>
  <si>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</si>
  <si>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</si>
  <si>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</si>
  <si>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</si>
  <si>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</si>
  <si>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</si>
  <si>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</si>
  <si>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</si>
  <si>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</si>
  <si>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</si>
  <si>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</si>
  <si>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</si>
  <si>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</si>
  <si>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</si>
  <si>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</si>
  <si>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</si>
  <si>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</si>
  <si>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</si>
  <si>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</si>
  <si>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</si>
  <si>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</si>
  <si>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</si>
  <si>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</si>
  <si>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</si>
  <si>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</si>
  <si>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</si>
  <si>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</si>
  <si>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</si>
  <si>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</si>
  <si>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</si>
  <si>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</si>
  <si>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</si>
  <si>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</si>
  <si>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</si>
  <si>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</si>
  <si>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</si>
  <si>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</si>
  <si>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</si>
  <si>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</si>
  <si>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</si>
  <si>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</si>
  <si>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</si>
  <si>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</si>
  <si>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</si>
  <si>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</si>
  <si>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</si>
  <si>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</si>
  <si>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</si>
  <si>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</si>
  <si>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</si>
  <si>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</si>
  <si>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</si>
  <si>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</si>
  <si>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</si>
  <si>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</si>
  <si>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</si>
  <si>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</si>
  <si>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</si>
  <si>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</si>
  <si>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</si>
  <si>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</si>
  <si>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</si>
  <si>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</si>
  <si>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</si>
  <si>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</si>
  <si>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</si>
  <si>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</si>
  <si>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</si>
  <si>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</si>
  <si>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</si>
  <si>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</si>
  <si>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</si>
  <si>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</si>
  <si>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</si>
  <si>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</si>
  <si>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</si>
  <si>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</si>
  <si>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</si>
  <si>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</si>
  <si>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</si>
  <si>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</si>
  <si>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</si>
  <si>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</si>
  <si>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</si>
  <si>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</si>
  <si>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</si>
  <si>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</si>
  <si>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</si>
  <si>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</si>
  <si>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</si>
  <si>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</si>
  <si>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</si>
  <si>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</si>
  <si>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</si>
  <si>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</si>
  <si>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</si>
  <si>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</si>
  <si>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</si>
  <si>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</si>
  <si>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</si>
  <si>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</si>
  <si>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</si>
  <si>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</si>
  <si>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</si>
  <si>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</si>
  <si>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</si>
  <si>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</si>
  <si>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</si>
  <si>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</si>
  <si>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</si>
  <si>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</si>
  <si>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</si>
  <si>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</si>
  <si>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</si>
  <si>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</si>
  <si>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</si>
  <si>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</si>
  <si>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</si>
  <si>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</si>
  <si>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</si>
  <si>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</si>
  <si>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</si>
  <si>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</si>
  <si>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</si>
  <si>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</si>
  <si>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</si>
  <si>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</si>
  <si>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</si>
  <si>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</si>
  <si>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</si>
  <si>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</si>
  <si>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</si>
  <si>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</si>
  <si>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</si>
  <si>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</si>
  <si>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</si>
  <si>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</si>
  <si>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</si>
  <si>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</si>
  <si>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</si>
  <si>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</si>
  <si>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</si>
  <si>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</si>
  <si>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</si>
  <si>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</si>
  <si>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</si>
  <si>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</si>
  <si>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</si>
  <si>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</si>
  <si>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</si>
  <si>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</si>
  <si>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</si>
  <si>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</si>
  <si>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</si>
  <si>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</si>
  <si>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</si>
  <si>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</si>
  <si>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</si>
  <si>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</si>
  <si>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</si>
  <si>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</si>
  <si>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</si>
  <si>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</si>
  <si>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</si>
  <si>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</si>
  <si>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</si>
  <si>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</si>
  <si>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</si>
  <si>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</si>
  <si>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</si>
  <si>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</si>
  <si>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</si>
  <si>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</si>
  <si>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</si>
  <si>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</si>
  <si>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</si>
  <si>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</si>
  <si>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</si>
  <si>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</si>
  <si>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</si>
  <si>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</si>
  <si>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</si>
  <si>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</si>
  <si>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</si>
  <si>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</si>
  <si>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</si>
  <si>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</si>
  <si>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</si>
  <si>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</si>
  <si>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</si>
  <si>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</si>
  <si>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</si>
  <si>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</si>
  <si>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</si>
  <si>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</si>
  <si>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</si>
  <si>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</si>
  <si>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</si>
  <si>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</si>
  <si>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</si>
  <si>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</si>
  <si>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</si>
  <si>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</si>
  <si>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</si>
  <si>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</si>
  <si>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</si>
  <si>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</si>
  <si>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</si>
  <si>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</si>
  <si>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</si>
  <si>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</si>
  <si>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</si>
  <si>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</si>
  <si>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</si>
  <si>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</si>
  <si>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</si>
  <si>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</si>
  <si>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</si>
  <si>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</si>
  <si>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</si>
  <si>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</si>
  <si>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</si>
  <si>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</si>
  <si>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</si>
  <si>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</si>
  <si>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</si>
  <si>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</si>
  <si>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</si>
  <si>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</si>
  <si>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</si>
  <si>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</si>
  <si>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</si>
  <si>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</si>
  <si>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</si>
  <si>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</si>
  <si>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</si>
  <si>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</si>
  <si>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</si>
  <si>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</si>
  <si>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</si>
  <si>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</si>
  <si>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</si>
  <si>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</si>
  <si>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</si>
  <si>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</si>
  <si>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</si>
  <si>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</si>
  <si>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</si>
  <si>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</si>
  <si>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</si>
  <si>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</si>
  <si>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</si>
  <si>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</si>
  <si>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</si>
  <si>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</si>
  <si>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</si>
  <si>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</si>
  <si>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</si>
  <si>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</si>
  <si>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</si>
  <si>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</si>
  <si>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</si>
  <si>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</si>
  <si>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</si>
  <si>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</si>
  <si>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</si>
  <si>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</si>
  <si>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</si>
  <si>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</si>
  <si>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</si>
  <si>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</si>
  <si>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</si>
  <si>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</si>
  <si>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</si>
  <si>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</si>
  <si>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</si>
  <si>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</si>
  <si>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</si>
  <si>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</si>
  <si>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</si>
  <si>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</si>
  <si>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</si>
  <si>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</si>
  <si>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</si>
  <si>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</si>
  <si>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</si>
  <si>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</si>
  <si>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</si>
  <si>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</si>
  <si>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</si>
  <si>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</si>
  <si>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</si>
  <si>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</si>
  <si>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</si>
  <si>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</si>
  <si>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</si>
  <si>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</si>
  <si>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</si>
  <si>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</si>
  <si>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</si>
  <si>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</si>
  <si>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</si>
  <si>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</si>
  <si>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</si>
  <si>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</si>
  <si>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</si>
  <si>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</si>
  <si>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</si>
  <si>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</si>
  <si>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</si>
  <si>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</si>
  <si>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</si>
  <si>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</si>
  <si>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</si>
  <si>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</si>
  <si>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</si>
  <si>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</si>
  <si>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</si>
  <si>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</si>
  <si>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</si>
  <si>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</si>
  <si>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</si>
  <si>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</si>
  <si>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</si>
  <si>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</si>
  <si>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</si>
  <si>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</si>
  <si>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</si>
  <si>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</si>
  <si>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</si>
  <si>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</si>
  <si>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</si>
  <si>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</si>
  <si>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</si>
  <si>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</si>
  <si>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</si>
  <si>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</si>
  <si>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</si>
  <si>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</si>
  <si>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</si>
  <si>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</si>
  <si>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</si>
  <si>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</si>
  <si>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</si>
  <si>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</si>
  <si>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</si>
  <si>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</si>
  <si>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</si>
  <si>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</si>
  <si>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</si>
  <si>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</si>
  <si>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</si>
  <si>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</si>
  <si>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</si>
  <si>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</si>
  <si>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</si>
  <si>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</si>
  <si>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</si>
  <si>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</si>
  <si>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</si>
  <si>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</si>
  <si>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</si>
  <si>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</si>
  <si>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</si>
  <si>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</si>
  <si>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</si>
  <si>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</si>
  <si>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</si>
  <si>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</si>
  <si>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</si>
  <si>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</si>
  <si>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</si>
  <si>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</si>
  <si>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</si>
  <si>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</si>
  <si>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</si>
  <si>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</si>
  <si>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</si>
  <si>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</si>
  <si>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</si>
  <si>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</si>
  <si>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</si>
  <si>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</si>
  <si>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</si>
  <si>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</si>
  <si>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</si>
  <si>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</si>
  <si>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</si>
  <si>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</si>
  <si>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</si>
  <si>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</si>
  <si>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</si>
  <si>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</si>
  <si>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</si>
  <si>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</si>
  <si>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</si>
  <si>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</si>
  <si>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</si>
  <si>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</si>
  <si>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</si>
  <si>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</si>
  <si>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</si>
  <si>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</si>
  <si>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</si>
  <si>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</si>
  <si>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</si>
  <si>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</si>
  <si>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</si>
  <si>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</si>
  <si>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</si>
  <si>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</si>
  <si>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</si>
  <si>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</si>
  <si>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</si>
  <si>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</si>
  <si>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</si>
  <si>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</si>
  <si>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</si>
  <si>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</si>
  <si>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</si>
  <si>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</si>
  <si>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</si>
  <si>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</si>
  <si>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</si>
  <si>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</si>
  <si>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</si>
  <si>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</si>
  <si>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</si>
  <si>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</si>
  <si>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</si>
  <si>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</si>
  <si>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</si>
  <si>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</si>
  <si>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</si>
  <si>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</si>
  <si>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</si>
  <si>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</si>
  <si>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</si>
  <si>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</si>
  <si>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</si>
  <si>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</si>
  <si>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</si>
  <si>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</si>
  <si>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</si>
  <si>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</si>
  <si>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</si>
  <si>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</si>
  <si>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</si>
  <si>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</si>
  <si>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</si>
  <si>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</si>
  <si>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</si>
  <si>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</si>
  <si>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</si>
  <si>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</si>
  <si>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</si>
  <si>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</si>
  <si>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</si>
  <si>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</si>
  <si>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</si>
  <si>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</si>
  <si>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</si>
  <si>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</si>
  <si>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</si>
  <si>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</si>
  <si>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</si>
  <si>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</si>
  <si>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</si>
  <si>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</si>
  <si>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</si>
  <si>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</si>
  <si>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</si>
  <si>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</si>
  <si>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</si>
  <si>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</si>
  <si>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</si>
  <si>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</si>
  <si>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</si>
  <si>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</si>
  <si>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</si>
  <si>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</si>
  <si>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</si>
  <si>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</si>
  <si>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</si>
  <si>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</si>
  <si>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</si>
  <si>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</si>
  <si>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</si>
  <si>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</si>
  <si>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</si>
  <si>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</si>
  <si>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</si>
  <si>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</si>
  <si>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</si>
  <si>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</si>
  <si>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</si>
  <si>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</si>
  <si>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</si>
  <si>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</si>
  <si>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</si>
  <si>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</si>
  <si>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</si>
  <si>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</si>
  <si>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</si>
  <si>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</si>
  <si>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</si>
  <si>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</si>
  <si>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</si>
  <si>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</si>
  <si>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</si>
  <si>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</si>
  <si>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</si>
  <si>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</si>
  <si>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</si>
  <si>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</si>
  <si>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</si>
  <si>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</si>
  <si>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</si>
  <si>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</si>
  <si>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</si>
  <si>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</si>
  <si>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</si>
  <si>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</si>
  <si>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</si>
  <si>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</si>
  <si>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</si>
  <si>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</si>
  <si>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</si>
  <si>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</si>
  <si>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</si>
  <si>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</si>
  <si>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</si>
  <si>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</si>
  <si>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</si>
  <si>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</si>
  <si>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</si>
  <si>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</si>
  <si>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</si>
  <si>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</si>
  <si>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</si>
  <si>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</si>
  <si>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</si>
  <si>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</si>
  <si>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</si>
  <si>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</si>
  <si>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</si>
  <si>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</si>
  <si>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</si>
  <si>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</si>
  <si>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</si>
  <si>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</si>
  <si>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</si>
  <si>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</si>
  <si>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</si>
  <si>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</si>
  <si>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</si>
  <si>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</si>
  <si>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</si>
  <si>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</si>
  <si>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</si>
  <si>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</si>
  <si>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</si>
  <si>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</si>
  <si>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</si>
  <si>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</si>
  <si>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</si>
  <si>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</si>
  <si>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</si>
  <si>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</si>
  <si>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</si>
  <si>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</si>
  <si>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</si>
  <si>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</si>
  <si>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</si>
  <si>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</si>
  <si>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</si>
  <si>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</si>
  <si>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</si>
  <si>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</si>
  <si>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</si>
  <si>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</si>
  <si>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</si>
  <si>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</si>
  <si>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</si>
  <si>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</si>
  <si>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</si>
  <si>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</si>
  <si>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</si>
  <si>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</si>
  <si>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</si>
  <si>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</si>
  <si>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</si>
  <si>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</si>
  <si>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</si>
  <si>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</si>
  <si>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</si>
  <si>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</si>
  <si>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</si>
  <si>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</si>
  <si>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</si>
  <si>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</si>
  <si>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</si>
  <si>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</si>
  <si>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</si>
  <si>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</si>
  <si>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</si>
  <si>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</si>
  <si>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</si>
  <si>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</si>
  <si>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</si>
  <si>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</si>
  <si>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</si>
  <si>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</si>
  <si>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</si>
  <si>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</si>
  <si>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</si>
  <si>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</si>
  <si>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</si>
  <si>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</si>
  <si>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</si>
  <si>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</si>
  <si>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</si>
  <si>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</si>
  <si>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</si>
  <si>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</si>
  <si>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</si>
  <si>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</si>
  <si>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</si>
  <si>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</si>
  <si>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</si>
  <si>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</si>
  <si>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</si>
  <si>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</si>
  <si>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</si>
  <si>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</si>
  <si>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</si>
  <si>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</si>
  <si>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</si>
  <si>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</si>
  <si>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</si>
  <si>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</si>
  <si>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</si>
  <si>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</si>
  <si>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</si>
  <si>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</si>
  <si>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</si>
  <si>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</si>
  <si>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</si>
  <si>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</si>
  <si>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</si>
  <si>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</si>
  <si>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</si>
  <si>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</si>
  <si>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</si>
  <si>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</si>
  <si>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</si>
  <si>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</si>
  <si>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</si>
  <si>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</si>
  <si>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</si>
  <si>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</si>
  <si>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</si>
  <si>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</si>
  <si>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</si>
  <si>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</si>
  <si>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</si>
  <si>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</si>
  <si>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</si>
  <si>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</si>
  <si>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</si>
  <si>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</si>
  <si>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</si>
  <si>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</si>
  <si>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</si>
  <si>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</si>
  <si>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</si>
  <si>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</si>
  <si>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</si>
  <si>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</si>
  <si>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</si>
  <si>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</si>
  <si>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</si>
  <si>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</si>
  <si>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</si>
  <si>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</si>
  <si>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</si>
  <si>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</si>
  <si>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</si>
  <si>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</si>
  <si>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</si>
  <si>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</si>
  <si>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</si>
  <si>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</si>
  <si>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</si>
  <si>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</si>
  <si>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</si>
  <si>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</si>
  <si>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</si>
  <si>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</si>
  <si>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</si>
  <si>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</si>
  <si>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</si>
  <si>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</si>
  <si>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</si>
  <si>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</si>
  <si>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</si>
  <si>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</si>
  <si>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</si>
  <si>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</si>
  <si>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</si>
  <si>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</si>
  <si>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</si>
  <si>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</si>
  <si>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</si>
  <si>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</si>
  <si>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</si>
  <si>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</si>
  <si>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</si>
  <si>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</si>
  <si>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</si>
  <si>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</si>
  <si>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</si>
  <si>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</si>
  <si>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</si>
  <si>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</si>
  <si>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</si>
  <si>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</si>
  <si>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</si>
  <si>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</si>
  <si>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</si>
  <si>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</si>
  <si>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</si>
  <si>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</si>
  <si>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</si>
  <si>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</si>
  <si>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</si>
  <si>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</si>
  <si>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</si>
  <si>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</si>
  <si>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</si>
  <si>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</si>
  <si>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</si>
  <si>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</si>
  <si>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</si>
  <si>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</si>
  <si>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</si>
  <si>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</si>
  <si>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</si>
  <si>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</si>
  <si>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</si>
  <si>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</si>
  <si>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</si>
  <si>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</si>
  <si>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</si>
  <si>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</si>
  <si>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</si>
  <si>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</si>
  <si>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</si>
  <si>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</si>
  <si>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</si>
  <si>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</si>
  <si>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</si>
  <si>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</si>
  <si>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</si>
  <si>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</si>
  <si>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</si>
  <si>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</si>
  <si>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</si>
  <si>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</si>
  <si>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</si>
  <si>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</si>
  <si>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</si>
  <si>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</si>
  <si>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</si>
  <si>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</si>
  <si>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</si>
  <si>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</si>
  <si>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</si>
  <si>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</si>
  <si>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</si>
  <si>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</si>
  <si>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</si>
  <si>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</si>
  <si>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</si>
  <si>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</si>
  <si>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</si>
  <si>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</si>
  <si>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</si>
  <si>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</si>
  <si>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</si>
  <si>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</si>
  <si>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</si>
  <si>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</si>
  <si>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</si>
  <si>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</si>
  <si>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</si>
  <si>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</si>
  <si>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</si>
  <si>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</si>
  <si>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</si>
  <si>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</si>
  <si>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</si>
  <si>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</si>
  <si>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</si>
  <si>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</si>
  <si>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</si>
  <si>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</si>
  <si>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</si>
  <si>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</si>
  <si>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</si>
  <si>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</si>
  <si>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</si>
  <si>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</si>
  <si>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</si>
  <si>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</si>
  <si>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</si>
  <si>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</si>
  <si>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</si>
  <si>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</si>
  <si>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</si>
  <si>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</si>
  <si>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</si>
  <si>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</si>
  <si>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</si>
  <si>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</si>
  <si>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</si>
  <si>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</si>
  <si>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</si>
  <si>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</si>
  <si>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</si>
  <si>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</si>
  <si>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</si>
  <si>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</si>
  <si>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</si>
  <si>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</si>
  <si>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</si>
  <si>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</si>
  <si>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</si>
  <si>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</si>
  <si>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</si>
  <si>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</si>
  <si>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</si>
  <si>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</si>
  <si>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</si>
  <si>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</si>
  <si>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</si>
  <si>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</si>
  <si>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</si>
  <si>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</si>
  <si>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</si>
  <si>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</si>
  <si>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</si>
  <si>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</si>
  <si>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</si>
  <si>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</si>
  <si>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</si>
  <si>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</si>
  <si>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</si>
  <si>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</si>
  <si>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</si>
  <si>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</si>
  <si>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</si>
  <si>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</si>
  <si>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</si>
  <si>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</si>
  <si>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</si>
  <si>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</si>
  <si>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</si>
  <si>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</si>
  <si>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</si>
  <si>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</si>
  <si>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</si>
  <si>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</si>
  <si>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</si>
  <si>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</si>
  <si>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</si>
  <si>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</si>
  <si>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</si>
  <si>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</si>
  <si>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</si>
  <si>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</si>
  <si>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</si>
  <si>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</si>
  <si>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</si>
  <si>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</si>
  <si>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</si>
  <si>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</si>
  <si>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</si>
  <si>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</si>
  <si>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</si>
  <si>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</si>
  <si>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</si>
  <si>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</si>
  <si>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</si>
  <si>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</si>
  <si>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</si>
  <si>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</si>
  <si>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</si>
  <si>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</si>
  <si>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</si>
  <si>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</si>
  <si>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</si>
  <si>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</si>
  <si>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</si>
  <si>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</si>
  <si>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</si>
  <si>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</si>
  <si>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</si>
  <si>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</si>
  <si>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</si>
  <si>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</si>
  <si>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</si>
  <si>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</si>
  <si>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</si>
  <si>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</si>
  <si>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</si>
  <si>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</si>
  <si>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</si>
  <si>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</si>
  <si>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</si>
  <si>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</si>
  <si>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</si>
  <si>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</si>
  <si>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</si>
  <si>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</si>
  <si>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</si>
  <si>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</si>
  <si>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</si>
  <si>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</si>
  <si>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</si>
  <si>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</si>
  <si>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</si>
  <si>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</si>
  <si>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</si>
  <si>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</si>
  <si>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</si>
  <si>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</si>
  <si>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</si>
  <si>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</si>
  <si>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</si>
  <si>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</si>
  <si>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</si>
  <si>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</si>
  <si>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</si>
  <si>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</si>
  <si>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</si>
  <si>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</si>
  <si>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</si>
  <si>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</si>
  <si>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</si>
  <si>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</si>
  <si>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</si>
  <si>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</si>
  <si>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</si>
  <si>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</si>
  <si>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</si>
  <si>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</si>
  <si>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</si>
  <si>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</si>
  <si>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</si>
  <si>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</si>
  <si>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</si>
  <si>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</si>
  <si>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</si>
  <si>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</si>
  <si>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</si>
  <si>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</si>
  <si>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</si>
  <si>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</si>
  <si>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</si>
  <si>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</si>
  <si>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</si>
  <si>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</si>
  <si>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</si>
  <si>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</si>
  <si>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</si>
  <si>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</si>
  <si>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</si>
  <si>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</si>
  <si>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</si>
  <si>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</si>
  <si>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</si>
  <si>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</si>
  <si>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</si>
  <si>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</si>
  <si>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</si>
  <si>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</si>
  <si>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</si>
  <si>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</si>
  <si>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</si>
  <si>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</si>
  <si>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</si>
  <si>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</si>
  <si>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</si>
  <si>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</si>
  <si>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</si>
  <si>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</si>
  <si>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</si>
  <si>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</si>
  <si>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</si>
  <si>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</si>
  <si>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</si>
  <si>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</si>
  <si>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</si>
  <si>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</si>
  <si>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</si>
  <si>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</si>
  <si>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</si>
  <si>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</si>
  <si>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</si>
  <si>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</si>
  <si>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</si>
  <si>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</si>
  <si>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</si>
  <si>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</si>
  <si>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</si>
  <si>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</si>
  <si>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</si>
  <si>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</si>
  <si>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</si>
  <si>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</si>
  <si>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</si>
  <si>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</si>
  <si>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</si>
  <si>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</si>
  <si>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</si>
  <si>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</si>
  <si>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</si>
  <si>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</si>
  <si>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</si>
  <si>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</si>
  <si>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</si>
  <si>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</si>
  <si>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</si>
  <si>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</si>
  <si>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</si>
  <si>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</si>
  <si>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</si>
  <si>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</si>
  <si>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</si>
  <si>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</si>
  <si>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</si>
  <si>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</si>
  <si>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</si>
  <si>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</si>
  <si>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</si>
  <si>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</si>
  <si>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</si>
  <si>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</si>
  <si>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</si>
  <si>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</si>
  <si>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</si>
  <si>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</si>
  <si>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</si>
  <si>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</si>
  <si>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</si>
  <si>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</si>
  <si>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</si>
  <si>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</si>
  <si>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</si>
  <si>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</si>
  <si>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</si>
  <si>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</si>
  <si>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</si>
  <si>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</si>
  <si>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</si>
  <si>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</si>
  <si>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</si>
  <si>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</si>
  <si>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</si>
  <si>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</si>
  <si>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</si>
  <si>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</si>
  <si>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</si>
  <si>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</si>
  <si>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</si>
  <si>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</si>
  <si>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</si>
  <si>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</si>
  <si>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</si>
  <si>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</si>
  <si>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</si>
  <si>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</si>
  <si>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</si>
  <si>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</si>
  <si>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</si>
  <si>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</si>
  <si>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</si>
  <si>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</si>
  <si>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</si>
  <si>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</si>
  <si>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</si>
  <si>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</si>
  <si>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</si>
  <si>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</si>
  <si>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</si>
  <si>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</si>
  <si>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</si>
  <si>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</si>
  <si>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</si>
  <si>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</si>
  <si>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</si>
  <si>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</si>
  <si>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</si>
  <si>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</si>
  <si>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</si>
  <si>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</si>
  <si>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</si>
  <si>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</si>
  <si>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</si>
  <si>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</si>
  <si>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</si>
  <si>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</si>
  <si>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</si>
  <si>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</si>
  <si>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</si>
  <si>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</si>
  <si>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</si>
  <si>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</si>
  <si>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</si>
  <si>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</si>
  <si>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</si>
  <si>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</si>
  <si>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</si>
  <si>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</si>
  <si>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</si>
  <si>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</si>
  <si>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</si>
  <si>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</si>
  <si>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</si>
  <si>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</si>
  <si>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</si>
  <si>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</si>
  <si>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</si>
  <si>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</si>
  <si>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</si>
  <si>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</si>
  <si>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</si>
  <si>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</si>
  <si>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</si>
  <si>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</si>
  <si>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</si>
  <si>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</si>
  <si>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</si>
  <si>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</si>
  <si>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</si>
  <si>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</si>
  <si>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</si>
  <si>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</si>
  <si>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</si>
  <si>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</si>
  <si>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</si>
  <si>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</si>
  <si>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</si>
  <si>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</si>
  <si>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</si>
  <si>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</si>
  <si>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</si>
  <si>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</si>
  <si>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</si>
  <si>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</si>
  <si>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</si>
  <si>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</si>
  <si>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</si>
  <si>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</si>
  <si>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</si>
  <si>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</si>
  <si>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</si>
  <si>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</si>
  <si>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</si>
  <si>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</si>
  <si>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</si>
  <si>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</si>
  <si>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</si>
  <si>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</si>
  <si>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TC-226</t>
  </si>
  <si>
    <t xml:space="preserve">I tab modalita del Planner mostrano una sfumatura quando ci sono altre modalita fuori schermo (es. Budget tagliato)</t>
  </si>
  <si>
    <t xml:space="preserve">Login genitore, viewport stretto (es. 375px)</t>
  </si>
  <si>
    <t xml:space="preserve">Apri /nextgen/planner, osserva la riga dei 5 tab modalita senza scorrere, poi scorrila fino in fondo</t>
  </si>
  <si>
    <t xml:space="preserve">Con contenuto fuori schermo compare una sfumatura sul bordo destro (e sinistro se scorso); la sfumatura sparisce quando non c e piu nulla da scorrere in quella direzione</t>
  </si>
  <si>
    <t xml:space="preserve">TC-227</t>
  </si>
  <si>
    <t xml:space="preserve">NEXTGEN - Planner Budget</t>
  </si>
  <si>
    <t xml:space="preserve">Superare il tetto di budget colora barra e testo di rosso (non piu arancione)</t>
  </si>
  <si>
    <t xml:space="preserve">Login genitore, tetto budget impostato e spesa reale sopra il tetto</t>
  </si>
  <si>
    <t xml:space="preserve">Apri /nextgen/planner, modalita Budget</t>
  </si>
  <si>
    <t xml:space="preserve">La barra di progresso e il testo "hai superato il budget" sono rossi (red-500), non piu arancione (trama-orange)</t>
  </si>
  <si>
    <t xml:space="preserve">TC-228</t>
  </si>
  <si>
    <t xml:space="preserve">PWA - Icone</t>
  </si>
  <si>
    <t xml:space="preserve">Le icone PWA (home screen) mostrano il marchio piu grande e prominente rispetto al riquadro</t>
  </si>
  <si>
    <t xml:space="preserve">Nessuna (verifica visuale statica degli asset)</t>
  </si>
  <si>
    <t xml:space="preserve">Ispezionare public/icon-*.png, icon-partner-*.png, icon-admin-*.png, apple-touch-icon*.png</t>
  </si>
  <si>
    <t xml:space="preserve">Il marchio occupa circa il 78% del riquadro (prima ~55%), stesso colore/sfondo per tenant di prima (colorato su bianco genitori, navy su bianco partner, bianco su navy admin)</t>
  </si>
  <si>
    <t xml:space="preserve">TC-229</t>
  </si>
  <si>
    <t xml:space="preserve">Login - Sfondo bianco</t>
  </si>
  <si>
    <t xml:space="preserve">Login genitori e Login partner hanno sfondo bianco puro dietro icona/claim; Login admin resta navy con il claim visibile</t>
  </si>
  <si>
    <t xml:space="preserve">Nessun login richiesto</t>
  </si>
  <si>
    <t xml:space="preserve">Apri /auth/login su tenant famiglia (default)</t>
  </si>
  <si>
    <t xml:space="preserve">Sfondo bianco puro (bg-white, rgb(255,255,255)) dietro l'header animato; il claim "Organizing childhood. Together." e' visibile. Partner/Admin verificati a livello di codice (LoginForm.tsx) - vedi TC-209 (fixme, richiede hostname multipli)</t>
  </si>
  <si>
    <t xml:space="preserve">TC-230</t>
  </si>
  <si>
    <t xml:space="preserve">PWA - Splash screen iOS</t>
  </si>
  <si>
    <t xml:space="preserve">Ogni tenant (genitori/NEXTGEN/partner/admin) ha uno splash screen iOS personalizzato con icona, wordmark e claim</t>
  </si>
  <si>
    <t xml:space="preserve">Nessuno (verifica statica + tag link nello head)</t>
  </si>
  <si>
    <t xml:space="preserve">Ispezionare public/splash/*.png e i tag apple-touch-startup-image generati da lib/tenant.ts (splashLinks) in ogni layout</t>
  </si>
  <si>
    <t xml:space="preserve">Sfondo bianco (genitori/NEXTGEN/partner) o navy (admin) con icona, wordmark TRAMA e claim centrati; 6 dimensioni per tenant coprono i modelli iPhone piu diffusi; Android non supporta uno splash personalizzato equivalente (solo icona+colore da manifest, gia impostato)</t>
  </si>
  <si>
    <t xml:space="preserve">TC-231</t>
  </si>
  <si>
    <t xml:space="preserve">NEXTGEN - Planner Logistica</t>
  </si>
  <si>
    <t xml:space="preserve">Il Planner mostra un solo link 'Logistica &amp; Famiglia' invece dei 3 link separati ripetuti sotto ogni modalita</t>
  </si>
  <si>
    <t xml:space="preserve">Apri /nextgen/planner in una qualsiasi modalita (Organizzazione/Calendario/Mappa/Budget/Gruppi)</t>
  </si>
  <si>
    <t xml:space="preserve">In fondo compare solo il link 'Logistica &amp; Famiglia' (icona bussola); i vecchi link 'Indirizzi di famiglia'/'Famiglia'/'Gestisci prenotazioni' non compaiono piu qui</t>
  </si>
  <si>
    <t xml:space="preserve">TC-232</t>
  </si>
  <si>
    <t xml:space="preserve">NEXTGEN - Hub Logistica</t>
  </si>
  <si>
    <t xml:space="preserve">L'hub /nextgen/planner/logistica mostra 4 card verso Indirizzi, Famiglia, Condivisione piano e Le tue prenotazioni</t>
  </si>
  <si>
    <t xml:space="preserve">Apri /nextgen/planner/logistica</t>
  </si>
  <si>
    <t xml:space="preserve">4 card visibili con titolo e sottotitolo esplicativo; ognuna porta alla pagina corretta (Indirizzi/Famiglia -&gt; pagine esistenti; Condivisione piano -&gt; /nextgen/planner?mode=calendario; Le tue prenotazioni -&gt; /prenotazioni)</t>
  </si>
  <si>
    <t xml:space="preserve">TC-233</t>
  </si>
  <si>
    <t xml:space="preserve">NEXTGEN - Deep link modalita Planner</t>
  </si>
  <si>
    <t xml:space="preserve">Aprire /nextgen/planner?mode=calendario seleziona direttamente la modalita Calendario</t>
  </si>
  <si>
    <t xml:space="preserve">Apri /nextgen/planner/logistica, clicca 'Condivisione piano'</t>
  </si>
  <si>
    <t xml:space="preserve">Si apre /nextgen/planner?mode=calendario e la vista mostra subito il selettore Mese/Settimana del Calendario, senza dover ricliccare il tab</t>
  </si>
  <si>
    <t xml:space="preserve">TC-234</t>
  </si>
  <si>
    <t xml:space="preserve">NEXTGEN - Planner Organizzazione</t>
  </si>
  <si>
    <t xml:space="preserve">Promemoria e Missioni mostrano un solo avviso di default (il piu urgente), con 'Mostra tutti' per il resto</t>
  </si>
  <si>
    <t xml:space="preserve">Login genitore, con almeno 2 avvisi (promemoria+missioni) attivi</t>
  </si>
  <si>
    <t xml:space="preserve">Apri /nextgen/planner in modalita Organizzazione</t>
  </si>
  <si>
    <t xml:space="preserve">E' visibile un solo banner avviso + link 'Mostra tutti (N)'; cliccandolo compaiono tutti gli avvisi e il link diventa 'Mostra meno'</t>
  </si>
  <si>
    <t xml:space="preserve">TC-235</t>
  </si>
  <si>
    <t xml:space="preserve">La barra di copertura di un bambino, cliccata, mostra il dettaglio settimana per settimana di quel bambino</t>
  </si>
  <si>
    <t xml:space="preserve">Login genitore, 2+ bambini</t>
  </si>
  <si>
    <t xml:space="preserve">Apri /nextgen/planner, clicca la barra di un bambino in 'Copertura per bambino'</t>
  </si>
  <si>
    <t xml:space="preserve">Si apre un riquadro con un chip per ogni settimana stagionale (verde se coperta per quel bambino, grigio se no); ricliccando la barra il riquadro si richiude</t>
  </si>
  <si>
    <t xml:space="preserve">TC-236</t>
  </si>
  <si>
    <t xml:space="preserve">'Stato per settimana' (striscia colorata) e' visibile e cliccabile in Organizzazione</t>
  </si>
  <si>
    <t xml:space="preserve">Apri /nextgen/planner, individua la sezione 'Stato per settimana', clicca una barra</t>
  </si>
  <si>
    <t xml:space="preserve">La pagina scorre fino alla riga di quella settimana nella Timeline sottostante e la evidenzia per circa 1.5s con un anello viola</t>
  </si>
  <si>
    <t xml:space="preserve">TC-237</t>
  </si>
  <si>
    <t xml:space="preserve">NEXTGEN - Planner, Calendario collassato</t>
  </si>
  <si>
    <t xml:space="preserve">Il Planner ha 4 modalita (non piu 5): Calendario e' un riquadro pieghevole dentro Organizzazione</t>
  </si>
  <si>
    <t xml:space="preserve">Apri /nextgen/planner: osserva la barra dei tab in alto, poi clicca il riquadro 'Calendario' dentro Organizzazione</t>
  </si>
  <si>
    <t xml:space="preserve">La barra tab mostra solo Organizzazione/Mappa/Budget/Gruppi; il riquadro 'Calendario' (stesso nome del vecchio tab) si espande mostrando Mese/Settimana/Chi fa cosa/Condivisione piano invariati, senza cambiare modalita</t>
  </si>
  <si>
    <t xml:space="preserve">TC-238</t>
  </si>
  <si>
    <t xml:space="preserve">NEXTGEN - Planner Mappa</t>
  </si>
  <si>
    <t xml:space="preserve">La mappa e' piu piccola (200px) e il pin cliccato viene evidenziato (viola, piu grande)</t>
  </si>
  <si>
    <t xml:space="preserve">Login genitore, attivita prenotate con coordinate</t>
  </si>
  <si>
    <t xml:space="preserve">Apri /nextgen/planner, modalita Mappa, clicca un pin</t>
  </si>
  <si>
    <t xml:space="preserve">La mappa occupa un riquadro compatto (~200px); il pin cliccato diventa un cerchio viola piu grande degli altri pin</t>
  </si>
  <si>
    <t xml:space="preserve">TC-239</t>
  </si>
  <si>
    <t xml:space="preserve">Selezionare un'attivita (da mappa o da lista) mostra una scheda sintetica con Apri scheda/Avvia navigazione</t>
  </si>
  <si>
    <t xml:space="preserve">Login genitore, attivita prenotate con coordinate e indirizzo</t>
  </si>
  <si>
    <t xml:space="preserve">Apri /nextgen/planner, modalita Mappa, clicca un'attivita nella lista</t>
  </si>
  <si>
    <t xml:space="preserve">Sotto la mappa compare una scheda con nome, indirizzo, distanza stimata e i due pulsanti 'Apri scheda' e 'Avvia navigazione' (quest'ultimo solo se c'e un indirizzo)</t>
  </si>
  <si>
    <t xml:space="preserve">TC-240</t>
  </si>
  <si>
    <t xml:space="preserve">Senza selezione, la lista di tutte le attivita resta visibile sotto la mappa</t>
  </si>
  <si>
    <t xml:space="preserve">Login genitore, attivita prenotate</t>
  </si>
  <si>
    <t xml:space="preserve">Apri /nextgen/planner, modalita Mappa (nessun pin ancora cliccato), poi chiudi una scheda con la X</t>
  </si>
  <si>
    <t xml:space="preserve">Di default (o dopo aver chiuso la scheda) e' visibile la lista 'Le tue attivita' con distanza stimata per riga</t>
  </si>
  <si>
    <t xml:space="preserve">TC-241</t>
  </si>
  <si>
    <t xml:space="preserve">NEXTGEN - Scopri (Ricerca), Filtri Servizi</t>
  </si>
  <si>
    <t xml:space="preserve">Il filtro Servizi 'Accesso disabili' mostra solo le attivita con centro accessibile</t>
  </si>
  <si>
    <t xml:space="preserve">Login genitore, almeno un centro con accesso disabili flaggato e uno senza</t>
  </si>
  <si>
    <t xml:space="preserve">Apri /nextgen/search, apri il pannello Servizi, seleziona 'Accesso disabili'</t>
  </si>
  <si>
    <t xml:space="preserve">Il conteggio risultati si aggiorna escludendo le attivita il cui centro non ha accesso disabili; 'Azzera' torna abilitato</t>
  </si>
  <si>
    <t xml:space="preserve">TC-242</t>
  </si>
  <si>
    <t xml:space="preserve">Il filtro Servizi 'Diete gestite' mostra solo le attivita con opzioni dietetiche gestite</t>
  </si>
  <si>
    <t xml:space="preserve">Login genitore, almeno un'attivita con dietaryOptions valorizzato e una senza</t>
  </si>
  <si>
    <t xml:space="preserve">Apri /nextgen/search, apri il pannello Servizi, seleziona 'Diete gestite'</t>
  </si>
  <si>
    <t xml:space="preserve">Il conteggio risultati si aggiorna escludendo le attivita senza opzioni dietetiche gestite; naming coerente col badge 'Diete gestite' su ActivityCard</t>
  </si>
  <si>
    <t xml:space="preserve">TC-243</t>
  </si>
  <si>
    <t xml:space="preserve">NEXTGEN - Profilo</t>
  </si>
  <si>
    <t xml:space="preserve">/nextgen/profile ha PageHeader con icona brand colorata e titolo 'Profilo' (non piu' header gradiente LEGACY)</t>
  </si>
  <si>
    <t xml:space="preserve">Apri /nextgen/profile</t>
  </si>
  <si>
    <t xml:space="preserve">In alto e' visibile una PageHeader con freccia indietro, icona TRAMA a colori e titolo 'Profilo'; sotto, dati profilo e bambini in card bianche stondate</t>
  </si>
  <si>
    <t xml:space="preserve">TC-244</t>
  </si>
  <si>
    <t xml:space="preserve">La bottom nav NEXTGEN porta 'Profilo' a /nextgen/profile (non piu' a /profile LEGACY)</t>
  </si>
  <si>
    <t xml:space="preserve">Apri /nextgen, clicca 'Profilo' nella bottom nav</t>
  </si>
  <si>
    <t xml:space="preserve">Si atterra su /nextgen/profile (non su /profile)</t>
  </si>
  <si>
    <t xml:space="preserve">TC-245</t>
  </si>
  <si>
    <t xml:space="preserve">La card 'Condivisione piano' in Profilo porta al Calendario del Planner</t>
  </si>
  <si>
    <t xml:space="preserve">Apri /nextgen/profile, sezione 'Piano condiviso', clicca 'Condivisione piano'</t>
  </si>
  <si>
    <t xml:space="preserve">Si atterra su /nextgen/planner con la modalita' Calendario gia' aperta (stesso link della card equivalente nell'hub Logistica)</t>
  </si>
  <si>
    <t xml:space="preserve">TC-246</t>
  </si>
  <si>
    <t xml:space="preserve">Le card di accesso rapido (Prenotazioni/Preferiti/Presenze/Richieste) portano alle pagine corrette</t>
  </si>
  <si>
    <t xml:space="preserve">Apri /nextgen/profile, clicca ciascuna card in 'Attivita' e 'Supporto'</t>
  </si>
  <si>
    <t xml:space="preserve">'Le mie prenotazioni' -&gt; /prenotazioni, 'Preferiti' -&gt; /preferiti, 'Le presenze' -&gt; /presenze, 'Le mie richieste' -&gt; /richieste (con badge se ci sono risposte non lette)</t>
  </si>
  <si>
    <t xml:space="preserve">TC-247</t>
  </si>
  <si>
    <t xml:space="preserve">NEXTGEN - Planner Mappa (BUGFIX)</t>
  </si>
  <si>
    <t xml:space="preserve">La Mappa non crasha piu' al primo apertura (icon undefined sovrascriveva il marker di default in Leaflet)</t>
  </si>
  <si>
    <t xml:space="preserve">Login genitore, almeno un'attivita' prenotata con coordinate</t>
  </si>
  <si>
    <t xml:space="preserve">Apri /nextgen/planner, clicca 'Mappa' (nessun pin ancora selezionato)</t>
  </si>
  <si>
    <t xml:space="preserve">La mappa si carica normalmente con i marker visibili, nessun errore 'Application error'/pagina bianca; prima del fix crashava sempre (segnalato da Fabrizio, riproducibile sia su web che su PWA)</t>
  </si>
  <si>
    <t xml:space="preserve">TC-248</t>
  </si>
  <si>
    <t xml:space="preserve">NEXTGEN - Profilo, sezione Famiglia (Sprint 7)</t>
  </si>
  <si>
    <t xml:space="preserve">Profilo mostra le card 'Indirizzi di famiglia' e 'Famiglia' con i link corretti</t>
  </si>
  <si>
    <t xml:space="preserve">Apri /nextgen/profile, sezione 'Famiglia'</t>
  </si>
  <si>
    <t xml:space="preserve">Sono visibili 'Indirizzi di famiglia' (-&gt; /nextgen/planner/indirizzi) e 'Famiglia' (-&gt; /nextgen/planner/famiglia)</t>
  </si>
  <si>
    <t xml:space="preserve">TC-249</t>
  </si>
  <si>
    <t xml:space="preserve">NEXTGEN - ex hub Logistica (Sprint 7)</t>
  </si>
  <si>
    <t xml:space="preserve">Il Planner non mostra piu' il link 'Logistica &amp; Famiglia' in fondo alla pagina</t>
  </si>
  <si>
    <t xml:space="preserve">Apri /nextgen/planner, scorri fino in fondo</t>
  </si>
  <si>
    <t xml:space="preserve">Non compare piu' nessun link 'Logistica &amp; Famiglia' (Indirizzi/Famiglia/Condivisione piano sono ora in Profilo)</t>
  </si>
  <si>
    <t xml:space="preserve">TC-250</t>
  </si>
  <si>
    <t xml:space="preserve">/nextgen/planner/logistica reindirizza a /nextgen/profile invece di essere un vicolo cieco</t>
  </si>
  <si>
    <t xml:space="preserve">Naviga direttamente a /nextgen/planner/logistica (es. da un bookmark vecchio)</t>
  </si>
  <si>
    <t xml:space="preserve">Si viene reindirizzati a /nextgen/profile</t>
  </si>
  <si>
    <t xml:space="preserve">TC-251</t>
  </si>
  <si>
    <t xml:space="preserve">NEXTGEN - Indirizzi/Famiglia (Sprint 7)</t>
  </si>
  <si>
    <t xml:space="preserve">Il tasto 'Indietro' da Indirizzi e da Famiglia torna a Profilo (non piu' all'hub Logistica eliminato)</t>
  </si>
  <si>
    <t xml:space="preserve">Apri /nextgen/profile, entra in 'Indirizzi di famiglia', premi Indietro; ripeti per 'Famiglia'</t>
  </si>
  <si>
    <t xml:space="preserve">Il tasto Indietro riporta a /nextgen/profile in entrambi i casi</t>
  </si>
  <si>
    <t xml:space="preserve">TC-252</t>
  </si>
  <si>
    <t xml:space="preserve">Login - Sfondo splash/status-bar (BUGFIX)</t>
  </si>
  <si>
    <t xml:space="preserve">Il meta theme-color e il manifest (tenant famiglia) sono bianchi, non azzurri</t>
  </si>
  <si>
    <t xml:space="preserve">Apri /auth/login (tenant famiglia), ispeziona &lt;meta name="theme-color"&gt; e /manifest-family.json</t>
  </si>
  <si>
    <t xml:space="preserve">theme-color e manifest.background_color/theme_color sono #FFFFFF; prima erano #4DAFEF (azzurro), colore dipinto dal browser dietro al logo prima del render della pagina (segnalato da Fabrizio: 'quando viene presentato il logo lo sfondo e' ancora sbagliato, azzurro invece che bianco')</t>
  </si>
  <si>
    <t xml:space="preserve">TC-253</t>
  </si>
  <si>
    <t xml:space="preserve">Il manifest del tenant partner e' bianco, non verde</t>
  </si>
  <si>
    <t xml:space="preserve">Ispeziona /manifest-partner.json (background_color/theme_color)</t>
  </si>
  <si>
    <t xml:space="preserve">Entrambi i campi sono #FFFFFF; prima erano #1FA88E (verde), stesso bug del tenant famiglia. Il tenant admin resta invariato (navy #1A1D2E, corretto)</t>
  </si>
  <si>
    <t xml:space="preserve">TC-254</t>
  </si>
  <si>
    <t xml:space="preserve">NEXTGEN - Profilo, back-nav pagine condivise (BUGFIX)</t>
  </si>
  <si>
    <t xml:space="preserve">Da Profilo NEXTGEN, il tasto Indietro dalle pagine condivise (Le presenze, Preferiti, Le mie prenotazioni, Le mie richieste, Sicurezza, Preferenze, Privacy) torna a Profilo NEXTGEN e non al profilo legacy</t>
  </si>
  <si>
    <t xml:space="preserve">Apri /nextgen/profile, entra in 'Le presenze' (o una delle altre pagine condivise), premi il tasto Indietro dell'header</t>
  </si>
  <si>
    <t xml:space="preserve">Si torna a /nextgen/profile (non a /profile legacy). Le stesse pagine raggiunte dal profilo legacy tornano invece a /profile: il tasto Indietro usa la cronologia del browser (router.back()) invece di un backHref fisso a /profile (segnalato da Fabrizio su 'Le presenze')</t>
  </si>
  <si>
    <t xml:space="preserve">TC-255</t>
  </si>
  <si>
    <t xml:space="preserve">NEXTGEN - Profilo, Famiglia: invito via email</t>
  </si>
  <si>
    <t xml:space="preserve">Il form 'Invita per email' e' visibile per il creatore/admin della famiglia, in aggiunta al codice manuale</t>
  </si>
  <si>
    <t xml:space="preserve">Login genitore, creatore/admin di una famiglia</t>
  </si>
  <si>
    <t xml:space="preserve">Apri /nextgen/profile -&gt; Famiglia -&gt; Indirizzi/Famiglia, osserva la sezione Famiglia</t>
  </si>
  <si>
    <t xml:space="preserve">E' visibile il form 'Invita per email' (campo email + bottone 'Invia invito') SOPRA il box del codice invito, che resta comunque disponibile come alternativa manuale (scelta di Fabrizio: tenere entrambe le strade)</t>
  </si>
  <si>
    <t xml:space="preserve">TC-256</t>
  </si>
  <si>
    <t xml:space="preserve">Inviare un invito per email crea una riga 'In attesa di risposta' e (se Resend configurato) invia l'email</t>
  </si>
  <si>
    <t xml:space="preserve">Compila 'Email dell'altro genitore' con un'email di test, clicca 'Invia invito'</t>
  </si>
  <si>
    <t xml:space="preserve">Toast di conferma ('Invito inviato!' o 'Invito creato' se l'email non e' configurata), l'email compare nella lista 'In attesa di risposta' con lo stato corretto (Email inviata / In attesa)</t>
  </si>
  <si>
    <t xml:space="preserve">TC-257</t>
  </si>
  <si>
    <t xml:space="preserve">Aprire un link di invito con token non valido/scaduto mostra un errore chiaro, non un crash</t>
  </si>
  <si>
    <t xml:space="preserve">Login genitore (qualsiasi)</t>
  </si>
  <si>
    <t xml:space="preserve">Apri /nextgen/planner/famiglia?accept=TOKEN_INESISTENTE</t>
  </si>
  <si>
    <t xml:space="preserve">Compare il messaggio 'Questo invito non e' (piu') valido...' invece di un errore applicativo; il resto della pagina Famiglia funziona normalmente</t>
  </si>
  <si>
    <t xml:space="preserve">TC-258</t>
  </si>
  <si>
    <t xml:space="preserve">Accettare un invito valido (stessa email dell'account loggato) aggiunge l'utente alla famiglia</t>
  </si>
  <si>
    <t xml:space="preserve">Un genitore A ha invitato l'email del genitore B (account reale, non l'unico account di test disponibile); NON automatizzabile con un solo account di test</t>
  </si>
  <si>
    <t xml:space="preserve">Genitore B apre il link ricevuto via email, arriva su /auth/login?next=/nextgen/planner/famiglia%3Faccept%3DTOKEN, effettua login/registrazione con la STESSA email invitata, vede il prompt 'X ti ha invitato...', clicca 'Accetta l'invito'</t>
  </si>
  <si>
    <t xml:space="preserve">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</si>
  <si>
    <t xml:space="preserve">Verifica manuale richiesta: ambiente di test ha un solo account genitore promosso</t>
  </si>
  <si>
    <t xml:space="preserve">TC-259</t>
  </si>
  <si>
    <t xml:space="preserve">L'invito mostra un link copiabile (WhatsApp, SMS, ecc.), non solo l'invio email automatico</t>
  </si>
  <si>
    <t xml:space="preserve">Invia un invito per email, poi clicca 'Copia link invito (WhatsApp, SMS...)'; ricarica la pagina e clicca 'Copia link' sulla riga dell'invito in 'In attesa di risposta'</t>
  </si>
  <si>
    <t xml:space="preserve">In entrambi i casi il link viene copiato negli appunti (toast 'Link copiato!'); il link porta a /auth/login?next=/nextgen/planner/famiglia%3Faccept%3DTOKEN e mostra il prompt di accettazione</t>
  </si>
  <si>
    <t xml:space="preserve">TC-260</t>
  </si>
  <si>
    <t xml:space="preserve">Branding - Icone da SVG vettoriali</t>
  </si>
  <si>
    <t xml:space="preserve">Tutte le icone PWA/favicon/splash/logo inline sono nitide (rigenerate da SVG vettoriali, non piu' da un PNG raster a bassa risoluzione)</t>
  </si>
  <si>
    <t xml:space="preserve">Fabrizio ha fornito TRAMA_PWA_SVG_icons.zip (simbolo colorato/navy/bianco-su-navy, viewBox 600x600)</t>
  </si>
  <si>
    <t xml:space="preserve">Apri /auth/login (genitore/partner/admin), /nextgen/* (icona inline nell'header), e ispeziona manifest-*.json/icon-*.png/apple-touch-icon*.png/favicon.ico</t>
  </si>
  <si>
    <t xml:space="preserve">Icona nitida ad ogni dimensione (192/512/apple-touch/favicon/splash), rispetta la regola di brand (colorata=genitori, navy=gestori/partner, bianca su navy=admin); nessuna sgranatura visibile rispetto al vecchio PNG 345x225</t>
  </si>
  <si>
    <t xml:space="preserve">SVG sorgente salvati in public/brand/svg/ per rigenerazioni future</t>
  </si>
  <si>
    <t xml:space="preserve">TC-261</t>
  </si>
  <si>
    <t xml:space="preserve">Branding - Favicon per-tenant</t>
  </si>
  <si>
    <t xml:space="preserve">La favicon nella scheda del browser e' quella corretta per ciascun tenant (colorata=genitori, navy=partner, bianca su navy=admin), non identica per tutti e tre</t>
  </si>
  <si>
    <t xml:space="preserve">Nessuna (bug gia' presente nel deploy live, segnalato da Fabrizio con screenshot delle 3 schede browser identiche)</t>
  </si>
  <si>
    <t xml:space="preserve">Apri in 3 schede diverse: trama.app/auth/login, partner.trama.app/auth/login, admin.trama.app/auth/login; osserva l'icona nella scheda del browser di ciascuna</t>
  </si>
  <si>
    <t xml:space="preserve">Ogni scheda mostra l'icona del proprio tenant (icon-192.png/icon-partner-192.png/icon-admin-192.png), non piu' un'unica favicon.ico generica identica per tutti</t>
  </si>
  <si>
    <t xml:space="preserve">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</si>
  <si>
    <t xml:space="preserve">TC-262</t>
  </si>
  <si>
    <t xml:space="preserve">Branding - Icone: ripristino disegno precedente</t>
  </si>
  <si>
    <t xml:space="preserve">Il simbolo dell'icona (mark) e' quello storico, non il nuovo disegno da SVG (Fabrizio: 'l'icona, proprio il disegno, e' quello sbagliato')</t>
  </si>
  <si>
    <t xml:space="preserve">TC-260/TC-261 avevano introdotto un nuovo disegno del mark da TRAMA_PWA_SVG_icons.zip; Fabrizio ha chiesto di ripristinare il disegno precedente pur mantenendo la differenziazione per tenant</t>
  </si>
  <si>
    <t xml:space="preserve">Apri /auth/login (genitore/partner/admin) e /nextgen/* (icona inline nell'header); ispeziona icon-192/512.png, icon-{partner,admin,nextgen}-192/512.png, apple-touch-icon*.png, splash screens, trama-logo-mark*.png</t>
  </si>
  <si>
    <t xml:space="preserve">Il disegno del mark e' quello storico (pre TRAMA_PWA_SVG_icons.zip), non il nuovo; resta pero' corretta la regola di brand (colorata=genitori, navy=gestori/partner, bianca su navy=admin) e la favicon per-tenant (TC-261, non regredita: app/favicon.ico resta rimosso)</t>
  </si>
  <si>
    <t xml:space="preserve">Ripristinati (git checkout dal commit precedente 43de44f) i 39 PNG toccati dal commit 15ae8ba (icon-*, apple-touch-icon*, brand/trama-logo-mark*, splash/*); NON ripristinato app/favicon.ico (resta cancellato, e' il fix di TC-261). Verificato con next build + tsc puliti.</t>
  </si>
  <si>
    <t xml:space="preserve">TC-263</t>
  </si>
  <si>
    <t xml:space="preserve">NEXTGEN - Planner Organizzazione, sprint correttivo</t>
  </si>
  <si>
    <t xml:space="preserve">Badge 'Beta' nell'angolo (ribbon) al posto del pill 'NextGen'</t>
  </si>
  <si>
    <t xml:space="preserve">Apri /nextgen/planner (o qualsiasi pagina NEXTGEN)</t>
  </si>
  <si>
    <t xml:space="preserve">Nell'angolo in alto a destra compare un ribbon diagonale 'Beta'; il vecchio pill nero 'NextGen' non c'e' piu'</t>
  </si>
  <si>
    <t xml:space="preserve">TC-264</t>
  </si>
  <si>
    <t xml:space="preserve">'Budget impegnato' non e' piu' duplicato nel tab Organizzazione</t>
  </si>
  <si>
    <t xml:space="preserve">Apri /nextgen/planner, tab Organizzazione, poi tab Budget</t>
  </si>
  <si>
    <t xml:space="preserve">Il tab Organizzazione non mostra piu' la card 'Budget impegnato' (resta solo nel tab Budget dedicato)</t>
  </si>
  <si>
    <t xml:space="preserve">TC-265</t>
  </si>
  <si>
    <t xml:space="preserve">I banner (Promemoria/Missioni) con un'azione mostrano una freccia e portano da qualche parte</t>
  </si>
  <si>
    <t xml:space="preserve">Account con almeno un promemoria/missione azionabile</t>
  </si>
  <si>
    <t xml:space="preserve">Apri /nextgen/planner, osserva i banner in alto, clicca su uno con la freccia</t>
  </si>
  <si>
    <t xml:space="preserve">Il click scorre alla settimana in Timeline, cambia tab (es. Budget) o naviga alla pagina pertinente, senza errori</t>
  </si>
  <si>
    <t xml:space="preserve">TC-266</t>
  </si>
  <si>
    <t xml:space="preserve">Sezione 'Promemoria e avvisi' raggiungibile da Profilo, segnata come anteprima</t>
  </si>
  <si>
    <t xml:space="preserve">Profilo -&gt; 'Promemoria e avvisi'</t>
  </si>
  <si>
    <t xml:space="preserve">Si apre /nextgen/planner/promemoria con badge 'Anteprima', toggle 'Promemoria attivo' funzionante (stato locale, nessun salvataggio reale dichiarato in UI)</t>
  </si>
  <si>
    <t xml:space="preserve">TC-267</t>
  </si>
  <si>
    <t xml:space="preserve">NEXTGEN - Prenotazione, check sovrapposizione stesso bambino</t>
  </si>
  <si>
    <t xml:space="preserve">Conflitto sullo stesso bambino offre 'Mantieni entrambe' o 'Annulla l'altra e prenota questa' invece del generico 'Prosegui comunque'</t>
  </si>
  <si>
    <t xml:space="preserve">Bambino con una prenotazione ATTIVA; nuova prenotazione su un'altra attivita' che copre la stessa settimana per lo stesso bambino</t>
  </si>
  <si>
    <t xml:space="preserve">Prova a prenotare la seconda attivita' per la stessa settimana/bambino</t>
  </si>
  <si>
    <t xml:space="preserve">Il box 'Attenzione: settimana gia' impegnata' mostra due scelte esplicite: 'Mantieni entrambe' (procede comunque) e 'Annulla l'altra e prenota questa' (annulla la vecchia se ancora nella finestra di cancellazione, poi prenota la nuova; altrimenti mostra l'errore e non prenota)</t>
  </si>
  <si>
    <t xml:space="preserve">Verifica manuale richiesta: serve creare due prenotazioni reali sovrapposte, non fixturabile con l'account di test unico</t>
  </si>
  <si>
    <t xml:space="preserve">TC-268</t>
  </si>
  <si>
    <t xml:space="preserve">NEXTGEN - Planner Organizzazione, bugfix copertura</t>
  </si>
  <si>
    <t xml:space="preserve">'X di Y settimane coperte' non supera mai Y anche con una settimana coperta E marcata 'non ti serve'</t>
  </si>
  <si>
    <t xml:space="preserve">Una settimana con prenotazione attiva, poi marcata 'non mi serve' senza annullare la prenotazione</t>
  </si>
  <si>
    <t xml:space="preserve">Osserva il rapporto 'X di Y settimane coperte' in Organizzazione e il triangolo di sovrapposizione sulla riga Timeline di quella settimana</t>
  </si>
  <si>
    <t xml:space="preserve">X non supera mai Y (coveredNeededCount esclude le settimane dismissed anche al numeratore); la riga Timeline mostra 'Non ti serve' senza triangolo, anche se l'overlap resta segnalato nel box 'Sovrapposizioni da controllare' sopra</t>
  </si>
  <si>
    <t xml:space="preserve">Verifica manuale richiesta: scenario limite (dismissed dopo una prenotazione attiva) non riproducibile deterministicamente con l'account di test condiviso</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</si>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</sst>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56"/>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1333</v>
      </c>
      <c r="C224" s="1" t="s">
        <v>1334</v>
      </c>
      <c r="D224" s="1" t="s">
        <v>1155</v>
      </c>
      <c r="E224" s="1" t="s">
        <v>1335</v>
      </c>
      <c r="F224" s="1" t="s">
        <v>1336</v>
      </c>
      <c r="G224" s="18" t="s">
        <v>74</v>
      </c>
      <c r="H224" s="1" t="str">
        <f aca="false">IF(G224="BUG","BUG-"&amp;A224,IF(G224="FUNCTIONAL","FUNCTIONAL-"&amp;A224,""))</f>
        <v/>
      </c>
      <c r="I224" s="18" t="s">
        <v>65</v>
      </c>
      <c r="L224" s="1" t="s">
        <v>1337</v>
      </c>
    </row>
    <row r="225" customFormat="false" ht="15" hidden="false" customHeight="true" outlineLevel="0" collapsed="false">
      <c r="A225" s="1" t="s">
        <v>1338</v>
      </c>
      <c r="B225" s="1" t="s">
        <v>1333</v>
      </c>
      <c r="C225" s="1" t="s">
        <v>1339</v>
      </c>
      <c r="D225" s="1" t="s">
        <v>1155</v>
      </c>
      <c r="E225" s="1" t="s">
        <v>1340</v>
      </c>
      <c r="F225" s="1" t="s">
        <v>1341</v>
      </c>
      <c r="G225" s="18" t="s">
        <v>74</v>
      </c>
      <c r="H225" s="1" t="str">
        <f aca="false">IF(G225="BUG","BUG-"&amp;A225,IF(G225="FUNCTIONAL","FUNCTIONAL-"&amp;A225,""))</f>
        <v/>
      </c>
      <c r="I225" s="18" t="s">
        <v>42</v>
      </c>
      <c r="L225" s="1" t="s">
        <v>1342</v>
      </c>
    </row>
    <row r="226" customFormat="false" ht="15" hidden="false" customHeight="true" outlineLevel="0" collapsed="false">
      <c r="A226" s="1" t="s">
        <v>1343</v>
      </c>
      <c r="B226" s="1" t="s">
        <v>1333</v>
      </c>
      <c r="C226" s="1" t="s">
        <v>1344</v>
      </c>
      <c r="D226" s="1" t="s">
        <v>1155</v>
      </c>
      <c r="E226" s="1" t="s">
        <v>1345</v>
      </c>
      <c r="F226" s="1" t="s">
        <v>1346</v>
      </c>
      <c r="G226" s="18" t="s">
        <v>74</v>
      </c>
      <c r="H226" s="1" t="str">
        <f aca="false">IF(G226="BUG","BUG-"&amp;A226,IF(G226="FUNCTIONAL","FUNCTIONAL-"&amp;A226,""))</f>
        <v/>
      </c>
      <c r="I226" s="18" t="s">
        <v>56</v>
      </c>
      <c r="L226" s="1" t="s">
        <v>1347</v>
      </c>
    </row>
    <row r="227" customFormat="false" ht="15" hidden="false" customHeight="true" outlineLevel="0" collapsed="false">
      <c r="A227" s="1" t="s">
        <v>1348</v>
      </c>
      <c r="B227" s="1" t="s">
        <v>1333</v>
      </c>
      <c r="C227" s="1" t="s">
        <v>1349</v>
      </c>
      <c r="D227" s="1" t="s">
        <v>1350</v>
      </c>
      <c r="E227" s="1" t="s">
        <v>1351</v>
      </c>
      <c r="F227" s="1" t="s">
        <v>1352</v>
      </c>
      <c r="G227" s="18" t="s">
        <v>74</v>
      </c>
      <c r="H227" s="1" t="str">
        <f aca="false">IF(G227="BUG","BUG-"&amp;A227,IF(G227="FUNCTIONAL","FUNCTIONAL-"&amp;A227,""))</f>
        <v/>
      </c>
      <c r="I227" s="18" t="s">
        <v>42</v>
      </c>
      <c r="L227" s="1" t="s">
        <v>1353</v>
      </c>
    </row>
    <row r="228" customFormat="false" ht="15" hidden="false" customHeight="true" outlineLevel="0" collapsed="false">
      <c r="A228" s="1" t="s">
        <v>1354</v>
      </c>
      <c r="B228" s="1" t="s">
        <v>1333</v>
      </c>
      <c r="C228" s="1" t="s">
        <v>1355</v>
      </c>
      <c r="D228" s="1" t="s">
        <v>1356</v>
      </c>
      <c r="E228" s="1" t="s">
        <v>1357</v>
      </c>
      <c r="F228" s="1" t="s">
        <v>1358</v>
      </c>
      <c r="G228" s="18" t="s">
        <v>74</v>
      </c>
      <c r="H228" s="1" t="str">
        <f aca="false">IF(G228="BUG","BUG-"&amp;A228,IF(G228="FUNCTIONAL","FUNCTIONAL-"&amp;A228,""))</f>
        <v/>
      </c>
      <c r="I228" s="18" t="s">
        <v>56</v>
      </c>
      <c r="L228" s="1" t="s">
        <v>1359</v>
      </c>
    </row>
    <row r="229" customFormat="false" ht="15" hidden="false" customHeight="true" outlineLevel="0" collapsed="false">
      <c r="A229" s="1" t="s">
        <v>1360</v>
      </c>
      <c r="B229" s="1" t="s">
        <v>1333</v>
      </c>
      <c r="C229" s="1" t="s">
        <v>1361</v>
      </c>
      <c r="D229" s="1" t="s">
        <v>1362</v>
      </c>
      <c r="E229" s="1" t="s">
        <v>1363</v>
      </c>
      <c r="F229" s="1" t="s">
        <v>1364</v>
      </c>
      <c r="G229" s="18" t="s">
        <v>74</v>
      </c>
      <c r="H229" s="1" t="str">
        <f aca="false">IF(G229="BUG","BUG-"&amp;A229,IF(G229="FUNCTIONAL","FUNCTIONAL-"&amp;A229,""))</f>
        <v/>
      </c>
      <c r="I229" s="18" t="s">
        <v>65</v>
      </c>
      <c r="L229" s="1" t="s">
        <v>1365</v>
      </c>
    </row>
    <row r="230" customFormat="false" ht="15" hidden="false" customHeight="true" outlineLevel="0" collapsed="false">
      <c r="A230" s="1" t="s">
        <v>1366</v>
      </c>
      <c r="B230" s="1" t="s">
        <v>1333</v>
      </c>
      <c r="C230" s="1" t="s">
        <v>1367</v>
      </c>
      <c r="D230" s="1" t="s">
        <v>1368</v>
      </c>
      <c r="E230" s="1" t="s">
        <v>1369</v>
      </c>
      <c r="F230" s="1" t="s">
        <v>1370</v>
      </c>
      <c r="G230" s="18" t="s">
        <v>74</v>
      </c>
      <c r="H230" s="1" t="str">
        <f aca="false">IF(G230="BUG","BUG-"&amp;A230,IF(G230="FUNCTIONAL","FUNCTIONAL-"&amp;A230,""))</f>
        <v/>
      </c>
      <c r="I230" s="18" t="s">
        <v>56</v>
      </c>
      <c r="L230" s="1" t="s">
        <v>1371</v>
      </c>
    </row>
    <row r="231" customFormat="false" ht="15" hidden="false" customHeight="true" outlineLevel="0" collapsed="false">
      <c r="A231" s="1" t="s">
        <v>1372</v>
      </c>
      <c r="B231" s="1" t="s">
        <v>1333</v>
      </c>
      <c r="C231" s="1" t="s">
        <v>1373</v>
      </c>
      <c r="D231" s="1" t="s">
        <v>1374</v>
      </c>
      <c r="E231" s="1" t="s">
        <v>1375</v>
      </c>
      <c r="F231" s="1" t="s">
        <v>1376</v>
      </c>
      <c r="G231" s="18" t="s">
        <v>74</v>
      </c>
      <c r="H231" s="1" t="str">
        <f aca="false">IF(G231="BUG","BUG-"&amp;A231,IF(G231="FUNCTIONAL","FUNCTIONAL-"&amp;A231,""))</f>
        <v/>
      </c>
      <c r="I231" s="18" t="s">
        <v>42</v>
      </c>
      <c r="L231" s="1" t="s">
        <v>1377</v>
      </c>
    </row>
    <row r="232" customFormat="false" ht="15" hidden="false" customHeight="true" outlineLevel="0" collapsed="false">
      <c r="A232" s="1" t="s">
        <v>1378</v>
      </c>
      <c r="B232" s="1" t="s">
        <v>1333</v>
      </c>
      <c r="C232" s="1" t="s">
        <v>1379</v>
      </c>
      <c r="D232" s="1" t="s">
        <v>1380</v>
      </c>
      <c r="E232" s="1" t="s">
        <v>1381</v>
      </c>
      <c r="F232" s="1" t="s">
        <v>1382</v>
      </c>
      <c r="G232" s="18" t="s">
        <v>74</v>
      </c>
      <c r="H232" s="1" t="str">
        <f aca="false">IF(G232="BUG","BUG-"&amp;A232,IF(G232="FUNCTIONAL","FUNCTIONAL-"&amp;A232,""))</f>
        <v/>
      </c>
      <c r="I232" s="18" t="s">
        <v>65</v>
      </c>
      <c r="L232" s="1" t="s">
        <v>1383</v>
      </c>
    </row>
    <row r="233" customFormat="false" ht="15" hidden="false" customHeight="true" outlineLevel="0" collapsed="false">
      <c r="A233" s="1" t="s">
        <v>1384</v>
      </c>
      <c r="B233" s="1" t="s">
        <v>226</v>
      </c>
      <c r="C233" s="1" t="s">
        <v>1385</v>
      </c>
      <c r="D233" s="1" t="s">
        <v>1386</v>
      </c>
      <c r="E233" s="1" t="s">
        <v>1387</v>
      </c>
      <c r="F233" s="1" t="s">
        <v>1388</v>
      </c>
      <c r="G233" s="18" t="s">
        <v>74</v>
      </c>
      <c r="H233" s="1" t="str">
        <f aca="false">IF(G233="BUG","BUG-"&amp;A233,IF(G233="FUNCTIONAL","FUNCTIONAL-"&amp;A233,""))</f>
        <v/>
      </c>
      <c r="I233" s="18" t="s">
        <v>56</v>
      </c>
      <c r="L233" s="1" t="s">
        <v>1389</v>
      </c>
    </row>
    <row r="234" customFormat="false" ht="15" hidden="false" customHeight="true" outlineLevel="0" collapsed="false">
      <c r="A234" s="1" t="s">
        <v>1390</v>
      </c>
      <c r="B234" s="1" t="s">
        <v>226</v>
      </c>
      <c r="C234" s="1" t="s">
        <v>1391</v>
      </c>
      <c r="D234" s="1" t="s">
        <v>1392</v>
      </c>
      <c r="E234" s="1" t="s">
        <v>1393</v>
      </c>
      <c r="F234" s="1" t="s">
        <v>1394</v>
      </c>
      <c r="G234" s="18" t="s">
        <v>74</v>
      </c>
      <c r="H234" s="1" t="str">
        <f aca="false">IF(G234="BUG","BUG-"&amp;A234,IF(G234="FUNCTIONAL","FUNCTIONAL-"&amp;A234,""))</f>
        <v/>
      </c>
      <c r="I234" s="18" t="s">
        <v>42</v>
      </c>
      <c r="L234" s="1" t="s">
        <v>1395</v>
      </c>
    </row>
    <row r="235" customFormat="false" ht="15" hidden="false" customHeight="true" outlineLevel="0" collapsed="false">
      <c r="A235" s="1" t="s">
        <v>1396</v>
      </c>
      <c r="B235" s="1" t="s">
        <v>226</v>
      </c>
      <c r="C235" s="1" t="s">
        <v>1397</v>
      </c>
      <c r="D235" s="1" t="s">
        <v>1398</v>
      </c>
      <c r="E235" s="1" t="s">
        <v>1399</v>
      </c>
      <c r="F235" s="1" t="s">
        <v>1400</v>
      </c>
      <c r="G235" s="18" t="s">
        <v>74</v>
      </c>
      <c r="H235" s="1" t="str">
        <f aca="false">IF(G235="BUG","BUG-"&amp;A235,IF(G235="FUNCTIONAL","FUNCTIONAL-"&amp;A235,""))</f>
        <v/>
      </c>
      <c r="I235" s="18" t="s">
        <v>56</v>
      </c>
      <c r="L235" s="1" t="s">
        <v>1401</v>
      </c>
    </row>
    <row r="236" customFormat="false" ht="15" hidden="false" customHeight="true" outlineLevel="0" collapsed="false">
      <c r="A236" s="1" t="s">
        <v>1402</v>
      </c>
      <c r="B236" s="1" t="s">
        <v>1403</v>
      </c>
      <c r="C236" s="1" t="s">
        <v>1404</v>
      </c>
      <c r="D236" s="1" t="s">
        <v>1405</v>
      </c>
      <c r="E236" s="1" t="s">
        <v>1406</v>
      </c>
      <c r="F236" s="1" t="s">
        <v>1407</v>
      </c>
      <c r="G236" s="18" t="s">
        <v>74</v>
      </c>
      <c r="H236" s="1" t="str">
        <f aca="false">IF(G236="BUG","BUG-"&amp;A236,IF(G236="FUNCTIONAL","FUNCTIONAL-"&amp;A236,""))</f>
        <v/>
      </c>
      <c r="I236" s="18" t="s">
        <v>42</v>
      </c>
      <c r="L236" s="1" t="s">
        <v>1408</v>
      </c>
    </row>
    <row r="237" customFormat="false" ht="15" hidden="false" customHeight="true" outlineLevel="0" collapsed="false">
      <c r="A237" s="1" t="s">
        <v>1409</v>
      </c>
      <c r="B237" s="1" t="s">
        <v>1403</v>
      </c>
      <c r="C237" s="1" t="s">
        <v>1410</v>
      </c>
      <c r="D237" s="1" t="s">
        <v>1155</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1403</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1403</v>
      </c>
      <c r="C239" s="1" t="s">
        <v>1420</v>
      </c>
      <c r="D239" s="1" t="s">
        <v>1155</v>
      </c>
      <c r="E239" s="1" t="s">
        <v>1421</v>
      </c>
      <c r="F239" s="1" t="s">
        <v>1422</v>
      </c>
      <c r="G239" s="18" t="s">
        <v>74</v>
      </c>
      <c r="H239" s="1" t="str">
        <f aca="false">IF(G239="BUG","BUG-"&amp;A239,IF(G239="FUNCTIONAL","FUNCTIONAL-"&amp;A239,""))</f>
        <v/>
      </c>
      <c r="I239" s="18" t="s">
        <v>56</v>
      </c>
      <c r="L239" s="1" t="s">
        <v>1423</v>
      </c>
    </row>
    <row r="240" customFormat="false" ht="15" hidden="false" customHeight="true" outlineLevel="0" collapsed="false">
      <c r="A240" s="1" t="s">
        <v>1424</v>
      </c>
      <c r="B240" s="1" t="s">
        <v>1403</v>
      </c>
      <c r="C240" s="1" t="s">
        <v>1425</v>
      </c>
      <c r="D240" s="1" t="s">
        <v>1426</v>
      </c>
      <c r="E240" s="1" t="s">
        <v>1427</v>
      </c>
      <c r="F240" s="1" t="s">
        <v>1428</v>
      </c>
      <c r="G240" s="18" t="s">
        <v>74</v>
      </c>
      <c r="H240" s="1" t="str">
        <f aca="false">IF(G240="BUG","BUG-"&amp;A240,IF(G240="FUNCTIONAL","FUNCTIONAL-"&amp;A240,""))</f>
        <v/>
      </c>
      <c r="I240" s="18" t="s">
        <v>42</v>
      </c>
      <c r="L240" s="1" t="s">
        <v>1429</v>
      </c>
    </row>
    <row r="241" customFormat="false" ht="15" hidden="false" customHeight="true" outlineLevel="0" collapsed="false">
      <c r="A241" s="1" t="s">
        <v>1430</v>
      </c>
      <c r="B241" s="1" t="s">
        <v>1403</v>
      </c>
      <c r="C241" s="1" t="s">
        <v>1431</v>
      </c>
      <c r="D241" s="1" t="s">
        <v>1155</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1403</v>
      </c>
      <c r="C242" s="1" t="s">
        <v>1436</v>
      </c>
      <c r="D242" s="1" t="s">
        <v>1437</v>
      </c>
      <c r="E242" s="1" t="s">
        <v>1438</v>
      </c>
      <c r="F242" s="1" t="s">
        <v>1439</v>
      </c>
      <c r="G242" s="18" t="s">
        <v>74</v>
      </c>
      <c r="H242" s="1" t="str">
        <f aca="false">IF(G242="BUG","BUG-"&amp;A242,IF(G242="FUNCTIONAL","FUNCTIONAL-"&amp;A242,""))</f>
        <v/>
      </c>
      <c r="I242" s="18" t="s">
        <v>56</v>
      </c>
      <c r="L242" s="1" t="s">
        <v>1440</v>
      </c>
    </row>
    <row r="243" customFormat="false" ht="15" hidden="false" customHeight="true" outlineLevel="0" collapsed="false">
      <c r="A243" s="1" t="s">
        <v>1441</v>
      </c>
      <c r="B243" s="1" t="s">
        <v>1403</v>
      </c>
      <c r="C243" s="1" t="s">
        <v>1442</v>
      </c>
      <c r="D243" s="1" t="s">
        <v>1443</v>
      </c>
      <c r="E243" s="1" t="s">
        <v>1444</v>
      </c>
      <c r="F243" s="1" t="s">
        <v>1445</v>
      </c>
      <c r="G243" s="18" t="s">
        <v>74</v>
      </c>
      <c r="H243" s="1" t="str">
        <f aca="false">IF(G243="BUG","BUG-"&amp;A243,IF(G243="FUNCTIONAL","FUNCTIONAL-"&amp;A243,""))</f>
        <v/>
      </c>
      <c r="I243" s="18" t="s">
        <v>56</v>
      </c>
      <c r="L243" s="1" t="s">
        <v>1446</v>
      </c>
    </row>
    <row r="244" customFormat="false" ht="15" hidden="false" customHeight="true" outlineLevel="0" collapsed="false">
      <c r="A244" s="1" t="s">
        <v>1447</v>
      </c>
      <c r="B244" s="1" t="s">
        <v>1403</v>
      </c>
      <c r="C244" s="1" t="s">
        <v>1448</v>
      </c>
      <c r="D244" s="1" t="s">
        <v>1155</v>
      </c>
      <c r="E244" s="1" t="s">
        <v>1449</v>
      </c>
      <c r="F244" s="1" t="s">
        <v>1450</v>
      </c>
      <c r="G244" s="18" t="s">
        <v>74</v>
      </c>
      <c r="H244" s="1" t="str">
        <f aca="false">IF(G244="BUG","BUG-"&amp;A244,IF(G244="FUNCTIONAL","FUNCTIONAL-"&amp;A244,""))</f>
        <v/>
      </c>
      <c r="I244" s="18" t="s">
        <v>65</v>
      </c>
      <c r="L244" s="1" t="s">
        <v>1451</v>
      </c>
    </row>
    <row r="245" customFormat="false" ht="15" hidden="false" customHeight="true" outlineLevel="0" collapsed="false">
      <c r="A245" s="1" t="s">
        <v>1452</v>
      </c>
      <c r="B245" s="1" t="s">
        <v>1453</v>
      </c>
      <c r="C245" s="1" t="s">
        <v>1454</v>
      </c>
      <c r="D245" s="1" t="s">
        <v>1155</v>
      </c>
      <c r="E245" s="1" t="s">
        <v>1455</v>
      </c>
      <c r="F245" s="1" t="s">
        <v>1456</v>
      </c>
      <c r="G245" s="18" t="s">
        <v>74</v>
      </c>
      <c r="H245" s="1" t="str">
        <f aca="false">IF(G245="BUG","BUG-"&amp;A245,IF(G245="FUNCTIONAL","FUNCTIONAL-"&amp;A245,""))</f>
        <v/>
      </c>
      <c r="I245" s="18" t="s">
        <v>42</v>
      </c>
      <c r="L245" s="1" t="s">
        <v>1457</v>
      </c>
    </row>
    <row r="246" customFormat="false" ht="15" hidden="false" customHeight="true" outlineLevel="0" collapsed="false">
      <c r="A246" s="1" t="s">
        <v>1458</v>
      </c>
      <c r="B246" s="1" t="s">
        <v>1453</v>
      </c>
      <c r="C246" s="1" t="s">
        <v>1459</v>
      </c>
      <c r="D246" s="1" t="s">
        <v>1155</v>
      </c>
      <c r="E246" s="1" t="s">
        <v>1460</v>
      </c>
      <c r="F246" s="1" t="s">
        <v>1461</v>
      </c>
      <c r="G246" s="18" t="s">
        <v>74</v>
      </c>
      <c r="H246" s="1" t="str">
        <f aca="false">IF(G246="BUG","BUG-"&amp;A246,IF(G246="FUNCTIONAL","FUNCTIONAL-"&amp;A246,""))</f>
        <v/>
      </c>
      <c r="I246" s="18" t="s">
        <v>56</v>
      </c>
      <c r="L246" s="1" t="s">
        <v>1462</v>
      </c>
    </row>
    <row r="247" customFormat="false" ht="15" hidden="false" customHeight="true" outlineLevel="0" collapsed="false">
      <c r="A247" s="1" t="s">
        <v>1463</v>
      </c>
      <c r="B247" s="1" t="s">
        <v>1453</v>
      </c>
      <c r="C247" s="1" t="s">
        <v>1464</v>
      </c>
      <c r="D247" s="1" t="s">
        <v>1465</v>
      </c>
      <c r="E247" s="1" t="s">
        <v>1466</v>
      </c>
      <c r="F247" s="1" t="s">
        <v>1467</v>
      </c>
      <c r="G247" s="18" t="s">
        <v>74</v>
      </c>
      <c r="H247" s="1" t="str">
        <f aca="false">IF(G247="BUG","BUG-"&amp;A247,IF(G247="FUNCTIONAL","FUNCTIONAL-"&amp;A247,""))</f>
        <v/>
      </c>
      <c r="I247" s="18" t="s">
        <v>42</v>
      </c>
      <c r="L247" s="1" t="s">
        <v>1468</v>
      </c>
    </row>
    <row r="248" customFormat="false" ht="15" hidden="false" customHeight="true" outlineLevel="0" collapsed="false">
      <c r="A248" s="1" t="s">
        <v>1469</v>
      </c>
      <c r="B248" s="1" t="s">
        <v>1453</v>
      </c>
      <c r="C248" s="1" t="s">
        <v>1470</v>
      </c>
      <c r="D248" s="1" t="s">
        <v>1471</v>
      </c>
      <c r="E248" s="1" t="s">
        <v>1472</v>
      </c>
      <c r="F248" s="1" t="s">
        <v>1473</v>
      </c>
      <c r="G248" s="18" t="s">
        <v>74</v>
      </c>
      <c r="H248" s="1" t="str">
        <f aca="false">IF(G248="BUG","BUG-"&amp;A248,IF(G248="FUNCTIONAL","FUNCTIONAL-"&amp;A248,""))</f>
        <v/>
      </c>
      <c r="I248" s="18" t="s">
        <v>56</v>
      </c>
    </row>
    <row r="249" customFormat="false" ht="15" hidden="false" customHeight="true" outlineLevel="0" collapsed="false">
      <c r="A249" s="1" t="s">
        <v>1474</v>
      </c>
      <c r="B249" s="1" t="s">
        <v>1453</v>
      </c>
      <c r="C249" s="1" t="s">
        <v>1475</v>
      </c>
      <c r="D249" s="1" t="s">
        <v>1155</v>
      </c>
      <c r="E249" s="1" t="s">
        <v>1476</v>
      </c>
      <c r="F249" s="1" t="s">
        <v>1477</v>
      </c>
      <c r="G249" s="18" t="s">
        <v>74</v>
      </c>
      <c r="H249" s="1" t="str">
        <f aca="false">IF(G249="BUG","BUG-"&amp;A249,IF(G249="FUNCTIONAL","FUNCTIONAL-"&amp;A249,""))</f>
        <v/>
      </c>
      <c r="I249" s="18" t="s">
        <v>56</v>
      </c>
      <c r="L249" s="1" t="s">
        <v>1478</v>
      </c>
    </row>
    <row r="250" customFormat="false" ht="15" hidden="false" customHeight="true" outlineLevel="0" collapsed="false">
      <c r="A250" s="1" t="s">
        <v>1479</v>
      </c>
      <c r="B250" s="1" t="s">
        <v>1453</v>
      </c>
      <c r="C250" s="1" t="s">
        <v>1480</v>
      </c>
      <c r="D250" s="1" t="s">
        <v>1155</v>
      </c>
      <c r="E250" s="1" t="s">
        <v>1481</v>
      </c>
      <c r="F250" s="1" t="s">
        <v>1482</v>
      </c>
      <c r="G250" s="18" t="s">
        <v>74</v>
      </c>
      <c r="H250" s="1" t="str">
        <f aca="false">IF(G250="BUG","BUG-"&amp;A250,IF(G250="FUNCTIONAL","FUNCTIONAL-"&amp;A250,""))</f>
        <v/>
      </c>
      <c r="I250" s="18" t="s">
        <v>65</v>
      </c>
    </row>
    <row r="251" customFormat="false" ht="15" hidden="false" customHeight="true" outlineLevel="0" collapsed="false">
      <c r="A251" s="1" t="s">
        <v>1483</v>
      </c>
      <c r="B251" s="1" t="s">
        <v>1484</v>
      </c>
      <c r="C251" s="1" t="s">
        <v>1485</v>
      </c>
      <c r="D251" s="1" t="s">
        <v>1155</v>
      </c>
      <c r="E251" s="1" t="s">
        <v>1486</v>
      </c>
      <c r="F251" s="1" t="s">
        <v>1487</v>
      </c>
      <c r="G251" s="18" t="s">
        <v>74</v>
      </c>
      <c r="H251" s="1" t="str">
        <f aca="false">IF(G251="BUG","BUG-"&amp;A251,IF(G251="FUNCTIONAL","FUNCTIONAL-"&amp;A251,""))</f>
        <v/>
      </c>
      <c r="I251" s="18" t="s">
        <v>56</v>
      </c>
    </row>
    <row r="252" customFormat="false" ht="15" hidden="false" customHeight="true" outlineLevel="0" collapsed="false">
      <c r="A252" s="1" t="s">
        <v>1488</v>
      </c>
      <c r="B252" s="1" t="s">
        <v>1484</v>
      </c>
      <c r="C252" s="1" t="s">
        <v>1489</v>
      </c>
      <c r="D252" s="1" t="s">
        <v>1490</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1484</v>
      </c>
      <c r="C253" s="1" t="s">
        <v>1494</v>
      </c>
      <c r="D253" s="1" t="s">
        <v>1495</v>
      </c>
      <c r="E253" s="1" t="s">
        <v>1496</v>
      </c>
      <c r="F253" s="1" t="s">
        <v>1497</v>
      </c>
      <c r="G253" s="18" t="s">
        <v>74</v>
      </c>
      <c r="H253" s="1" t="str">
        <f aca="false">IF(G253="BUG","BUG-"&amp;A253,IF(G253="FUNCTIONAL","FUNCTIONAL-"&amp;A253,""))</f>
        <v/>
      </c>
      <c r="I253" s="18" t="s">
        <v>65</v>
      </c>
    </row>
    <row r="254" customFormat="false" ht="15" hidden="false" customHeight="true" outlineLevel="0" collapsed="false">
      <c r="A254" s="1" t="s">
        <v>1498</v>
      </c>
      <c r="B254" s="1" t="s">
        <v>1499</v>
      </c>
      <c r="C254" s="1" t="s">
        <v>1500</v>
      </c>
      <c r="D254" s="1" t="s">
        <v>1471</v>
      </c>
      <c r="E254" s="1" t="s">
        <v>1501</v>
      </c>
      <c r="F254" s="1" t="s">
        <v>1502</v>
      </c>
      <c r="G254" s="18" t="s">
        <v>74</v>
      </c>
      <c r="H254" s="1" t="str">
        <f aca="false">IF(G254="BUG","BUG-"&amp;A254,IF(G254="FUNCTIONAL","FUNCTIONAL-"&amp;A254,""))</f>
        <v/>
      </c>
      <c r="I254" s="18" t="s">
        <v>56</v>
      </c>
    </row>
    <row r="255" customFormat="false" ht="15" hidden="false" customHeight="true" outlineLevel="0" collapsed="false">
      <c r="A255" s="1" t="s">
        <v>1503</v>
      </c>
      <c r="B255" s="1" t="s">
        <v>1499</v>
      </c>
      <c r="C255" s="1" t="s">
        <v>1504</v>
      </c>
      <c r="D255" s="1" t="s">
        <v>1471</v>
      </c>
      <c r="E255" s="1" t="s">
        <v>1505</v>
      </c>
      <c r="F255" s="1" t="s">
        <v>1506</v>
      </c>
      <c r="G255" s="18" t="s">
        <v>74</v>
      </c>
      <c r="H255" s="1" t="str">
        <f aca="false">IF(G255="BUG","BUG-"&amp;A255,IF(G255="FUNCTIONAL","FUNCTIONAL-"&amp;A255,""))</f>
        <v/>
      </c>
      <c r="I255" s="18" t="s">
        <v>42</v>
      </c>
    </row>
    <row r="256" customFormat="false" ht="15" hidden="false" customHeight="true" outlineLevel="0" collapsed="false">
      <c r="A256" s="1" t="s">
        <v>1507</v>
      </c>
      <c r="B256" s="1" t="s">
        <v>1499</v>
      </c>
      <c r="C256" s="1" t="s">
        <v>1508</v>
      </c>
      <c r="D256" s="1" t="s">
        <v>1471</v>
      </c>
      <c r="E256" s="1" t="s">
        <v>1509</v>
      </c>
      <c r="F256" s="1" t="s">
        <v>1510</v>
      </c>
      <c r="G256" s="18" t="s">
        <v>74</v>
      </c>
      <c r="H256" s="1" t="str">
        <f aca="false">IF(G256="BUG","BUG-"&amp;A256,IF(G256="FUNCTIONAL","FUNCTIONAL-"&amp;A256,""))</f>
        <v/>
      </c>
      <c r="I256" s="18" t="s">
        <v>56</v>
      </c>
    </row>
    <row r="257" customFormat="false" ht="15" hidden="false" customHeight="true" outlineLevel="0" collapsed="false">
      <c r="A257" s="1" t="s">
        <v>1511</v>
      </c>
      <c r="B257" s="1" t="s">
        <v>1484</v>
      </c>
      <c r="C257" s="1" t="s">
        <v>1512</v>
      </c>
      <c r="D257" s="1" t="s">
        <v>1513</v>
      </c>
      <c r="E257" s="1" t="s">
        <v>1514</v>
      </c>
      <c r="F257" s="1" t="s">
        <v>1515</v>
      </c>
      <c r="G257" s="18" t="s">
        <v>74</v>
      </c>
      <c r="H257" s="1" t="str">
        <f aca="false">IF(G257="BUG","BUG-"&amp;A257,IF(G257="FUNCTIONAL","FUNCTIONAL-"&amp;A257,""))</f>
        <v/>
      </c>
      <c r="I257" s="18" t="s">
        <v>42</v>
      </c>
    </row>
    <row r="258" customFormat="false" ht="15" hidden="false" customHeight="true" outlineLevel="0" collapsed="false">
      <c r="A258" s="1" t="s">
        <v>1516</v>
      </c>
      <c r="B258" s="1" t="s">
        <v>1484</v>
      </c>
      <c r="C258" s="1" t="s">
        <v>1517</v>
      </c>
      <c r="D258" s="1" t="s">
        <v>1518</v>
      </c>
      <c r="E258" s="1" t="s">
        <v>1519</v>
      </c>
      <c r="F258" s="1" t="s">
        <v>1520</v>
      </c>
      <c r="G258" s="18" t="s">
        <v>74</v>
      </c>
      <c r="H258" s="1" t="str">
        <f aca="false">IF(G258="BUG","BUG-"&amp;A258,IF(G258="FUNCTIONAL","FUNCTIONAL-"&amp;A258,""))</f>
        <v/>
      </c>
      <c r="I258" s="18" t="s">
        <v>56</v>
      </c>
    </row>
    <row r="259" customFormat="false" ht="15" hidden="false" customHeight="true" outlineLevel="0" collapsed="false">
      <c r="A259" s="1" t="s">
        <v>1521</v>
      </c>
      <c r="B259" s="1" t="s">
        <v>1484</v>
      </c>
      <c r="C259" s="1" t="s">
        <v>1522</v>
      </c>
      <c r="D259" s="1" t="s">
        <v>1523</v>
      </c>
      <c r="E259" s="1" t="s">
        <v>1524</v>
      </c>
      <c r="F259" s="1" t="s">
        <v>1525</v>
      </c>
      <c r="G259" s="18" t="s">
        <v>74</v>
      </c>
      <c r="H259" s="1" t="str">
        <f aca="false">IF(G259="BUG","BUG-"&amp;A259,IF(G259="FUNCTIONAL","FUNCTIONAL-"&amp;A259,""))</f>
        <v/>
      </c>
      <c r="I259" s="18" t="s">
        <v>42</v>
      </c>
    </row>
    <row r="260" customFormat="false" ht="15" hidden="false" customHeight="true" outlineLevel="0" collapsed="false">
      <c r="A260" s="1" t="s">
        <v>1526</v>
      </c>
      <c r="B260" s="1" t="s">
        <v>1499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1532</v>
      </c>
      <c r="C261" s="1" t="s">
        <v>1533</v>
      </c>
      <c r="D261" s="1" t="s">
        <v>1231</v>
      </c>
      <c r="E261" s="1" t="s">
        <v>1534</v>
      </c>
      <c r="F261" s="1" t="s">
        <v>1535</v>
      </c>
      <c r="G261" s="18" t="s">
        <v>74</v>
      </c>
      <c r="H261" s="1" t="str">
        <f aca="false">IF(G261="BUG","BUG-"&amp;A261,IF(G261="FUNCTIONAL","FUNCTIONAL-"&amp;A261,""))</f>
        <v/>
      </c>
      <c r="I261" s="18" t="s">
        <v>56</v>
      </c>
    </row>
    <row r="262" customFormat="false" ht="15" hidden="false" customHeight="true" outlineLevel="0" collapsed="false">
      <c r="A262" s="1" t="s">
        <v>1536</v>
      </c>
      <c r="B262" s="1" t="s">
        <v>1532</v>
      </c>
      <c r="C262" s="1" t="s">
        <v>1537</v>
      </c>
      <c r="D262" s="1" t="s">
        <v>1538</v>
      </c>
      <c r="E262" s="1" t="s">
        <v>1534</v>
      </c>
      <c r="F262" s="1" t="s">
        <v>1539</v>
      </c>
      <c r="G262" s="18" t="s">
        <v>74</v>
      </c>
      <c r="H262" s="1" t="str">
        <f aca="false">IF(G262="BUG","BUG-"&amp;A262,IF(G262="FUNCTIONAL","FUNCTIONAL-"&amp;A262,""))</f>
        <v/>
      </c>
      <c r="I262" s="18" t="s">
        <v>65</v>
      </c>
    </row>
    <row r="263" customFormat="false" ht="15" hidden="false" customHeight="true" outlineLevel="0" collapsed="false">
      <c r="A263" s="1" t="s">
        <v>1540</v>
      </c>
      <c r="B263" s="1" t="s">
        <v>1532</v>
      </c>
      <c r="C263" s="1" t="s">
        <v>1541</v>
      </c>
      <c r="D263" s="1" t="s">
        <v>1231</v>
      </c>
      <c r="E263" s="1" t="s">
        <v>1542</v>
      </c>
      <c r="F263" s="1" t="s">
        <v>1543</v>
      </c>
      <c r="G263" s="18" t="s">
        <v>74</v>
      </c>
      <c r="H263" s="1" t="str">
        <f aca="false">IF(G263="BUG","BUG-"&amp;A263,IF(G263="FUNCTIONAL","FUNCTIONAL-"&amp;A263,""))</f>
        <v/>
      </c>
      <c r="I263" s="18" t="s">
        <v>56</v>
      </c>
    </row>
    <row r="264" customFormat="false" ht="15" hidden="false" customHeight="true" outlineLevel="0" collapsed="false">
      <c r="A264" s="1" t="s">
        <v>1544</v>
      </c>
      <c r="B264" s="1" t="s">
        <v>1532</v>
      </c>
      <c r="C264" s="1" t="s">
        <v>1545</v>
      </c>
      <c r="D264" s="1" t="s">
        <v>1155</v>
      </c>
      <c r="E264" s="1" t="s">
        <v>1546</v>
      </c>
      <c r="F264" s="1" t="s">
        <v>1547</v>
      </c>
      <c r="G264" s="18" t="s">
        <v>74</v>
      </c>
      <c r="H264" s="1" t="str">
        <f aca="false">IF(G264="BUG","BUG-"&amp;A264,IF(G264="FUNCTIONAL","FUNCTIONAL-"&amp;A264,""))</f>
        <v/>
      </c>
      <c r="I264" s="18" t="s">
        <v>56</v>
      </c>
    </row>
    <row r="265" customFormat="false" ht="15" hidden="false" customHeight="true" outlineLevel="0" collapsed="false">
      <c r="A265" s="1" t="s">
        <v>1548</v>
      </c>
      <c r="B265" s="1" t="s">
        <v>1499</v>
      </c>
      <c r="C265" s="1" t="s">
        <v>1549</v>
      </c>
      <c r="D265" s="1" t="s">
        <v>1471</v>
      </c>
      <c r="E265" s="1" t="s">
        <v>1550</v>
      </c>
      <c r="F265" s="1" t="s">
        <v>1551</v>
      </c>
      <c r="G265" s="18" t="s">
        <v>74</v>
      </c>
      <c r="H265" s="1" t="str">
        <f aca="false">IF(G265="BUG","BUG-"&amp;A265,IF(G265="FUNCTIONAL","FUNCTIONAL-"&amp;A265,""))</f>
        <v/>
      </c>
      <c r="I265" s="18" t="s">
        <v>42</v>
      </c>
    </row>
    <row r="266" customFormat="false" ht="15" hidden="false" customHeight="true" outlineLevel="0" collapsed="false">
      <c r="A266" s="1" t="s">
        <v>1552</v>
      </c>
      <c r="B266" s="1" t="s">
        <v>1499</v>
      </c>
      <c r="C266" s="1" t="s">
        <v>1553</v>
      </c>
      <c r="D266" s="1" t="s">
        <v>1554</v>
      </c>
      <c r="E266" s="1" t="s">
        <v>1555</v>
      </c>
      <c r="F266" s="1" t="s">
        <v>1556</v>
      </c>
      <c r="G266" s="18" t="s">
        <v>74</v>
      </c>
      <c r="H266" s="1" t="str">
        <f aca="false">IF(G266="BUG","BUG-"&amp;A266,IF(G266="FUNCTIONAL","FUNCTIONAL-"&amp;A266,""))</f>
        <v/>
      </c>
      <c r="I266" s="18" t="s">
        <v>56</v>
      </c>
    </row>
    <row r="267" customFormat="false" ht="15" hidden="false" customHeight="true" outlineLevel="0" collapsed="false">
      <c r="A267" s="1" t="s">
        <v>1557</v>
      </c>
      <c r="B267" s="1" t="s">
        <v>1499</v>
      </c>
      <c r="C267" s="1" t="s">
        <v>1558</v>
      </c>
      <c r="D267" s="1" t="s">
        <v>1559</v>
      </c>
      <c r="E267" s="1" t="s">
        <v>1560</v>
      </c>
      <c r="F267" s="1" t="s">
        <v>1561</v>
      </c>
      <c r="G267" s="18" t="s">
        <v>74</v>
      </c>
      <c r="H267" s="1" t="str">
        <f aca="false">IF(G267="BUG","BUG-"&amp;A267,IF(G267="FUNCTIONAL","FUNCTIONAL-"&amp;A267,""))</f>
        <v/>
      </c>
      <c r="I267" s="18" t="s">
        <v>42</v>
      </c>
    </row>
    <row r="268" customFormat="false" ht="15" hidden="false" customHeight="true" outlineLevel="0" collapsed="false">
      <c r="A268" s="1" t="s">
        <v>1562</v>
      </c>
      <c r="B268" s="1" t="s">
        <v>1563</v>
      </c>
      <c r="C268" s="1" t="s">
        <v>1564</v>
      </c>
      <c r="D268" s="1" t="s">
        <v>1155</v>
      </c>
      <c r="E268" s="1" t="s">
        <v>1565</v>
      </c>
      <c r="F268" s="1" t="s">
        <v>1566</v>
      </c>
      <c r="G268" s="18" t="s">
        <v>74</v>
      </c>
      <c r="H268" s="1" t="str">
        <f aca="false">IF(G268="BUG","BUG-"&amp;A268,IF(G268="FUNCTIONAL","FUNCTIONAL-"&amp;A268,""))</f>
        <v/>
      </c>
      <c r="I268" s="18" t="s">
        <v>56</v>
      </c>
    </row>
    <row r="269" customFormat="false" ht="15" hidden="false" customHeight="true" outlineLevel="0" collapsed="false">
      <c r="A269" s="1" t="s">
        <v>1567</v>
      </c>
      <c r="B269" s="1" t="s">
        <v>1563</v>
      </c>
      <c r="C269" s="1" t="s">
        <v>1568</v>
      </c>
      <c r="D269" s="1" t="s">
        <v>1569</v>
      </c>
      <c r="E269" s="1" t="s">
        <v>1570</v>
      </c>
      <c r="F269" s="1" t="s">
        <v>1571</v>
      </c>
      <c r="G269" s="18" t="s">
        <v>74</v>
      </c>
      <c r="H269" s="1" t="str">
        <f aca="false">IF(G269="BUG","BUG-"&amp;A269,IF(G269="FUNCTIONAL","FUNCTIONAL-"&amp;A269,""))</f>
        <v/>
      </c>
      <c r="I269" s="18" t="s">
        <v>42</v>
      </c>
    </row>
    <row r="270" customFormat="false" ht="15" hidden="false" customHeight="true" outlineLevel="0" collapsed="false">
      <c r="A270" s="1" t="s">
        <v>1572</v>
      </c>
      <c r="B270" s="1" t="s">
        <v>1563</v>
      </c>
      <c r="C270" s="1" t="s">
        <v>1573</v>
      </c>
      <c r="D270" s="1" t="s">
        <v>1569</v>
      </c>
      <c r="E270" s="1" t="s">
        <v>1574</v>
      </c>
      <c r="F270" s="1" t="s">
        <v>1575</v>
      </c>
      <c r="G270" s="18" t="s">
        <v>74</v>
      </c>
      <c r="H270" s="1" t="str">
        <f aca="false">IF(G270="BUG","BUG-"&amp;A270,IF(G270="FUNCTIONAL","FUNCTIONAL-"&amp;A270,""))</f>
        <v/>
      </c>
      <c r="I270" s="18" t="s">
        <v>56</v>
      </c>
    </row>
    <row r="271" customFormat="false" ht="15" hidden="false" customHeight="true" outlineLevel="0" collapsed="false">
      <c r="A271" s="1" t="s">
        <v>1576</v>
      </c>
      <c r="B271" s="1" t="s">
        <v>1563</v>
      </c>
      <c r="C271" s="1" t="s">
        <v>1577</v>
      </c>
      <c r="D271" s="1" t="s">
        <v>1578</v>
      </c>
      <c r="E271" s="1" t="s">
        <v>1579</v>
      </c>
      <c r="F271" s="1" t="s">
        <v>1580</v>
      </c>
      <c r="G271" s="18" t="s">
        <v>74</v>
      </c>
      <c r="H271" s="1" t="str">
        <f aca="false">IF(G271="BUG","BUG-"&amp;A271,IF(G271="FUNCTIONAL","FUNCTIONAL-"&amp;A271,""))</f>
        <v/>
      </c>
      <c r="I271" s="18" t="s">
        <v>65</v>
      </c>
    </row>
    <row r="272" customFormat="false" ht="15" hidden="false" customHeight="true" outlineLevel="0" collapsed="false">
      <c r="A272" s="1" t="s">
        <v>1581</v>
      </c>
      <c r="B272" s="1" t="s">
        <v>1563</v>
      </c>
      <c r="C272" s="1" t="s">
        <v>1582</v>
      </c>
      <c r="D272" s="1" t="s">
        <v>1578</v>
      </c>
      <c r="E272" s="1" t="s">
        <v>1583</v>
      </c>
      <c r="F272" s="1" t="s">
        <v>1584</v>
      </c>
      <c r="G272" s="18" t="s">
        <v>74</v>
      </c>
      <c r="H272" s="1" t="str">
        <f aca="false">IF(G272="BUG","BUG-"&amp;A272,IF(G272="FUNCTIONAL","FUNCTIONAL-"&amp;A272,""))</f>
        <v/>
      </c>
      <c r="I272" s="18" t="s">
        <v>56</v>
      </c>
    </row>
    <row r="273" customFormat="false" ht="15" hidden="false" customHeight="true" outlineLevel="0" collapsed="false">
      <c r="A273" s="1" t="s">
        <v>1585</v>
      </c>
      <c r="B273" s="1" t="s">
        <v>1586</v>
      </c>
      <c r="C273" s="1" t="s">
        <v>1587</v>
      </c>
      <c r="D273" s="1" t="s">
        <v>1155</v>
      </c>
      <c r="E273" s="1" t="s">
        <v>1588</v>
      </c>
      <c r="F273" s="1" t="s">
        <v>1589</v>
      </c>
      <c r="G273" s="18" t="s">
        <v>74</v>
      </c>
      <c r="H273" s="1" t="str">
        <f aca="false">IF(G273="BUG","BUG-"&amp;A273,IF(G273="FUNCTIONAL","FUNCTIONAL-"&amp;A273,""))</f>
        <v/>
      </c>
      <c r="I273" s="18" t="s">
        <v>42</v>
      </c>
    </row>
    <row r="274" customFormat="false" ht="15" hidden="false" customHeight="true" outlineLevel="0" collapsed="false">
      <c r="A274" s="1" t="s">
        <v>1590</v>
      </c>
      <c r="B274" s="1" t="s">
        <v>1586</v>
      </c>
      <c r="C274" s="1" t="s">
        <v>1591</v>
      </c>
      <c r="D274" s="1" t="s">
        <v>1592</v>
      </c>
      <c r="E274" s="1" t="s">
        <v>1588</v>
      </c>
      <c r="F274" s="1" t="s">
        <v>1593</v>
      </c>
      <c r="G274" s="18" t="s">
        <v>74</v>
      </c>
      <c r="H274" s="1" t="str">
        <f aca="false">IF(G274="BUG","BUG-"&amp;A274,IF(G274="FUNCTIONAL","FUNCTIONAL-"&amp;A274,""))</f>
        <v/>
      </c>
      <c r="I274" s="18" t="s">
        <v>56</v>
      </c>
    </row>
    <row r="275" customFormat="false" ht="15" hidden="false" customHeight="true" outlineLevel="0" collapsed="false">
      <c r="A275" s="1" t="s">
        <v>1594</v>
      </c>
      <c r="B275" s="1" t="s">
        <v>1586</v>
      </c>
      <c r="C275" s="1" t="s">
        <v>1595</v>
      </c>
      <c r="D275" s="1" t="s">
        <v>1596</v>
      </c>
      <c r="E275" s="1" t="s">
        <v>1597</v>
      </c>
      <c r="F275" s="1" t="s">
        <v>1598</v>
      </c>
      <c r="G275" s="18" t="s">
        <v>74</v>
      </c>
      <c r="H275" s="1" t="str">
        <f aca="false">IF(G275="BUG","BUG-"&amp;A275,IF(G275="FUNCTIONAL","FUNCTIONAL-"&amp;A275,""))</f>
        <v/>
      </c>
      <c r="I275" s="18" t="s">
        <v>42</v>
      </c>
    </row>
    <row r="276" customFormat="false" ht="15" hidden="false" customHeight="true" outlineLevel="0" collapsed="false">
      <c r="A276" s="1" t="s">
        <v>1599</v>
      </c>
      <c r="B276" s="1" t="s">
        <v>1586</v>
      </c>
      <c r="C276" s="1" t="s">
        <v>1600</v>
      </c>
      <c r="D276" s="1" t="s">
        <v>1601</v>
      </c>
      <c r="E276" s="1" t="s">
        <v>1602</v>
      </c>
      <c r="F276" s="1" t="s">
        <v>1603</v>
      </c>
      <c r="G276" s="18" t="s">
        <v>74</v>
      </c>
      <c r="H276" s="1" t="str">
        <f aca="false">IF(G276="BUG","BUG-"&amp;A276,IF(G276="FUNCTIONAL","FUNCTIONAL-"&amp;A276,""))</f>
        <v/>
      </c>
      <c r="I276" s="18" t="s">
        <v>65</v>
      </c>
    </row>
    <row r="277" customFormat="false" ht="15" hidden="false" customHeight="true" outlineLevel="0" collapsed="false">
      <c r="A277" s="1" t="s">
        <v>1604</v>
      </c>
      <c r="B277" s="1" t="s">
        <v>1605</v>
      </c>
      <c r="C277" s="1" t="s">
        <v>1606</v>
      </c>
      <c r="D277" s="1" t="s">
        <v>1607</v>
      </c>
      <c r="E277" s="1" t="s">
        <v>1608</v>
      </c>
      <c r="F277" s="1" t="s">
        <v>1609</v>
      </c>
      <c r="G277" s="18" t="s">
        <v>74</v>
      </c>
      <c r="H277" s="1" t="str">
        <f aca="false">IF(G277="BUG","BUG-"&amp;A277,IF(G277="FUNCTIONAL","FUNCTIONAL-"&amp;A277,""))</f>
        <v/>
      </c>
      <c r="I277" s="18" t="s">
        <v>42</v>
      </c>
    </row>
    <row r="278" customFormat="false" ht="15" hidden="false" customHeight="true" outlineLevel="0" collapsed="false">
      <c r="A278" s="1" t="s">
        <v>1610</v>
      </c>
      <c r="B278" s="1" t="s">
        <v>1605</v>
      </c>
      <c r="C278" s="1" t="s">
        <v>1611</v>
      </c>
      <c r="D278" s="1" t="s">
        <v>1155</v>
      </c>
      <c r="E278" s="1" t="s">
        <v>1612</v>
      </c>
      <c r="F278" s="1" t="s">
        <v>1613</v>
      </c>
      <c r="G278" s="18" t="s">
        <v>74</v>
      </c>
      <c r="H278" s="1" t="str">
        <f aca="false">IF(G278="BUG","BUG-"&amp;A278,IF(G278="FUNCTIONAL","FUNCTIONAL-"&amp;A278,""))</f>
        <v/>
      </c>
      <c r="I278" s="18" t="s">
        <v>56</v>
      </c>
    </row>
    <row r="279" customFormat="false" ht="15" hidden="false" customHeight="true" outlineLevel="0" collapsed="false">
      <c r="A279" s="1" t="s">
        <v>1614</v>
      </c>
      <c r="B279" s="1" t="s">
        <v>1605</v>
      </c>
      <c r="C279" s="1" t="s">
        <v>1615</v>
      </c>
      <c r="D279" s="1" t="s">
        <v>1155</v>
      </c>
      <c r="E279" s="1" t="s">
        <v>1616</v>
      </c>
      <c r="F279" s="1" t="s">
        <v>1617</v>
      </c>
      <c r="G279" s="18" t="s">
        <v>74</v>
      </c>
      <c r="H279" s="1" t="str">
        <f aca="false">IF(G279="BUG","BUG-"&amp;A279,IF(G279="FUNCTIONAL","FUNCTIONAL-"&amp;A279,""))</f>
        <v/>
      </c>
      <c r="I279" s="18" t="s">
        <v>56</v>
      </c>
    </row>
    <row r="280" customFormat="false" ht="15" hidden="false" customHeight="true" outlineLevel="0" collapsed="false">
      <c r="A280" s="1" t="s">
        <v>1618</v>
      </c>
      <c r="B280" s="1" t="s">
        <v>1605</v>
      </c>
      <c r="C280" s="1" t="s">
        <v>1619</v>
      </c>
      <c r="D280" s="1" t="s">
        <v>1155</v>
      </c>
      <c r="E280" s="1" t="s">
        <v>1620</v>
      </c>
      <c r="F280" s="1" t="s">
        <v>1621</v>
      </c>
      <c r="G280" s="18" t="s">
        <v>74</v>
      </c>
      <c r="H280" s="1" t="str">
        <f aca="false">IF(G280="BUG","BUG-"&amp;A280,IF(G280="FUNCTIONAL","FUNCTIONAL-"&amp;A280,""))</f>
        <v/>
      </c>
      <c r="I280" s="18" t="s">
        <v>56</v>
      </c>
    </row>
    <row r="281" customFormat="false" ht="15" hidden="false" customHeight="true" outlineLevel="0" collapsed="false">
      <c r="A281" s="1" t="s">
        <v>1622</v>
      </c>
      <c r="B281" s="1" t="s">
        <v>1605</v>
      </c>
      <c r="C281" s="1" t="s">
        <v>1623</v>
      </c>
      <c r="D281" s="1" t="s">
        <v>1155</v>
      </c>
      <c r="E281" s="1" t="s">
        <v>1624</v>
      </c>
      <c r="F281" s="1" t="s">
        <v>1625</v>
      </c>
      <c r="G281" s="18" t="s">
        <v>74</v>
      </c>
      <c r="H281" s="1" t="str">
        <f aca="false">IF(G281="BUG","BUG-"&amp;A281,IF(G281="FUNCTIONAL","FUNCTIONAL-"&amp;A281,""))</f>
        <v/>
      </c>
      <c r="I281" s="18" t="s">
        <v>42</v>
      </c>
    </row>
    <row r="282" customFormat="false" ht="15" hidden="false" customHeight="true" outlineLevel="0" collapsed="false">
      <c r="A282" s="1" t="s">
        <v>1626</v>
      </c>
      <c r="B282" s="1" t="s">
        <v>1605</v>
      </c>
      <c r="C282" s="1" t="s">
        <v>1627</v>
      </c>
      <c r="D282" s="1" t="s">
        <v>1155</v>
      </c>
      <c r="E282" s="1" t="s">
        <v>1628</v>
      </c>
      <c r="F282" s="1" t="s">
        <v>1629</v>
      </c>
      <c r="G282" s="18" t="s">
        <v>74</v>
      </c>
      <c r="H282" s="1" t="str">
        <f aca="false">IF(G282="BUG","BUG-"&amp;A282,IF(G282="FUNCTIONAL","FUNCTIONAL-"&amp;A282,""))</f>
        <v/>
      </c>
      <c r="I282" s="18" t="s">
        <v>42</v>
      </c>
    </row>
    <row r="283" customFormat="false" ht="15" hidden="false" customHeight="true" outlineLevel="0" collapsed="false">
      <c r="A283" s="1" t="s">
        <v>1630</v>
      </c>
      <c r="B283" s="1" t="s">
        <v>201</v>
      </c>
      <c r="C283" s="1" t="s">
        <v>1631</v>
      </c>
      <c r="D283" s="1" t="s">
        <v>1632</v>
      </c>
      <c r="E283" s="1" t="s">
        <v>1633</v>
      </c>
      <c r="F283" s="1" t="s">
        <v>1634</v>
      </c>
      <c r="G283" s="18" t="s">
        <v>74</v>
      </c>
      <c r="H283" s="1" t="str">
        <f aca="false">IF(G283="BUG","BUG-"&amp;A283,IF(G283="FUNCTIONAL","FUNCTIONAL-"&amp;A283,""))</f>
        <v/>
      </c>
      <c r="I283" s="18" t="s">
        <v>56</v>
      </c>
      <c r="L283" s="1" t="s">
        <v>1635</v>
      </c>
    </row>
    <row r="284" customFormat="false" ht="15" hidden="false" customHeight="true" outlineLevel="0" collapsed="false">
      <c r="A284" s="1" t="s">
        <v>1636</v>
      </c>
      <c r="B284" s="1" t="s">
        <v>201</v>
      </c>
      <c r="C284" s="1" t="s">
        <v>1637</v>
      </c>
      <c r="D284" s="1" t="s">
        <v>1638</v>
      </c>
      <c r="E284" s="1" t="s">
        <v>1639</v>
      </c>
      <c r="F284" s="1" t="s">
        <v>1640</v>
      </c>
      <c r="G284" s="18" t="s">
        <v>74</v>
      </c>
      <c r="H284" s="1" t="str">
        <f aca="false">IF(G284="BUG","BUG-"&amp;A284,IF(G284="FUNCTIONAL","FUNCTIONAL-"&amp;A284,""))</f>
        <v/>
      </c>
      <c r="I284" s="18" t="s">
        <v>56</v>
      </c>
      <c r="L284" s="1" t="s">
        <v>1641</v>
      </c>
    </row>
    <row r="285" customFormat="false" ht="15" hidden="false" customHeight="true" outlineLevel="0" collapsed="false">
      <c r="A285" s="1" t="s">
        <v>1642</v>
      </c>
      <c r="B285" s="1" t="s">
        <v>472</v>
      </c>
      <c r="C285" s="1" t="s">
        <v>1643</v>
      </c>
      <c r="D285" s="1" t="s">
        <v>1644</v>
      </c>
      <c r="E285" s="1" t="s">
        <v>1645</v>
      </c>
      <c r="F285" s="1" t="s">
        <v>1646</v>
      </c>
      <c r="G285" s="18" t="s">
        <v>74</v>
      </c>
      <c r="H285" s="1" t="str">
        <f aca="false">IF(G285="BUG","BUG-"&amp;A285,IF(G285="FUNCTIONAL","FUNCTIONAL-"&amp;A285,""))</f>
        <v/>
      </c>
      <c r="I285" s="18" t="s">
        <v>42</v>
      </c>
    </row>
    <row r="286" customFormat="false" ht="15" hidden="false" customHeight="true" outlineLevel="0" collapsed="false">
      <c r="A286" s="1" t="s">
        <v>1647</v>
      </c>
      <c r="B286" s="1" t="s">
        <v>507</v>
      </c>
      <c r="C286" s="1" t="s">
        <v>1648</v>
      </c>
      <c r="D286" s="1" t="s">
        <v>509</v>
      </c>
      <c r="E286" s="1" t="s">
        <v>1649</v>
      </c>
      <c r="F286" s="1" t="s">
        <v>1650</v>
      </c>
      <c r="G286" s="18" t="s">
        <v>74</v>
      </c>
      <c r="H286" s="1" t="str">
        <f aca="false">IF(G286="BUG","BUG-"&amp;A286,IF(G286="FUNCTIONAL","FUNCTIONAL-"&amp;A286,""))</f>
        <v/>
      </c>
      <c r="I286" s="18" t="s">
        <v>56</v>
      </c>
    </row>
    <row r="287" customFormat="false" ht="15" hidden="false" customHeight="true" outlineLevel="0" collapsed="false">
      <c r="A287" s="1" t="s">
        <v>1651</v>
      </c>
      <c r="B287" s="1" t="s">
        <v>472</v>
      </c>
      <c r="C287" s="1" t="s">
        <v>1652</v>
      </c>
      <c r="D287" s="1" t="s">
        <v>1644</v>
      </c>
      <c r="E287" s="1" t="s">
        <v>1653</v>
      </c>
      <c r="F287" s="1" t="s">
        <v>1654</v>
      </c>
      <c r="G287" s="18" t="s">
        <v>74</v>
      </c>
      <c r="H287" s="1" t="str">
        <f aca="false">IF(G287="BUG","BUG-"&amp;A287,IF(G287="FUNCTIONAL","FUNCTIONAL-"&amp;A287,""))</f>
        <v/>
      </c>
      <c r="I287" s="18" t="s">
        <v>42</v>
      </c>
    </row>
    <row r="288" customFormat="false" ht="15" hidden="false" customHeight="true" outlineLevel="0" collapsed="false">
      <c r="A288" s="1" t="s">
        <v>1655</v>
      </c>
      <c r="B288" s="1" t="s">
        <v>1656</v>
      </c>
      <c r="C288" s="1" t="s">
        <v>1657</v>
      </c>
      <c r="D288" s="1" t="s">
        <v>1658</v>
      </c>
      <c r="E288" s="1" t="s">
        <v>1659</v>
      </c>
      <c r="F288" s="1" t="s">
        <v>1660</v>
      </c>
      <c r="G288" s="18" t="s">
        <v>74</v>
      </c>
      <c r="H288" s="1" t="str">
        <f aca="false">IF(G288="BUG","BUG-"&amp;A288,IF(G288="FUNCTIONAL","FUNCTIONAL-"&amp;A288,""))</f>
        <v/>
      </c>
      <c r="I288" s="18" t="s">
        <v>42</v>
      </c>
      <c r="L288" s="1" t="s">
        <v>1661</v>
      </c>
    </row>
    <row r="289" customFormat="false" ht="15" hidden="false" customHeight="true" outlineLevel="0" collapsed="false">
      <c r="A289" s="1" t="s">
        <v>1662</v>
      </c>
      <c r="B289" s="1" t="s">
        <v>201</v>
      </c>
      <c r="C289" s="1" t="s">
        <v>1663</v>
      </c>
      <c r="D289" s="1" t="s">
        <v>1664</v>
      </c>
      <c r="E289" s="1" t="s">
        <v>1665</v>
      </c>
      <c r="F289" s="1" t="s">
        <v>1666</v>
      </c>
      <c r="G289" s="18" t="s">
        <v>74</v>
      </c>
      <c r="H289" s="1" t="str">
        <f aca="false">IF(G289="BUG","BUG-"&amp;A289,IF(G289="FUNCTIONAL","FUNCTIONAL-"&amp;A289,""))</f>
        <v/>
      </c>
      <c r="I289" s="18" t="s">
        <v>56</v>
      </c>
      <c r="L289" s="1" t="s">
        <v>1667</v>
      </c>
    </row>
    <row r="290" customFormat="false" ht="15" hidden="false" customHeight="true" outlineLevel="0" collapsed="false">
      <c r="A290" s="1" t="s">
        <v>1668</v>
      </c>
      <c r="B290" s="1" t="s">
        <v>1656</v>
      </c>
      <c r="C290" s="1" t="s">
        <v>1669</v>
      </c>
      <c r="D290" s="1" t="s">
        <v>1670</v>
      </c>
      <c r="E290" s="1" t="s">
        <v>1671</v>
      </c>
      <c r="F290" s="1" t="s">
        <v>1672</v>
      </c>
      <c r="G290" s="18" t="s">
        <v>74</v>
      </c>
      <c r="H290" s="1" t="str">
        <f aca="false">IF(G290="BUG","BUG-"&amp;A290,IF(G290="FUNCTIONAL","FUNCTIONAL-"&amp;A290,""))</f>
        <v/>
      </c>
      <c r="I290" s="18" t="s">
        <v>56</v>
      </c>
      <c r="L290" s="1" t="s">
        <v>1673</v>
      </c>
    </row>
    <row r="291" customFormat="false" ht="15" hidden="false" customHeight="true" outlineLevel="0" collapsed="false">
      <c r="A291" s="1" t="s">
        <v>1674</v>
      </c>
      <c r="B291" s="1" t="s">
        <v>1218</v>
      </c>
      <c r="C291" s="1" t="s">
        <v>1675</v>
      </c>
      <c r="D291" s="1" t="s">
        <v>1155</v>
      </c>
      <c r="E291" s="1" t="s">
        <v>1676</v>
      </c>
      <c r="F291" s="1" t="s">
        <v>1677</v>
      </c>
      <c r="G291" s="1" t="s">
        <v>74</v>
      </c>
      <c r="H291" s="1" t="str">
        <f aca="false">IF(G291="BUG","BUG-"&amp;A291,IF(G291="FUNCTIONAL","FUNCTIONAL-"&amp;A291,""))</f>
        <v/>
      </c>
      <c r="I291" s="1" t="s">
        <v>56</v>
      </c>
      <c r="L291" s="1" t="s">
        <v>1678</v>
      </c>
    </row>
    <row r="292" customFormat="false" ht="15" hidden="false" customHeight="true" outlineLevel="0" collapsed="false">
      <c r="A292" s="1" t="s">
        <v>1679</v>
      </c>
      <c r="B292" s="1" t="s">
        <v>1680</v>
      </c>
      <c r="C292" s="1" t="s">
        <v>1681</v>
      </c>
      <c r="D292" s="1" t="s">
        <v>1682</v>
      </c>
      <c r="E292" s="1" t="s">
        <v>1683</v>
      </c>
      <c r="F292" s="1" t="s">
        <v>1684</v>
      </c>
      <c r="G292" s="1" t="s">
        <v>74</v>
      </c>
      <c r="H292" s="1" t="str">
        <f aca="false">IF(G292="BUG","BUG-"&amp;A292,IF(G292="FUNCTIONAL","FUNCTIONAL-"&amp;A292,""))</f>
        <v/>
      </c>
      <c r="I292" s="1" t="s">
        <v>56</v>
      </c>
      <c r="L292" s="1" t="s">
        <v>1685</v>
      </c>
    </row>
    <row r="293" customFormat="false" ht="15" hidden="false" customHeight="true" outlineLevel="0" collapsed="false">
      <c r="A293" s="1" t="s">
        <v>1686</v>
      </c>
      <c r="B293" s="1" t="s">
        <v>1680</v>
      </c>
      <c r="C293" s="1" t="s">
        <v>1687</v>
      </c>
      <c r="D293" s="1" t="s">
        <v>1688</v>
      </c>
      <c r="E293" s="1" t="s">
        <v>1689</v>
      </c>
      <c r="F293" s="1" t="s">
        <v>1690</v>
      </c>
      <c r="G293" s="1" t="s">
        <v>74</v>
      </c>
      <c r="H293" s="1" t="str">
        <f aca="false">IF(G293="BUG","BUG-"&amp;A293,IF(G293="FUNCTIONAL","FUNCTIONAL-"&amp;A293,""))</f>
        <v/>
      </c>
      <c r="I293" s="1" t="s">
        <v>65</v>
      </c>
      <c r="L293" s="1" t="s">
        <v>1691</v>
      </c>
    </row>
    <row r="294" customFormat="false" ht="15" hidden="false" customHeight="true" outlineLevel="0" collapsed="false">
      <c r="A294" s="1" t="s">
        <v>1692</v>
      </c>
      <c r="B294" s="1" t="s">
        <v>1680</v>
      </c>
      <c r="C294" s="1" t="s">
        <v>1693</v>
      </c>
      <c r="D294" s="1" t="s">
        <v>1688</v>
      </c>
      <c r="E294" s="1" t="s">
        <v>1694</v>
      </c>
      <c r="F294" s="1" t="s">
        <v>1695</v>
      </c>
      <c r="G294" s="1" t="s">
        <v>74</v>
      </c>
      <c r="H294" s="1" t="str">
        <f aca="false">IF(G294="BUG","BUG-"&amp;A294,IF(G294="FUNCTIONAL","FUNCTIONAL-"&amp;A294,""))</f>
        <v/>
      </c>
      <c r="I294" s="1" t="s">
        <v>56</v>
      </c>
      <c r="L294" s="1" t="s">
        <v>1696</v>
      </c>
    </row>
    <row r="295" customFormat="false" ht="15" hidden="false" customHeight="true" outlineLevel="0" collapsed="false">
      <c r="A295" s="1" t="s">
        <v>1697</v>
      </c>
      <c r="B295" s="1" t="s">
        <v>1680</v>
      </c>
      <c r="C295" s="1" t="s">
        <v>1698</v>
      </c>
      <c r="D295" s="1" t="s">
        <v>1699</v>
      </c>
      <c r="E295" s="1" t="s">
        <v>1700</v>
      </c>
      <c r="F295" s="1" t="s">
        <v>1701</v>
      </c>
      <c r="G295" s="1" t="s">
        <v>74</v>
      </c>
      <c r="H295" s="1" t="str">
        <f aca="false">IF(G295="BUG","BUG-"&amp;A295,IF(G295="FUNCTIONAL","FUNCTIONAL-"&amp;A295,""))</f>
        <v/>
      </c>
      <c r="I295" s="1" t="s">
        <v>56</v>
      </c>
      <c r="L295" s="1" t="s">
        <v>1702</v>
      </c>
    </row>
    <row r="296" customFormat="false" ht="15" hidden="false" customHeight="true" outlineLevel="0" collapsed="false">
      <c r="A296" s="1" t="s">
        <v>1703</v>
      </c>
      <c r="B296" s="1" t="s">
        <v>201</v>
      </c>
      <c r="C296" s="1" t="s">
        <v>1704</v>
      </c>
      <c r="D296" s="1" t="s">
        <v>1664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1710</v>
      </c>
      <c r="E297" s="1" t="s">
        <v>1711</v>
      </c>
      <c r="F297" s="1" t="s">
        <v>1712</v>
      </c>
      <c r="G297" s="1" t="s">
        <v>74</v>
      </c>
      <c r="H297" s="1" t="str">
        <f aca="false">IF(G297="BUG","BUG-"&amp;A297,IF(G297="FUNCTIONAL","FUNCTIONAL-"&amp;A297,""))</f>
        <v/>
      </c>
      <c r="I297" s="1" t="s">
        <v>56</v>
      </c>
      <c r="L297" s="1" t="s">
        <v>1713</v>
      </c>
    </row>
    <row r="298" customFormat="false" ht="15" hidden="false" customHeight="true" outlineLevel="0" collapsed="false">
      <c r="A298" s="1" t="s">
        <v>1714</v>
      </c>
      <c r="B298" s="1" t="s">
        <v>201</v>
      </c>
      <c r="C298" s="1" t="s">
        <v>1715</v>
      </c>
      <c r="D298" s="1" t="s">
        <v>1716</v>
      </c>
      <c r="E298" s="1" t="s">
        <v>1711</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1722</v>
      </c>
      <c r="F299" s="1" t="s">
        <v>1723</v>
      </c>
      <c r="G299" s="1" t="s">
        <v>74</v>
      </c>
      <c r="H299" s="1" t="str">
        <f aca="false">IF(G299="BUG","BUG-"&amp;A299,IF(G299="FUNCTIONAL","FUNCTIONAL-"&amp;A299,""))</f>
        <v/>
      </c>
      <c r="I299" s="1" t="s">
        <v>42</v>
      </c>
      <c r="L299" s="1" t="s">
        <v>1724</v>
      </c>
    </row>
    <row r="300" customFormat="false" ht="15" hidden="false" customHeight="true" outlineLevel="0" collapsed="false">
      <c r="A300" s="1" t="s">
        <v>1725</v>
      </c>
      <c r="B300" s="1" t="s">
        <v>472</v>
      </c>
      <c r="C300" s="1" t="s">
        <v>1726</v>
      </c>
      <c r="D300" s="1" t="s">
        <v>1727</v>
      </c>
      <c r="E300" s="1" t="s">
        <v>1728</v>
      </c>
      <c r="F300" s="1" t="s">
        <v>1729</v>
      </c>
      <c r="G300" s="1" t="s">
        <v>74</v>
      </c>
      <c r="H300" s="1" t="str">
        <f aca="false">IF(G300="BUG","BUG-"&amp;A300,IF(G300="FUNCTIONAL","FUNCTIONAL-"&amp;A300,""))</f>
        <v/>
      </c>
      <c r="I300" s="1" t="s">
        <v>42</v>
      </c>
      <c r="L300" s="1" t="s">
        <v>1730</v>
      </c>
    </row>
    <row r="301" customFormat="false" ht="15" hidden="false" customHeight="true" outlineLevel="0" collapsed="false">
      <c r="A301" s="1" t="s">
        <v>1731</v>
      </c>
      <c r="B301" s="1" t="s">
        <v>1255</v>
      </c>
      <c r="C301" s="1" t="s">
        <v>1732</v>
      </c>
      <c r="D301" s="1" t="s">
        <v>1155</v>
      </c>
      <c r="E301" s="1" t="s">
        <v>1257</v>
      </c>
      <c r="F301" s="1" t="s">
        <v>1733</v>
      </c>
      <c r="G301" s="1" t="s">
        <v>74</v>
      </c>
      <c r="H301" s="1" t="str">
        <f aca="false">IF(G301="BUG","BUG-"&amp;A301,IF(G301="FUNCTIONAL","FUNCTIONAL-"&amp;A301,""))</f>
        <v/>
      </c>
      <c r="I301" s="1" t="s">
        <v>56</v>
      </c>
      <c r="L301" s="1" t="s">
        <v>1734</v>
      </c>
    </row>
    <row r="302" customFormat="false" ht="15" hidden="false" customHeight="true" outlineLevel="0" collapsed="false">
      <c r="A302" s="1" t="s">
        <v>1735</v>
      </c>
      <c r="B302" s="1" t="s">
        <v>517</v>
      </c>
      <c r="C302" s="1" t="s">
        <v>1736</v>
      </c>
      <c r="D302" s="1" t="s">
        <v>1051</v>
      </c>
      <c r="E302" s="1" t="s">
        <v>1737</v>
      </c>
      <c r="F302" s="1" t="s">
        <v>1738</v>
      </c>
      <c r="G302" s="1" t="s">
        <v>74</v>
      </c>
      <c r="H302" s="1" t="str">
        <f aca="false">IF(G302="BUG","BUG-"&amp;A302,IF(G302="FUNCTIONAL","FUNCTIONAL-"&amp;A302,""))</f>
        <v/>
      </c>
      <c r="I302" s="1" t="s">
        <v>42</v>
      </c>
      <c r="L302" s="1" t="s">
        <v>1739</v>
      </c>
    </row>
    <row r="303" customFormat="false" ht="15" hidden="false" customHeight="true" outlineLevel="0" collapsed="false">
      <c r="A303" s="1" t="s">
        <v>1740</v>
      </c>
      <c r="B303" s="1" t="s">
        <v>1741</v>
      </c>
      <c r="C303" s="1" t="s">
        <v>1742</v>
      </c>
      <c r="D303" s="1" t="s">
        <v>1743</v>
      </c>
      <c r="E303" s="1" t="s">
        <v>1744</v>
      </c>
      <c r="F303" s="1" t="s">
        <v>1745</v>
      </c>
      <c r="G303" s="1" t="s">
        <v>74</v>
      </c>
      <c r="H303" s="1" t="str">
        <f aca="false">IF(G303="BUG","BUG-"&amp;A303,IF(G303="FUNCTIONAL","FUNCTIONAL-"&amp;A303,""))</f>
        <v/>
      </c>
      <c r="I303" s="1" t="s">
        <v>56</v>
      </c>
      <c r="L303" s="1" t="s">
        <v>1746</v>
      </c>
    </row>
    <row r="304" customFormat="false" ht="15" hidden="false" customHeight="true" outlineLevel="0" collapsed="false">
      <c r="A304" s="1" t="s">
        <v>1747</v>
      </c>
      <c r="B304" s="1" t="s">
        <v>1741</v>
      </c>
      <c r="C304" s="1" t="s">
        <v>1748</v>
      </c>
      <c r="D304" s="1" t="s">
        <v>1051</v>
      </c>
      <c r="E304" s="1" t="s">
        <v>1749</v>
      </c>
      <c r="F304" s="1" t="s">
        <v>1750</v>
      </c>
      <c r="G304" s="1" t="s">
        <v>74</v>
      </c>
      <c r="H304" s="1" t="str">
        <f aca="false">IF(G304="BUG","BUG-"&amp;A304,IF(G304="FUNCTIONAL","FUNCTIONAL-"&amp;A304,""))</f>
        <v/>
      </c>
      <c r="I304" s="1" t="s">
        <v>56</v>
      </c>
      <c r="L304" s="1" t="s">
        <v>1751</v>
      </c>
    </row>
    <row r="305" customFormat="false" ht="15" hidden="false" customHeight="true" outlineLevel="0" collapsed="false">
      <c r="A305" s="1" t="s">
        <v>1752</v>
      </c>
      <c r="B305" s="1" t="s">
        <v>1741</v>
      </c>
      <c r="C305" s="1" t="s">
        <v>1753</v>
      </c>
      <c r="D305" s="1" t="s">
        <v>1754</v>
      </c>
      <c r="E305" s="1" t="s">
        <v>1755</v>
      </c>
      <c r="F305" s="1" t="s">
        <v>1756</v>
      </c>
      <c r="G305" s="1" t="s">
        <v>74</v>
      </c>
      <c r="H305" s="1" t="str">
        <f aca="false">IF(G305="BUG","BUG-"&amp;A305,IF(G305="FUNCTIONAL","FUNCTIONAL-"&amp;A305,""))</f>
        <v/>
      </c>
      <c r="I305" s="1" t="s">
        <v>65</v>
      </c>
      <c r="L305" s="1" t="s">
        <v>1757</v>
      </c>
    </row>
    <row r="306" customFormat="false" ht="15" hidden="false" customHeight="true" outlineLevel="0" collapsed="false">
      <c r="A306" s="1" t="s">
        <v>1758</v>
      </c>
      <c r="B306" s="1" t="s">
        <v>1741</v>
      </c>
      <c r="C306" s="1" t="s">
        <v>1759</v>
      </c>
      <c r="D306" s="1" t="s">
        <v>61</v>
      </c>
      <c r="E306" s="1" t="s">
        <v>1760</v>
      </c>
      <c r="F306" s="1" t="s">
        <v>1761</v>
      </c>
      <c r="G306" s="1" t="s">
        <v>74</v>
      </c>
      <c r="H306" s="1" t="str">
        <f aca="false">IF(G306="BUG","BUG-"&amp;A306,IF(G306="FUNCTIONAL","FUNCTIONAL-"&amp;A306,""))</f>
        <v/>
      </c>
      <c r="I306" s="1" t="s">
        <v>65</v>
      </c>
      <c r="L306" s="1" t="s">
        <v>1762</v>
      </c>
    </row>
    <row r="307" customFormat="false" ht="15" hidden="false" customHeight="true" outlineLevel="0" collapsed="false">
      <c r="A307" s="1" t="s">
        <v>1763</v>
      </c>
      <c r="B307" s="1" t="s">
        <v>1741</v>
      </c>
      <c r="C307" s="1" t="s">
        <v>1764</v>
      </c>
      <c r="D307" s="1" t="s">
        <v>1765</v>
      </c>
      <c r="E307" s="1" t="s">
        <v>1766</v>
      </c>
      <c r="F307" s="1" t="s">
        <v>1767</v>
      </c>
      <c r="G307" s="1" t="s">
        <v>74</v>
      </c>
      <c r="H307" s="1" t="str">
        <f aca="false">IF(G307="BUG","BUG-"&amp;A307,IF(G307="FUNCTIONAL","FUNCTIONAL-"&amp;A307,""))</f>
        <v/>
      </c>
      <c r="I307" s="1" t="s">
        <v>42</v>
      </c>
      <c r="L307" s="1" t="s">
        <v>1768</v>
      </c>
    </row>
    <row r="308" customFormat="false" ht="15" hidden="false" customHeight="true" outlineLevel="0" collapsed="false">
      <c r="A308" s="1" t="s">
        <v>1769</v>
      </c>
      <c r="B308" s="1" t="s">
        <v>1741</v>
      </c>
      <c r="C308" s="1" t="s">
        <v>1770</v>
      </c>
      <c r="D308" s="1" t="s">
        <v>61</v>
      </c>
      <c r="E308" s="1" t="s">
        <v>1771</v>
      </c>
      <c r="F308" s="1" t="s">
        <v>1772</v>
      </c>
      <c r="G308" s="1" t="s">
        <v>74</v>
      </c>
      <c r="H308" s="1" t="str">
        <f aca="false">IF(G308="BUG","BUG-"&amp;A308,IF(G308="FUNCTIONAL","FUNCTIONAL-"&amp;A308,""))</f>
        <v/>
      </c>
      <c r="I308" s="1" t="s">
        <v>56</v>
      </c>
      <c r="L308" s="1" t="s">
        <v>1773</v>
      </c>
    </row>
    <row r="309" customFormat="false" ht="15" hidden="false" customHeight="true" outlineLevel="0" collapsed="false">
      <c r="A309" s="1" t="s">
        <v>1774</v>
      </c>
      <c r="B309" s="1" t="s">
        <v>430</v>
      </c>
      <c r="C309" s="1" t="s">
        <v>1775</v>
      </c>
      <c r="D309" s="1" t="s">
        <v>264</v>
      </c>
      <c r="E309" s="1" t="s">
        <v>1776</v>
      </c>
      <c r="F309" s="1" t="s">
        <v>1777</v>
      </c>
      <c r="G309" s="1" t="s">
        <v>74</v>
      </c>
      <c r="H309" s="1" t="str">
        <f aca="false">IF(G309="BUG","BUG-"&amp;A309,IF(G309="FUNCTIONAL","FUNCTIONAL-"&amp;A309,""))</f>
        <v/>
      </c>
      <c r="I309" s="1" t="s">
        <v>56</v>
      </c>
      <c r="L309" s="1" t="s">
        <v>1778</v>
      </c>
    </row>
    <row r="310" customFormat="false" ht="15" hidden="false" customHeight="true" outlineLevel="0" collapsed="false">
      <c r="A310" s="1" t="s">
        <v>1779</v>
      </c>
      <c r="B310" s="1" t="s">
        <v>1780</v>
      </c>
      <c r="C310" s="1" t="s">
        <v>1781</v>
      </c>
      <c r="D310" s="1" t="s">
        <v>1782</v>
      </c>
      <c r="E310" s="1" t="s">
        <v>1783</v>
      </c>
      <c r="F310" s="1" t="s">
        <v>1784</v>
      </c>
      <c r="G310" s="1" t="s">
        <v>74</v>
      </c>
      <c r="H310" s="1" t="str">
        <f aca="false">IF(G310="BUG","BUG-"&amp;A310,IF(G310="FUNCTIONAL","FUNCTIONAL-"&amp;A310,""))</f>
        <v/>
      </c>
      <c r="I310" s="1" t="s">
        <v>56</v>
      </c>
      <c r="L310" s="1" t="s">
        <v>1785</v>
      </c>
    </row>
    <row r="311" customFormat="false" ht="15" hidden="false" customHeight="true" outlineLevel="0" collapsed="false">
      <c r="A311" s="1" t="s">
        <v>1786</v>
      </c>
      <c r="B311" s="1" t="s">
        <v>114</v>
      </c>
      <c r="C311" s="1" t="s">
        <v>1787</v>
      </c>
      <c r="D311" s="1" t="s">
        <v>1788</v>
      </c>
      <c r="E311" s="1" t="s">
        <v>1789</v>
      </c>
      <c r="F311" s="1" t="s">
        <v>1790</v>
      </c>
      <c r="G311" s="1" t="s">
        <v>74</v>
      </c>
      <c r="H311" s="1" t="str">
        <f aca="false">IF(G311="BUG","BUG-"&amp;A311,IF(G311="FUNCTIONAL","FUNCTIONAL-"&amp;A311,""))</f>
        <v/>
      </c>
      <c r="I311" s="1" t="s">
        <v>56</v>
      </c>
      <c r="L311" s="1" t="s">
        <v>1791</v>
      </c>
    </row>
    <row r="312" customFormat="false" ht="15" hidden="false" customHeight="true" outlineLevel="0" collapsed="false">
      <c r="A312" s="1" t="s">
        <v>1792</v>
      </c>
      <c r="B312" s="1" t="s">
        <v>1793</v>
      </c>
      <c r="C312" s="1" t="s">
        <v>1794</v>
      </c>
      <c r="D312" s="1" t="s">
        <v>264</v>
      </c>
      <c r="E312" s="1" t="s">
        <v>1795</v>
      </c>
      <c r="F312" s="1" t="s">
        <v>1796</v>
      </c>
      <c r="G312" s="1" t="s">
        <v>74</v>
      </c>
      <c r="H312" s="1" t="str">
        <f aca="false">IF(G312="BUG","BUG-"&amp;A312,IF(G312="FUNCTIONAL","FUNCTIONAL-"&amp;A312,""))</f>
        <v/>
      </c>
      <c r="I312" s="1" t="s">
        <v>56</v>
      </c>
      <c r="L312" s="1" t="s">
        <v>1797</v>
      </c>
    </row>
    <row r="313" customFormat="false" ht="15" hidden="false" customHeight="true" outlineLevel="0" collapsed="false">
      <c r="A313" s="1" t="s">
        <v>1798</v>
      </c>
      <c r="B313" s="1" t="s">
        <v>1793</v>
      </c>
      <c r="C313" s="1" t="s">
        <v>1799</v>
      </c>
      <c r="D313" s="1" t="s">
        <v>264</v>
      </c>
      <c r="E313" s="1" t="s">
        <v>1800</v>
      </c>
      <c r="F313" s="1" t="s">
        <v>1801</v>
      </c>
      <c r="G313" s="1" t="s">
        <v>74</v>
      </c>
      <c r="H313" s="1" t="str">
        <f aca="false">IF(G313="BUG","BUG-"&amp;A313,IF(G313="FUNCTIONAL","FUNCTIONAL-"&amp;A313,""))</f>
        <v/>
      </c>
      <c r="I313" s="1" t="s">
        <v>56</v>
      </c>
      <c r="L313" s="1" t="s">
        <v>1802</v>
      </c>
    </row>
    <row r="314" customFormat="false" ht="15" hidden="false" customHeight="true" outlineLevel="0" collapsed="false">
      <c r="A314" s="1" t="s">
        <v>1803</v>
      </c>
      <c r="B314" s="1" t="s">
        <v>1218</v>
      </c>
      <c r="C314" s="1" t="s">
        <v>1804</v>
      </c>
      <c r="D314" s="1" t="s">
        <v>1805</v>
      </c>
      <c r="E314" s="1" t="s">
        <v>1806</v>
      </c>
      <c r="F314" s="1" t="s">
        <v>1807</v>
      </c>
      <c r="G314" s="1" t="s">
        <v>74</v>
      </c>
      <c r="H314" s="1" t="str">
        <f aca="false">IF(G314="BUG","BUG-"&amp;A314,IF(G314="FUNCTIONAL","FUNCTIONAL-"&amp;A314,""))</f>
        <v/>
      </c>
    </row>
    <row r="315" customFormat="false" ht="15" hidden="false" customHeight="true" outlineLevel="0" collapsed="false">
      <c r="A315" s="1" t="s">
        <v>1808</v>
      </c>
      <c r="B315" s="1" t="s">
        <v>1809</v>
      </c>
      <c r="C315" s="1" t="s">
        <v>1810</v>
      </c>
      <c r="D315" s="1" t="s">
        <v>1811</v>
      </c>
      <c r="E315" s="1" t="s">
        <v>1812</v>
      </c>
      <c r="F315" s="1" t="s">
        <v>1813</v>
      </c>
      <c r="G315" s="1" t="s">
        <v>74</v>
      </c>
      <c r="H315" s="1" t="str">
        <f aca="false">IF(G315="BUG","BUG-"&amp;A315,IF(G315="FUNCTIONAL","FUNCTIONAL-"&amp;A315,""))</f>
        <v/>
      </c>
    </row>
    <row r="316" customFormat="false" ht="15" hidden="false" customHeight="true" outlineLevel="0" collapsed="false">
      <c r="A316" s="1" t="s">
        <v>1814</v>
      </c>
      <c r="B316" s="1" t="s">
        <v>1815</v>
      </c>
      <c r="C316" s="1" t="s">
        <v>1816</v>
      </c>
      <c r="D316" s="1" t="s">
        <v>1817</v>
      </c>
      <c r="E316" s="1" t="s">
        <v>1818</v>
      </c>
      <c r="F316" s="1" t="s">
        <v>1819</v>
      </c>
      <c r="G316" s="1" t="s">
        <v>74</v>
      </c>
      <c r="H316" s="1" t="str">
        <f aca="false">IF(G316="BUG","BUG-"&amp;A316,IF(G316="FUNCTIONAL","FUNCTIONAL-"&amp;A316,""))</f>
        <v/>
      </c>
    </row>
    <row r="317" customFormat="false" ht="15" hidden="false" customHeight="true" outlineLevel="0" collapsed="false">
      <c r="A317" s="1" t="s">
        <v>1820</v>
      </c>
      <c r="B317" s="1" t="s">
        <v>1821</v>
      </c>
      <c r="C317" s="1" t="s">
        <v>1822</v>
      </c>
      <c r="D317" s="1" t="s">
        <v>1823</v>
      </c>
      <c r="E317" s="1" t="s">
        <v>1824</v>
      </c>
      <c r="F317" s="1" t="s">
        <v>1825</v>
      </c>
      <c r="G317" s="1" t="s">
        <v>74</v>
      </c>
      <c r="H317" s="1" t="str">
        <f aca="false">IF(G317="BUG","BUG-"&amp;A317,IF(G317="FUNCTIONAL","FUNCTIONAL-"&amp;A317,""))</f>
        <v/>
      </c>
    </row>
    <row r="318" customFormat="false" ht="15" hidden="false" customHeight="true" outlineLevel="0" collapsed="false">
      <c r="A318" s="1" t="s">
        <v>1826</v>
      </c>
      <c r="B318" s="1" t="s">
        <v>1827</v>
      </c>
      <c r="C318" s="1" t="s">
        <v>1828</v>
      </c>
      <c r="D318" s="1" t="s">
        <v>1829</v>
      </c>
      <c r="E318" s="1" t="s">
        <v>1830</v>
      </c>
      <c r="F318" s="1" t="s">
        <v>1831</v>
      </c>
      <c r="G318" s="1" t="s">
        <v>74</v>
      </c>
      <c r="H318" s="1" t="str">
        <f aca="false">IF(G318="BUG","BUG-"&amp;A318,IF(G318="FUNCTIONAL","FUNCTIONAL-"&amp;A318,""))</f>
        <v/>
      </c>
    </row>
    <row r="319" customFormat="false" ht="15" hidden="false" customHeight="true" outlineLevel="0" collapsed="false">
      <c r="A319" s="1" t="s">
        <v>1832</v>
      </c>
      <c r="B319" s="1" t="s">
        <v>1833</v>
      </c>
      <c r="C319" s="1" t="s">
        <v>1834</v>
      </c>
      <c r="D319" s="1" t="s">
        <v>264</v>
      </c>
      <c r="E319" s="1" t="s">
        <v>1835</v>
      </c>
      <c r="F319" s="1" t="s">
        <v>1836</v>
      </c>
      <c r="G319" s="1" t="s">
        <v>74</v>
      </c>
      <c r="H319" s="1" t="str">
        <f aca="false">IF(G319="BUG","BUG-"&amp;A319,IF(G319="FUNCTIONAL","FUNCTIONAL-"&amp;A319,""))</f>
        <v/>
      </c>
    </row>
    <row r="320" customFormat="false" ht="15" hidden="false" customHeight="true" outlineLevel="0" collapsed="false">
      <c r="A320" s="1" t="s">
        <v>1837</v>
      </c>
      <c r="B320" s="1" t="s">
        <v>1838</v>
      </c>
      <c r="C320" s="1" t="s">
        <v>1839</v>
      </c>
      <c r="D320" s="1" t="s">
        <v>264</v>
      </c>
      <c r="E320" s="1" t="s">
        <v>1840</v>
      </c>
      <c r="F320" s="1" t="s">
        <v>1841</v>
      </c>
      <c r="G320" s="1" t="s">
        <v>74</v>
      </c>
      <c r="H320" s="1" t="str">
        <f aca="false">IF(G320="BUG","BUG-"&amp;A320,IF(G320="FUNCTIONAL","FUNCTIONAL-"&amp;A320,""))</f>
        <v/>
      </c>
    </row>
    <row r="321" customFormat="false" ht="15" hidden="false" customHeight="true" outlineLevel="0" collapsed="false">
      <c r="A321" s="1" t="s">
        <v>1842</v>
      </c>
      <c r="B321" s="1" t="s">
        <v>1843</v>
      </c>
      <c r="C321" s="1" t="s">
        <v>1844</v>
      </c>
      <c r="D321" s="1" t="s">
        <v>264</v>
      </c>
      <c r="E321" s="1" t="s">
        <v>1845</v>
      </c>
      <c r="F321" s="1" t="s">
        <v>1846</v>
      </c>
      <c r="G321" s="1" t="s">
        <v>74</v>
      </c>
      <c r="H321" s="1" t="str">
        <f aca="false">IF(G321="BUG","BUG-"&amp;A321,IF(G321="FUNCTIONAL","FUNCTIONAL-"&amp;A321,""))</f>
        <v/>
      </c>
    </row>
    <row r="322" customFormat="false" ht="15" hidden="false" customHeight="true" outlineLevel="0" collapsed="false">
      <c r="A322" s="1" t="s">
        <v>1847</v>
      </c>
      <c r="B322" s="1" t="s">
        <v>1848</v>
      </c>
      <c r="C322" s="1" t="s">
        <v>1849</v>
      </c>
      <c r="D322" s="1" t="s">
        <v>1850</v>
      </c>
      <c r="E322" s="1" t="s">
        <v>1851</v>
      </c>
      <c r="F322" s="1" t="s">
        <v>1852</v>
      </c>
      <c r="G322" s="1" t="s">
        <v>74</v>
      </c>
      <c r="H322" s="1" t="str">
        <f aca="false">IF(G322="BUG","BUG-"&amp;A322,IF(G322="FUNCTIONAL","FUNCTIONAL-"&amp;A322,""))</f>
        <v/>
      </c>
    </row>
    <row r="323" customFormat="false" ht="15" hidden="false" customHeight="true" outlineLevel="0" collapsed="false">
      <c r="A323" s="1" t="s">
        <v>1853</v>
      </c>
      <c r="B323" s="1" t="s">
        <v>1848</v>
      </c>
      <c r="C323" s="1" t="s">
        <v>1854</v>
      </c>
      <c r="D323" s="1" t="s">
        <v>1855</v>
      </c>
      <c r="E323" s="1" t="s">
        <v>1856</v>
      </c>
      <c r="F323" s="1" t="s">
        <v>1857</v>
      </c>
      <c r="G323" s="1" t="s">
        <v>74</v>
      </c>
      <c r="H323" s="1" t="str">
        <f aca="false">IF(G323="BUG","BUG-"&amp;A323,IF(G323="FUNCTIONAL","FUNCTIONAL-"&amp;A323,""))</f>
        <v/>
      </c>
    </row>
    <row r="324" customFormat="false" ht="15" hidden="false" customHeight="true" outlineLevel="0" collapsed="false">
      <c r="A324" s="1" t="s">
        <v>1858</v>
      </c>
      <c r="B324" s="1" t="s">
        <v>1848</v>
      </c>
      <c r="C324" s="1" t="s">
        <v>1859</v>
      </c>
      <c r="D324" s="1" t="s">
        <v>264</v>
      </c>
      <c r="E324" s="1" t="s">
        <v>1860</v>
      </c>
      <c r="F324" s="1" t="s">
        <v>1861</v>
      </c>
      <c r="G324" s="1" t="s">
        <v>74</v>
      </c>
      <c r="H324" s="1" t="str">
        <f aca="false">IF(G324="BUG","BUG-"&amp;A324,IF(G324="FUNCTIONAL","FUNCTIONAL-"&amp;A324,""))</f>
        <v/>
      </c>
    </row>
    <row r="325" customFormat="false" ht="15" hidden="false" customHeight="true" outlineLevel="0" collapsed="false">
      <c r="A325" s="1" t="s">
        <v>1862</v>
      </c>
      <c r="B325" s="1" t="s">
        <v>1863</v>
      </c>
      <c r="C325" s="1" t="s">
        <v>1864</v>
      </c>
      <c r="D325" s="1" t="s">
        <v>264</v>
      </c>
      <c r="E325" s="1" t="s">
        <v>1865</v>
      </c>
      <c r="F325" s="1" t="s">
        <v>1866</v>
      </c>
      <c r="G325" s="1" t="s">
        <v>74</v>
      </c>
      <c r="H325" s="1" t="str">
        <f aca="false">IF(G325="BUG","BUG-"&amp;A325,IF(G325="FUNCTIONAL","FUNCTIONAL-"&amp;A325,""))</f>
        <v/>
      </c>
    </row>
    <row r="326" customFormat="false" ht="15" hidden="false" customHeight="true" outlineLevel="0" collapsed="false">
      <c r="A326" s="1" t="s">
        <v>1867</v>
      </c>
      <c r="B326" s="1" t="s">
        <v>1868</v>
      </c>
      <c r="C326" s="1" t="s">
        <v>1869</v>
      </c>
      <c r="D326" s="1" t="s">
        <v>1870</v>
      </c>
      <c r="E326" s="1" t="s">
        <v>1871</v>
      </c>
      <c r="F326" s="1" t="s">
        <v>1872</v>
      </c>
      <c r="G326" s="1" t="s">
        <v>74</v>
      </c>
      <c r="H326" s="1" t="str">
        <f aca="false">IF(G326="BUG","BUG-"&amp;A326,IF(G326="FUNCTIONAL","FUNCTIONAL-"&amp;A326,""))</f>
        <v/>
      </c>
    </row>
    <row r="327" customFormat="false" ht="15" hidden="false" customHeight="true" outlineLevel="0" collapsed="false">
      <c r="A327" s="1" t="s">
        <v>1873</v>
      </c>
      <c r="B327" s="1" t="s">
        <v>1868</v>
      </c>
      <c r="C327" s="1" t="s">
        <v>1874</v>
      </c>
      <c r="D327" s="1" t="s">
        <v>1875</v>
      </c>
      <c r="E327" s="1" t="s">
        <v>1876</v>
      </c>
      <c r="F327" s="1" t="s">
        <v>1877</v>
      </c>
      <c r="G327" s="1" t="s">
        <v>74</v>
      </c>
      <c r="H327" s="1" t="str">
        <f aca="false">IF(G327="BUG","BUG-"&amp;A327,IF(G327="FUNCTIONAL","FUNCTIONAL-"&amp;A327,""))</f>
        <v/>
      </c>
    </row>
    <row r="328" customFormat="false" ht="15" hidden="false" customHeight="true" outlineLevel="0" collapsed="false">
      <c r="A328" s="1" t="s">
        <v>1878</v>
      </c>
      <c r="B328" s="1" t="s">
        <v>1868</v>
      </c>
      <c r="C328" s="1" t="s">
        <v>1879</v>
      </c>
      <c r="D328" s="1" t="s">
        <v>1880</v>
      </c>
      <c r="E328" s="1" t="s">
        <v>1881</v>
      </c>
      <c r="F328" s="1" t="s">
        <v>1882</v>
      </c>
      <c r="G328" s="1" t="s">
        <v>74</v>
      </c>
      <c r="H328" s="1" t="str">
        <f aca="false">IF(G328="BUG","BUG-"&amp;A328,IF(G328="FUNCTIONAL","FUNCTIONAL-"&amp;A328,""))</f>
        <v/>
      </c>
    </row>
    <row r="329" customFormat="false" ht="15" hidden="false" customHeight="true" outlineLevel="0" collapsed="false">
      <c r="A329" s="1" t="s">
        <v>1883</v>
      </c>
      <c r="B329" s="1" t="s">
        <v>1884</v>
      </c>
      <c r="C329" s="1" t="s">
        <v>1885</v>
      </c>
      <c r="D329" s="1" t="s">
        <v>1886</v>
      </c>
      <c r="E329" s="1" t="s">
        <v>1887</v>
      </c>
      <c r="F329" s="1" t="s">
        <v>1888</v>
      </c>
      <c r="G329" s="1" t="s">
        <v>74</v>
      </c>
      <c r="H329" s="1" t="str">
        <f aca="false">IF(G329="BUG","BUG-"&amp;A329,IF(G329="FUNCTIONAL","FUNCTIONAL-"&amp;A329,""))</f>
        <v/>
      </c>
    </row>
    <row r="330" customFormat="false" ht="15" hidden="false" customHeight="true" outlineLevel="0" collapsed="false">
      <c r="A330" s="1" t="s">
        <v>1889</v>
      </c>
      <c r="B330" s="1" t="s">
        <v>1884</v>
      </c>
      <c r="C330" s="1" t="s">
        <v>1890</v>
      </c>
      <c r="D330" s="1" t="s">
        <v>1891</v>
      </c>
      <c r="E330" s="1" t="s">
        <v>1892</v>
      </c>
      <c r="F330" s="1" t="s">
        <v>1893</v>
      </c>
      <c r="G330" s="1" t="s">
        <v>74</v>
      </c>
      <c r="H330" s="1" t="str">
        <f aca="false">IF(G330="BUG","BUG-"&amp;A330,IF(G330="FUNCTIONAL","FUNCTIONAL-"&amp;A330,""))</f>
        <v/>
      </c>
    </row>
    <row r="331" customFormat="false" ht="15" hidden="false" customHeight="true" outlineLevel="0" collapsed="false">
      <c r="A331" s="1" t="s">
        <v>1894</v>
      </c>
      <c r="B331" s="1" t="s">
        <v>1895</v>
      </c>
      <c r="C331" s="1" t="s">
        <v>1896</v>
      </c>
      <c r="D331" s="1" t="s">
        <v>264</v>
      </c>
      <c r="E331" s="1" t="s">
        <v>1897</v>
      </c>
      <c r="F331" s="1" t="s">
        <v>1898</v>
      </c>
      <c r="G331" s="1" t="s">
        <v>74</v>
      </c>
      <c r="H331" s="1" t="str">
        <f aca="false">IF(G331="BUG","BUG-"&amp;A331,IF(G331="FUNCTIONAL","FUNCTIONAL-"&amp;A331,""))</f>
        <v/>
      </c>
    </row>
    <row r="332" customFormat="false" ht="15" hidden="false" customHeight="true" outlineLevel="0" collapsed="false">
      <c r="A332" s="1" t="s">
        <v>1899</v>
      </c>
      <c r="B332" s="1" t="s">
        <v>1895</v>
      </c>
      <c r="C332" s="1" t="s">
        <v>1900</v>
      </c>
      <c r="D332" s="1" t="s">
        <v>264</v>
      </c>
      <c r="E332" s="1" t="s">
        <v>1901</v>
      </c>
      <c r="F332" s="1" t="s">
        <v>1902</v>
      </c>
      <c r="G332" s="1" t="s">
        <v>74</v>
      </c>
      <c r="H332" s="1" t="str">
        <f aca="false">IF(G332="BUG","BUG-"&amp;A332,IF(G332="FUNCTIONAL","FUNCTIONAL-"&amp;A332,""))</f>
        <v/>
      </c>
    </row>
    <row r="333" customFormat="false" ht="15" hidden="false" customHeight="true" outlineLevel="0" collapsed="false">
      <c r="A333" s="1" t="s">
        <v>1903</v>
      </c>
      <c r="B333" s="1" t="s">
        <v>1895</v>
      </c>
      <c r="C333" s="1" t="s">
        <v>1904</v>
      </c>
      <c r="D333" s="1" t="s">
        <v>264</v>
      </c>
      <c r="E333" s="1" t="s">
        <v>1905</v>
      </c>
      <c r="F333" s="1" t="s">
        <v>1906</v>
      </c>
      <c r="G333" s="1" t="s">
        <v>74</v>
      </c>
      <c r="H333" s="1" t="str">
        <f aca="false">IF(G333="BUG","BUG-"&amp;A333,IF(G333="FUNCTIONAL","FUNCTIONAL-"&amp;A333,""))</f>
        <v/>
      </c>
    </row>
    <row r="334" customFormat="false" ht="15" hidden="false" customHeight="true" outlineLevel="0" collapsed="false">
      <c r="A334" s="1" t="s">
        <v>1907</v>
      </c>
      <c r="B334" s="1" t="s">
        <v>1895</v>
      </c>
      <c r="C334" s="1" t="s">
        <v>1908</v>
      </c>
      <c r="D334" s="1" t="s">
        <v>264</v>
      </c>
      <c r="E334" s="1" t="s">
        <v>1909</v>
      </c>
      <c r="F334" s="1" t="s">
        <v>1910</v>
      </c>
      <c r="G334" s="1" t="s">
        <v>74</v>
      </c>
      <c r="H334" s="1" t="str">
        <f aca="false">IF(G334="BUG","BUG-"&amp;A334,IF(G334="FUNCTIONAL","FUNCTIONAL-"&amp;A334,""))</f>
        <v/>
      </c>
    </row>
    <row r="335" customFormat="false" ht="15" hidden="false" customHeight="true" outlineLevel="0" collapsed="false">
      <c r="A335" s="1" t="s">
        <v>1911</v>
      </c>
      <c r="B335" s="1" t="s">
        <v>1912</v>
      </c>
      <c r="C335" s="1" t="s">
        <v>1913</v>
      </c>
      <c r="D335" s="1" t="s">
        <v>1914</v>
      </c>
      <c r="E335" s="1" t="s">
        <v>1915</v>
      </c>
      <c r="F335" s="1" t="s">
        <v>1916</v>
      </c>
      <c r="G335" s="1" t="s">
        <v>74</v>
      </c>
      <c r="H335" s="1" t="str">
        <f aca="false">IF(G335="BUG","BUG-"&amp;A335,IF(G335="FUNCTIONAL","FUNCTIONAL-"&amp;A335,""))</f>
        <v/>
      </c>
    </row>
    <row r="336" customFormat="false" ht="15" hidden="false" customHeight="true" outlineLevel="0" collapsed="false">
      <c r="A336" s="1" t="s">
        <v>1917</v>
      </c>
      <c r="B336" s="1" t="s">
        <v>1918</v>
      </c>
      <c r="C336" s="1" t="s">
        <v>1919</v>
      </c>
      <c r="D336" s="1" t="s">
        <v>264</v>
      </c>
      <c r="E336" s="1" t="s">
        <v>1920</v>
      </c>
      <c r="F336" s="1" t="s">
        <v>1921</v>
      </c>
      <c r="G336" s="1" t="s">
        <v>74</v>
      </c>
      <c r="H336" s="1" t="str">
        <f aca="false">IF(G336="BUG","BUG-"&amp;A336,IF(G336="FUNCTIONAL","FUNCTIONAL-"&amp;A336,""))</f>
        <v/>
      </c>
    </row>
    <row r="337" customFormat="false" ht="15" hidden="false" customHeight="true" outlineLevel="0" collapsed="false">
      <c r="A337" s="1" t="s">
        <v>1922</v>
      </c>
      <c r="B337" s="1" t="s">
        <v>1923</v>
      </c>
      <c r="C337" s="1" t="s">
        <v>1924</v>
      </c>
      <c r="D337" s="1" t="s">
        <v>264</v>
      </c>
      <c r="E337" s="1" t="s">
        <v>1925</v>
      </c>
      <c r="F337" s="1" t="s">
        <v>1926</v>
      </c>
      <c r="G337" s="1" t="s">
        <v>74</v>
      </c>
      <c r="H337" s="1" t="str">
        <f aca="false">IF(G337="BUG","BUG-"&amp;A337,IF(G337="FUNCTIONAL","FUNCTIONAL-"&amp;A337,""))</f>
        <v/>
      </c>
    </row>
    <row r="338" customFormat="false" ht="15" hidden="false" customHeight="true" outlineLevel="0" collapsed="false">
      <c r="A338" s="1" t="s">
        <v>1927</v>
      </c>
      <c r="B338" s="1" t="s">
        <v>1923</v>
      </c>
      <c r="C338" s="1" t="s">
        <v>1928</v>
      </c>
      <c r="D338" s="1" t="s">
        <v>264</v>
      </c>
      <c r="E338" s="1" t="s">
        <v>1929</v>
      </c>
      <c r="F338" s="1" t="s">
        <v>1930</v>
      </c>
      <c r="G338" s="1" t="s">
        <v>74</v>
      </c>
      <c r="H338" s="1" t="str">
        <f aca="false">IF(G338="BUG","BUG-"&amp;A338,IF(G338="FUNCTIONAL","FUNCTIONAL-"&amp;A338,""))</f>
        <v/>
      </c>
    </row>
    <row r="339" customFormat="false" ht="15" hidden="false" customHeight="true" outlineLevel="0" collapsed="false">
      <c r="A339" s="1" t="s">
        <v>1931</v>
      </c>
      <c r="B339" s="1" t="s">
        <v>1932</v>
      </c>
      <c r="C339" s="1" t="s">
        <v>1933</v>
      </c>
      <c r="D339" s="1" t="s">
        <v>264</v>
      </c>
      <c r="E339" s="1" t="s">
        <v>1934</v>
      </c>
      <c r="F339" s="1" t="s">
        <v>1935</v>
      </c>
      <c r="G339" s="1" t="s">
        <v>74</v>
      </c>
      <c r="H339" s="1" t="str">
        <f aca="false">IF(G339="BUG","BUG-"&amp;A339,IF(G339="FUNCTIONAL","FUNCTIONAL-"&amp;A339,""))</f>
        <v/>
      </c>
    </row>
    <row r="340" customFormat="false" ht="15" hidden="false" customHeight="true" outlineLevel="0" collapsed="false">
      <c r="A340" s="10" t="s">
        <v>1936</v>
      </c>
      <c r="B340" s="10" t="s">
        <v>1937</v>
      </c>
      <c r="C340" s="10" t="s">
        <v>1938</v>
      </c>
      <c r="D340" s="10" t="s">
        <v>61</v>
      </c>
      <c r="E340" s="10" t="s">
        <v>1939</v>
      </c>
      <c r="F340" s="10" t="s">
        <v>1940</v>
      </c>
      <c r="G340" s="10" t="s">
        <v>74</v>
      </c>
      <c r="H340" s="10" t="str">
        <f aca="false">IF(G340="BUG","BUG-"&amp;A340,IF(G340="FUNCTIONAL","FUNCTIONAL-"&amp;A340,""))</f>
        <v/>
      </c>
    </row>
    <row r="341" customFormat="false" ht="15" hidden="false" customHeight="true" outlineLevel="0" collapsed="false">
      <c r="A341" s="10" t="s">
        <v>1941</v>
      </c>
      <c r="B341" s="10" t="s">
        <v>1937</v>
      </c>
      <c r="C341" s="10" t="s">
        <v>1942</v>
      </c>
      <c r="D341" s="10" t="s">
        <v>61</v>
      </c>
      <c r="E341" s="10" t="s">
        <v>1943</v>
      </c>
      <c r="F341" s="10" t="s">
        <v>1944</v>
      </c>
      <c r="G341" s="10" t="s">
        <v>74</v>
      </c>
      <c r="H341" s="10" t="str">
        <f aca="false">IF(G341="BUG","BUG-"&amp;A341,IF(G341="FUNCTIONAL","FUNCTIONAL-"&amp;A341,""))</f>
        <v/>
      </c>
    </row>
    <row r="342" customFormat="false" ht="15" hidden="false" customHeight="true" outlineLevel="0" collapsed="false">
      <c r="A342" s="10" t="s">
        <v>1945</v>
      </c>
      <c r="B342" s="10" t="s">
        <v>1946</v>
      </c>
      <c r="C342" s="10" t="s">
        <v>1947</v>
      </c>
      <c r="D342" s="10" t="s">
        <v>264</v>
      </c>
      <c r="E342" s="10" t="s">
        <v>1948</v>
      </c>
      <c r="F342" s="10" t="s">
        <v>1949</v>
      </c>
      <c r="G342" s="10" t="s">
        <v>74</v>
      </c>
      <c r="H342" s="10" t="str">
        <f aca="false">IF(G342="BUG","BUG-"&amp;A342,IF(G342="FUNCTIONAL","FUNCTIONAL-"&amp;A342,""))</f>
        <v/>
      </c>
    </row>
    <row r="343" customFormat="false" ht="15" hidden="false" customHeight="true" outlineLevel="0" collapsed="false">
      <c r="A343" s="10" t="s">
        <v>1950</v>
      </c>
      <c r="B343" s="10" t="s">
        <v>1951</v>
      </c>
      <c r="C343" s="10" t="s">
        <v>1952</v>
      </c>
      <c r="D343" s="10" t="s">
        <v>1953</v>
      </c>
      <c r="E343" s="10" t="s">
        <v>1954</v>
      </c>
      <c r="F343" s="10" t="s">
        <v>1955</v>
      </c>
      <c r="G343" s="10" t="s">
        <v>74</v>
      </c>
      <c r="H343" s="10" t="str">
        <f aca="false">IF(G343="BUG","BUG-"&amp;A343,IF(G343="FUNCTIONAL","FUNCTIONAL-"&amp;A343,""))</f>
        <v/>
      </c>
    </row>
    <row r="344" customFormat="false" ht="15" hidden="false" customHeight="true" outlineLevel="0" collapsed="false">
      <c r="A344" s="10" t="s">
        <v>1956</v>
      </c>
      <c r="B344" s="10" t="s">
        <v>1951</v>
      </c>
      <c r="C344" s="10" t="s">
        <v>1957</v>
      </c>
      <c r="D344" s="10" t="s">
        <v>1953</v>
      </c>
      <c r="E344" s="10" t="s">
        <v>1958</v>
      </c>
      <c r="F344" s="10" t="s">
        <v>1959</v>
      </c>
      <c r="G344" s="10" t="s">
        <v>74</v>
      </c>
      <c r="H344" s="10" t="str">
        <f aca="false">IF(G344="BUG","BUG-"&amp;A344,IF(G344="FUNCTIONAL","FUNCTIONAL-"&amp;A344,""))</f>
        <v/>
      </c>
    </row>
    <row r="345" customFormat="false" ht="15" hidden="false" customHeight="true" outlineLevel="0" collapsed="false">
      <c r="A345" s="10" t="s">
        <v>1960</v>
      </c>
      <c r="B345" s="10" t="s">
        <v>1951</v>
      </c>
      <c r="C345" s="10" t="s">
        <v>1961</v>
      </c>
      <c r="D345" s="10" t="s">
        <v>1962</v>
      </c>
      <c r="E345" s="10" t="s">
        <v>1963</v>
      </c>
      <c r="F345" s="10" t="s">
        <v>1964</v>
      </c>
      <c r="G345" s="10" t="s">
        <v>74</v>
      </c>
      <c r="H345" s="10" t="str">
        <f aca="false">IF(G345="BUG","BUG-"&amp;A345,IF(G345="FUNCTIONAL","FUNCTIONAL-"&amp;A345,""))</f>
        <v/>
      </c>
    </row>
    <row r="346" customFormat="false" ht="15" hidden="false" customHeight="true" outlineLevel="0" collapsed="false">
      <c r="A346" s="10" t="s">
        <v>1965</v>
      </c>
      <c r="B346" s="10" t="s">
        <v>1951</v>
      </c>
      <c r="C346" s="10" t="s">
        <v>1966</v>
      </c>
      <c r="D346" s="10" t="s">
        <v>1967</v>
      </c>
      <c r="E346" s="10" t="s">
        <v>1968</v>
      </c>
      <c r="F346" s="10" t="s">
        <v>1969</v>
      </c>
      <c r="G346" s="10" t="s">
        <v>74</v>
      </c>
      <c r="H346" s="10" t="str">
        <f aca="false">IF(G346="BUG","BUG-"&amp;A346,IF(G346="FUNCTIONAL","FUNCTIONAL-"&amp;A346,""))</f>
        <v/>
      </c>
      <c r="L346" s="11" t="s">
        <v>1970</v>
      </c>
    </row>
    <row r="347" customFormat="false" ht="15" hidden="false" customHeight="true" outlineLevel="0" collapsed="false">
      <c r="A347" s="10" t="s">
        <v>1971</v>
      </c>
      <c r="B347" s="10" t="s">
        <v>1951</v>
      </c>
      <c r="C347" s="10" t="s">
        <v>1972</v>
      </c>
      <c r="D347" s="10" t="s">
        <v>1953</v>
      </c>
      <c r="E347" s="10" t="s">
        <v>1973</v>
      </c>
      <c r="F347" s="10" t="s">
        <v>1974</v>
      </c>
      <c r="G347" s="10" t="s">
        <v>74</v>
      </c>
      <c r="H347" s="10" t="str">
        <f aca="false">IF(G347="BUG","BUG-"&amp;A347,IF(G347="FUNCTIONAL","FUNCTIONAL-"&amp;A347,""))</f>
        <v/>
      </c>
    </row>
    <row r="348" customFormat="false" ht="15" hidden="false" customHeight="true" outlineLevel="0" collapsed="false">
      <c r="A348" s="10" t="s">
        <v>1975</v>
      </c>
      <c r="B348" s="10" t="s">
        <v>1976</v>
      </c>
      <c r="C348" s="10" t="s">
        <v>1977</v>
      </c>
      <c r="D348" s="10" t="s">
        <v>1978</v>
      </c>
      <c r="E348" s="10" t="s">
        <v>1979</v>
      </c>
      <c r="F348" s="10" t="s">
        <v>1980</v>
      </c>
      <c r="G348" s="10" t="s">
        <v>74</v>
      </c>
      <c r="H348" s="10" t="str">
        <f aca="false">IF(G348="BUG","BUG-"&amp;A348,IF(G348="FUNCTIONAL","FUNCTIONAL-"&amp;A348,""))</f>
        <v/>
      </c>
      <c r="L348" s="11" t="s">
        <v>1981</v>
      </c>
    </row>
    <row r="349" customFormat="false" ht="15" hidden="false" customHeight="true" outlineLevel="0" collapsed="false">
      <c r="A349" s="10" t="s">
        <v>1982</v>
      </c>
      <c r="B349" s="10" t="s">
        <v>1983</v>
      </c>
      <c r="C349" s="10" t="s">
        <v>1984</v>
      </c>
      <c r="D349" s="10" t="s">
        <v>1985</v>
      </c>
      <c r="E349" s="10" t="s">
        <v>1986</v>
      </c>
      <c r="F349" s="10" t="s">
        <v>1987</v>
      </c>
      <c r="G349" s="10" t="s">
        <v>74</v>
      </c>
      <c r="H349" s="10" t="str">
        <f aca="false">IF(G349="BUG","BUG-"&amp;A349,IF(G349="FUNCTIONAL","FUNCTIONAL-"&amp;A349,""))</f>
        <v/>
      </c>
      <c r="L349" s="11" t="s">
        <v>1988</v>
      </c>
    </row>
    <row r="350" customFormat="false" ht="15" hidden="false" customHeight="true" outlineLevel="0" collapsed="false">
      <c r="A350" s="10" t="s">
        <v>1989</v>
      </c>
      <c r="B350" s="10" t="s">
        <v>1990</v>
      </c>
      <c r="C350" s="10" t="s">
        <v>1991</v>
      </c>
      <c r="D350" s="10" t="s">
        <v>1992</v>
      </c>
      <c r="E350" s="10" t="s">
        <v>1993</v>
      </c>
      <c r="F350" s="10" t="s">
        <v>1994</v>
      </c>
      <c r="G350" s="10" t="s">
        <v>74</v>
      </c>
      <c r="H350" s="10" t="str">
        <f aca="false">IF(G350="BUG","BUG-"&amp;A350,IF(G350="FUNCTIONAL","FUNCTIONAL-"&amp;A350,""))</f>
        <v/>
      </c>
      <c r="L350" s="11" t="s">
        <v>1995</v>
      </c>
    </row>
    <row r="351" customFormat="false" ht="15" hidden="false" customHeight="false" outlineLevel="0" collapsed="false">
      <c r="A351" s="10" t="s">
        <v>1996</v>
      </c>
      <c r="B351" s="10" t="s">
        <v>1997</v>
      </c>
      <c r="C351" s="10" t="s">
        <v>1998</v>
      </c>
      <c r="D351" s="10" t="s">
        <v>61</v>
      </c>
      <c r="E351" s="10" t="s">
        <v>1999</v>
      </c>
      <c r="F351" s="10" t="s">
        <v>2000</v>
      </c>
      <c r="G351" s="10" t="s">
        <v>74</v>
      </c>
      <c r="H351" s="10" t="str">
        <f aca="false">IF(G351="BUG","BUG-"&amp;A351,IF(G351="FUNCTIONAL","FUNCTIONAL-"&amp;A351,""))</f>
        <v/>
      </c>
    </row>
    <row r="352" customFormat="false" ht="15" hidden="false" customHeight="false" outlineLevel="0" collapsed="false">
      <c r="A352" s="10" t="s">
        <v>2001</v>
      </c>
      <c r="B352" s="10" t="s">
        <v>1997</v>
      </c>
      <c r="C352" s="10" t="s">
        <v>2002</v>
      </c>
      <c r="D352" s="10" t="s">
        <v>61</v>
      </c>
      <c r="E352" s="10" t="s">
        <v>2003</v>
      </c>
      <c r="F352" s="10" t="s">
        <v>2004</v>
      </c>
      <c r="G352" s="10" t="s">
        <v>74</v>
      </c>
      <c r="H352" s="10" t="str">
        <f aca="false">IF(G352="BUG","BUG-"&amp;A352,IF(G352="FUNCTIONAL","FUNCTIONAL-"&amp;A352,""))</f>
        <v/>
      </c>
    </row>
    <row r="353" customFormat="false" ht="15" hidden="false" customHeight="false" outlineLevel="0" collapsed="false">
      <c r="A353" s="10" t="s">
        <v>2005</v>
      </c>
      <c r="B353" s="10" t="s">
        <v>1997</v>
      </c>
      <c r="C353" s="10" t="s">
        <v>2006</v>
      </c>
      <c r="D353" s="10" t="s">
        <v>2007</v>
      </c>
      <c r="E353" s="10" t="s">
        <v>2008</v>
      </c>
      <c r="F353" s="10" t="s">
        <v>2009</v>
      </c>
      <c r="G353" s="10" t="s">
        <v>74</v>
      </c>
      <c r="H353" s="10" t="str">
        <f aca="false">IF(G353="BUG","BUG-"&amp;A353,IF(G353="FUNCTIONAL","FUNCTIONAL-"&amp;A353,""))</f>
        <v/>
      </c>
    </row>
    <row r="354" customFormat="false" ht="15" hidden="false" customHeight="false" outlineLevel="0" collapsed="false">
      <c r="A354" s="10" t="s">
        <v>2010</v>
      </c>
      <c r="B354" s="10" t="s">
        <v>1997</v>
      </c>
      <c r="C354" s="10" t="s">
        <v>2011</v>
      </c>
      <c r="D354" s="10" t="s">
        <v>61</v>
      </c>
      <c r="E354" s="10" t="s">
        <v>2012</v>
      </c>
      <c r="F354" s="10" t="s">
        <v>2013</v>
      </c>
      <c r="G354" s="10" t="s">
        <v>74</v>
      </c>
      <c r="H354" s="10" t="str">
        <f aca="false">IF(G354="BUG","BUG-"&amp;A354,IF(G354="FUNCTIONAL","FUNCTIONAL-"&amp;A354,""))</f>
        <v/>
      </c>
    </row>
    <row r="355" customFormat="false" ht="15" hidden="false" customHeight="false" outlineLevel="0" collapsed="false">
      <c r="A355" s="10" t="s">
        <v>2014</v>
      </c>
      <c r="B355" s="10" t="s">
        <v>2015</v>
      </c>
      <c r="C355" s="10" t="s">
        <v>2016</v>
      </c>
      <c r="D355" s="10" t="s">
        <v>2017</v>
      </c>
      <c r="E355" s="10" t="s">
        <v>2018</v>
      </c>
      <c r="F355" s="10" t="s">
        <v>2019</v>
      </c>
      <c r="G355" s="10" t="s">
        <v>74</v>
      </c>
      <c r="H355" s="10" t="str">
        <f aca="false">IF(G355="BUG","BUG-"&amp;A355,IF(G355="FUNCTIONAL","FUNCTIONAL-"&amp;A355,""))</f>
        <v/>
      </c>
      <c r="L355" s="11" t="s">
        <v>2020</v>
      </c>
    </row>
    <row r="356" customFormat="false" ht="15" hidden="false" customHeight="false" outlineLevel="0" collapsed="false">
      <c r="A356" s="10" t="s">
        <v>2021</v>
      </c>
      <c r="B356" s="10" t="s">
        <v>2022</v>
      </c>
      <c r="C356" s="10" t="s">
        <v>2023</v>
      </c>
      <c r="D356" s="10" t="s">
        <v>2024</v>
      </c>
      <c r="E356" s="10" t="s">
        <v>2025</v>
      </c>
      <c r="F356" s="10" t="s">
        <v>2026</v>
      </c>
      <c r="G356" s="10" t="s">
        <v>74</v>
      </c>
      <c r="H356" s="10" t="str">
        <f aca="false">IF(G356="BUG","BUG-"&amp;A356,IF(G356="FUNCTIONAL","FUNCTIONAL-"&amp;A356,""))</f>
        <v/>
      </c>
      <c r="L356" s="11" t="s">
        <v>2027</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0" type="list">
      <formula1>"OK,BUG,FUNCTIONAL,ENHANCEMENT,DA TESTARE"</formula1>
      <formula2>0</formula2>
    </dataValidation>
    <dataValidation allowBlank="true" errorStyle="stop" operator="between" showDropDown="false" showErrorMessage="false" showInputMessage="false" sqref="I2:I290"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2028</v>
      </c>
    </row>
    <row r="2" customFormat="false" ht="15" hidden="false" customHeight="true" outlineLevel="0" collapsed="false">
      <c r="A2" s="4" t="s">
        <v>32</v>
      </c>
      <c r="B2" s="4" t="s">
        <v>2029</v>
      </c>
      <c r="D2" s="4" t="s">
        <v>27</v>
      </c>
      <c r="E2" s="4" t="s">
        <v>2030</v>
      </c>
    </row>
    <row r="3" customFormat="false" ht="15" hidden="false" customHeight="true" outlineLevel="0" collapsed="false">
      <c r="A3" s="6" t="s">
        <v>41</v>
      </c>
      <c r="B3" s="20" t="n">
        <f aca="false">COUNTIF('Test Case'!G:G,"OK")</f>
        <v>6</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12</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260</v>
      </c>
      <c r="D6" s="6" t="s">
        <v>201</v>
      </c>
      <c r="E6" s="20" t="n">
        <f aca="false">COUNTIF('Test Case'!B:B,"Genitori - Attivita")</f>
        <v>16</v>
      </c>
    </row>
    <row r="7" customFormat="false" ht="15" hidden="false" customHeight="true" outlineLevel="0" collapsed="false">
      <c r="A7" s="8" t="s">
        <v>2031</v>
      </c>
      <c r="B7" s="21" t="n">
        <f aca="false">COUNTA('Test Case'!A2:A10000)</f>
        <v>355</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23</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9</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2</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7</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4</v>
      </c>
    </row>
    <row r="38" customFormat="false" ht="15" hidden="false" customHeight="true" outlineLevel="0" collapsed="false">
      <c r="D38" s="1" t="s">
        <v>1333</v>
      </c>
      <c r="E38" s="1" t="n">
        <f aca="false">COUNTIF('Test Case'!B:B,"NEXTGEN - Community")</f>
        <v>9</v>
      </c>
    </row>
    <row r="39" customFormat="false" ht="15" hidden="false" customHeight="true" outlineLevel="0" collapsed="false">
      <c r="D39" s="1" t="s">
        <v>1680</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2026-07-15T12:30:36Z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