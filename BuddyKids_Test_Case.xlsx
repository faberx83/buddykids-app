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<sst xmlns="http://schemas.openxmlformats.org/spreadsheetml/2006/main" count="4252" uniqueCount="2773">
  <si>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</si>
  <si>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</si>
  <si>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</si>
  <si>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</si>
  <si>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</si>
  <si>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</si>
  <si>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</si>
  <si>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</si>
  <si>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</si>
  <si>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</si>
  <si>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</si>
  <si>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</si>
  <si>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</si>
  <si>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</si>
  <si>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</si>
  <si>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</si>
  <si>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</si>
  <si>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</si>
  <si>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</si>
  <si>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</si>
  <si>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</si>
  <si>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</si>
  <si>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</si>
  <si>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</si>
  <si>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</si>
  <si>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</si>
  <si>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</si>
  <si>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</si>
  <si>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</si>
  <si>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</si>
  <si>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</si>
  <si>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</si>
  <si>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</si>
  <si>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</si>
  <si>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</si>
  <si>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</si>
  <si>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</si>
  <si>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</si>
  <si>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</si>
  <si>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</si>
  <si>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</si>
  <si>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</si>
  <si>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</si>
  <si>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</si>
  <si>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</si>
  <si>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</si>
  <si>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</si>
  <si>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</si>
  <si>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</si>
  <si>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</si>
  <si>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</si>
  <si>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</si>
  <si>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</si>
  <si>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</si>
  <si>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</si>
  <si>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</si>
  <si>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</si>
  <si>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</si>
  <si>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</si>
  <si>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</si>
  <si>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</si>
  <si>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</si>
  <si>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</si>
  <si>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</si>
  <si>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</si>
  <si>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</si>
  <si>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</si>
  <si>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</si>
  <si>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</si>
  <si>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</si>
  <si>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</si>
  <si>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</si>
  <si>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</si>
  <si>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</si>
  <si>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</si>
  <si>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</si>
  <si>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</si>
  <si>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</si>
  <si>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</si>
  <si>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</si>
  <si>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</si>
  <si>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</si>
  <si>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</si>
  <si>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</si>
  <si>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</si>
  <si>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</si>
  <si>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</si>
  <si>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</si>
  <si>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</si>
  <si>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</si>
  <si>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</si>
  <si>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</si>
  <si>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</si>
  <si>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</si>
  <si>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</si>
  <si>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</si>
  <si>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</si>
  <si>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</si>
  <si>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</si>
  <si>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</si>
  <si>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</si>
  <si>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</si>
  <si>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</si>
  <si>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</si>
  <si>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</si>
  <si>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</si>
  <si>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</si>
  <si>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</si>
  <si>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</si>
  <si>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</si>
  <si>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</si>
  <si>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</si>
  <si>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</si>
  <si>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</si>
  <si>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</si>
  <si>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</si>
  <si>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</si>
  <si>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</si>
  <si>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</si>
  <si>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</si>
  <si>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</si>
  <si>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</si>
  <si>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</si>
  <si>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</si>
  <si>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</si>
  <si>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</si>
  <si>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</si>
  <si>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</si>
  <si>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</si>
  <si>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</si>
  <si>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</si>
  <si>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</si>
  <si>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</si>
  <si>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</si>
  <si>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</si>
  <si>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</si>
  <si>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</si>
  <si>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</si>
  <si>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</si>
  <si>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</si>
  <si>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</si>
  <si>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</si>
  <si>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</si>
  <si>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</si>
  <si>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</si>
  <si>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</si>
  <si>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</si>
  <si>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</si>
  <si>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</si>
  <si>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</si>
  <si>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</si>
  <si>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</si>
  <si>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</si>
  <si>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</si>
  <si>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</si>
  <si>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</si>
  <si>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</si>
  <si>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</si>
  <si>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</si>
  <si>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</si>
  <si>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</si>
  <si>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</si>
  <si>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</si>
  <si>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</si>
  <si>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</si>
  <si>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</si>
  <si>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</si>
  <si>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</si>
  <si>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</si>
  <si>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</si>
  <si>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</si>
  <si>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</si>
  <si>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</si>
  <si>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</si>
  <si>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</si>
  <si>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</si>
  <si>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</si>
  <si>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</si>
  <si>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</si>
  <si>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</si>
  <si>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</si>
  <si>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</si>
  <si>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</si>
  <si>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</si>
  <si>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</si>
  <si>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</si>
  <si>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</si>
  <si>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</si>
  <si>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</si>
  <si>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</si>
  <si>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</si>
  <si>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</si>
  <si>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</si>
  <si>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</si>
  <si>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</si>
  <si>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</si>
  <si>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</si>
  <si>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</si>
  <si>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</si>
  <si>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</si>
  <si>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</si>
  <si>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</si>
  <si>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</si>
  <si>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</si>
  <si>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</si>
  <si>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</si>
  <si>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</si>
  <si>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</si>
  <si>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</si>
  <si>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</si>
  <si>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</si>
  <si>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</si>
  <si>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</si>
  <si>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</si>
  <si>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</si>
  <si>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</si>
  <si>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</si>
  <si>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</si>
  <si>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</si>
  <si>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</si>
  <si>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</si>
  <si>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</si>
  <si>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</si>
  <si>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</si>
  <si>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</si>
  <si>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</si>
  <si>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</si>
  <si>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</si>
  <si>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</si>
  <si>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</si>
  <si>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</si>
  <si>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</si>
  <si>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</si>
  <si>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</si>
  <si>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</si>
  <si>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</si>
  <si>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</si>
  <si>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</si>
  <si>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</si>
  <si>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</si>
  <si>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</si>
  <si>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</si>
  <si>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</si>
  <si>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</si>
  <si>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</si>
  <si>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</si>
  <si>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</si>
  <si>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</si>
  <si>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</si>
  <si>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</si>
  <si>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</si>
  <si>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</si>
  <si>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</si>
  <si>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</si>
  <si>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</si>
  <si>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</si>
  <si>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</si>
  <si>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</si>
  <si>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</si>
  <si>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</si>
  <si>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</si>
  <si>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</si>
  <si>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</si>
  <si>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</si>
  <si>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</si>
  <si>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</si>
  <si>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</si>
  <si>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</si>
  <si>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</si>
  <si>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</si>
  <si>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</si>
  <si>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</si>
  <si>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</si>
  <si>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</si>
  <si>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</si>
  <si>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</si>
  <si>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</si>
  <si>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</si>
  <si>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</si>
  <si>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</si>
  <si>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</si>
  <si>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</si>
  <si>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</si>
  <si>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</si>
  <si>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</si>
  <si>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</si>
  <si>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</si>
  <si>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</si>
  <si>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</si>
  <si>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</si>
  <si>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</si>
  <si>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</si>
  <si>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</si>
  <si>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</si>
  <si>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</si>
  <si>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</si>
  <si>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</si>
  <si>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</si>
  <si>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</si>
  <si>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</si>
  <si>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</si>
  <si>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</si>
  <si>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</si>
  <si>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</si>
  <si>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</si>
  <si>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</si>
  <si>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</si>
  <si>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</si>
  <si>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</si>
  <si>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</si>
  <si>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</si>
  <si>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</si>
  <si>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</si>
  <si>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</si>
  <si>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</si>
  <si>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</si>
  <si>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</si>
  <si>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</si>
  <si>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</si>
  <si>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</si>
  <si>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</si>
  <si>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</si>
  <si>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</si>
  <si>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</si>
  <si>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</si>
  <si>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</si>
  <si>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</si>
  <si>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</si>
  <si>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</si>
  <si>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</si>
  <si>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</si>
  <si>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</si>
  <si>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</si>
  <si>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</si>
  <si>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</si>
  <si>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</si>
  <si>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</si>
  <si>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</si>
  <si>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</si>
  <si>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</si>
  <si>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</si>
  <si>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</si>
  <si>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</si>
  <si>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</si>
  <si>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</si>
  <si>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</si>
  <si>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</si>
  <si>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</si>
  <si>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</si>
  <si>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</si>
  <si>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</si>
  <si>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</si>
  <si>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</si>
  <si>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</si>
  <si>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</si>
  <si>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</si>
  <si>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</si>
  <si>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</si>
  <si>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</si>
  <si>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</si>
  <si>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</si>
  <si>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</si>
  <si>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</si>
  <si>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</si>
  <si>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</si>
  <si>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</si>
  <si>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</si>
  <si>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</si>
  <si>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</si>
  <si>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</si>
  <si>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</si>
  <si>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</si>
  <si>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</si>
  <si>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</si>
  <si>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</si>
  <si>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</si>
  <si>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</si>
  <si>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</si>
  <si>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</si>
  <si>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</si>
  <si>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</si>
  <si>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</si>
  <si>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</si>
  <si>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</si>
  <si>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</si>
  <si>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</si>
  <si>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</si>
  <si>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</si>
  <si>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</si>
  <si>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</si>
  <si>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</si>
  <si>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</si>
  <si>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</si>
  <si>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</si>
  <si>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</si>
  <si>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</si>
  <si>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</si>
  <si>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</si>
  <si>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</si>
  <si>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</si>
  <si>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</si>
  <si>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</si>
  <si>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</si>
  <si>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</si>
  <si>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</si>
  <si>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</si>
  <si>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</si>
  <si>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</si>
  <si>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</si>
  <si>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</si>
  <si>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</si>
  <si>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</si>
  <si>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</si>
  <si>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</si>
  <si>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</si>
  <si>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</si>
  <si>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</si>
  <si>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</si>
  <si>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</si>
  <si>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</si>
  <si>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</si>
  <si>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</si>
  <si>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</si>
  <si>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</si>
  <si>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</si>
  <si>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</si>
  <si>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</si>
  <si>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</si>
  <si>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</si>
  <si>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</si>
  <si>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</si>
  <si>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</si>
  <si>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</si>
  <si>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</si>
  <si>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</si>
  <si>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</si>
  <si>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</si>
  <si>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</si>
  <si>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</si>
  <si>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</si>
  <si>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</si>
  <si>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</si>
  <si>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</si>
  <si>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</si>
  <si>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</si>
  <si>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</si>
  <si>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</si>
  <si>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</si>
  <si>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</si>
  <si>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</si>
  <si>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</si>
  <si>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</si>
  <si>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</si>
  <si>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</si>
  <si>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</si>
  <si>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</si>
  <si>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</si>
  <si>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</si>
  <si>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</si>
  <si>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</si>
  <si>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</si>
  <si>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</si>
  <si>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</si>
  <si>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</si>
  <si>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</si>
  <si>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</si>
  <si>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</si>
  <si>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</si>
  <si>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</si>
  <si>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</si>
  <si>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</si>
  <si>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</si>
  <si>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</si>
  <si>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</si>
  <si>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</si>
  <si>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</si>
  <si>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</si>
  <si>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</si>
  <si>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</si>
  <si>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</si>
  <si>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</si>
  <si>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</si>
  <si>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</si>
  <si>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</si>
  <si>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</si>
  <si>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</si>
  <si>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</si>
  <si>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</si>
  <si>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</si>
  <si>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</si>
  <si>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</si>
  <si>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</si>
  <si>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</si>
  <si>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</si>
  <si>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</si>
  <si>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</si>
  <si>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</si>
  <si>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</si>
  <si>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</si>
  <si>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</si>
  <si>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</si>
  <si>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</si>
  <si>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</si>
  <si>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</si>
  <si>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</si>
  <si>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</si>
  <si>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</si>
  <si>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</si>
  <si>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</si>
  <si>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</si>
  <si>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</si>
  <si>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</si>
  <si>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</si>
  <si>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</si>
  <si>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</si>
  <si>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</si>
  <si>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</si>
  <si>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</si>
  <si>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</si>
  <si>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</si>
  <si>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</si>
  <si>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</si>
  <si>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</si>
  <si>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</si>
  <si>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</si>
  <si>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</si>
  <si>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</si>
  <si>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</si>
  <si>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</si>
  <si>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</si>
  <si>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</si>
  <si>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</si>
  <si>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</si>
  <si>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</si>
  <si>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</si>
  <si>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</si>
  <si>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</si>
  <si>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</si>
  <si>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</si>
  <si>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</si>
  <si>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</si>
  <si>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</si>
  <si>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</si>
  <si>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</si>
  <si>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</si>
  <si>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</si>
  <si>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</si>
  <si>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</si>
  <si>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</si>
  <si>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</si>
  <si>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</si>
  <si>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</si>
  <si>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</si>
  <si>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</si>
  <si>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</si>
  <si>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</si>
  <si>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</si>
  <si>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</si>
  <si>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</si>
  <si>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</si>
  <si>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</si>
  <si>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</si>
  <si>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</si>
  <si>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</si>
  <si>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</si>
  <si>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</si>
  <si>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</si>
  <si>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</si>
  <si>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</si>
  <si>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</si>
  <si>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</si>
  <si>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</si>
  <si>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</si>
  <si>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</si>
  <si>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</si>
  <si>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</si>
  <si>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</si>
  <si>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</si>
  <si>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</si>
  <si>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</si>
  <si>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</si>
  <si>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</si>
  <si>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</si>
  <si>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</si>
  <si>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</si>
  <si>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</si>
  <si>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</si>
  <si>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</si>
  <si>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</si>
  <si>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</si>
  <si>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</si>
  <si>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</si>
  <si>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</si>
  <si>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</si>
  <si>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</si>
  <si>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</si>
  <si>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</si>
  <si>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</si>
  <si>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</si>
  <si>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</si>
  <si>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</si>
  <si>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</si>
  <si>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</si>
  <si>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</si>
  <si>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</si>
  <si>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</si>
  <si>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</si>
  <si>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</si>
  <si>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</si>
  <si>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</si>
  <si>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</si>
  <si>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</si>
  <si>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</si>
  <si>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</si>
  <si>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</si>
  <si>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</si>
  <si>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</si>
  <si>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</si>
  <si>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</si>
  <si>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</si>
  <si>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</si>
  <si>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</si>
  <si>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</si>
  <si>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</si>
  <si>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</si>
  <si>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</si>
  <si>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</si>
  <si>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</si>
  <si>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</si>
  <si>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</si>
  <si>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</si>
  <si>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</si>
  <si>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</si>
  <si>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</si>
  <si>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</si>
  <si>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</si>
  <si>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</si>
  <si>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</si>
  <si>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</si>
  <si>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</si>
  <si>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</si>
  <si>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</si>
  <si>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</si>
  <si>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</si>
  <si>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</si>
  <si>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</si>
  <si>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</si>
  <si>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</si>
  <si>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</si>
  <si>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</si>
  <si>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</si>
  <si>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</si>
  <si>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</si>
  <si>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</si>
  <si>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</si>
  <si>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</si>
  <si>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</si>
  <si>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</si>
  <si>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</si>
  <si>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</si>
  <si>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</si>
  <si>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</si>
  <si>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</si>
  <si>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</si>
  <si>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</si>
  <si>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</si>
  <si>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</si>
  <si>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</si>
  <si>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</si>
  <si>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</si>
  <si>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</si>
  <si>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</si>
  <si>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</si>
  <si>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</si>
  <si>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</si>
  <si>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</si>
  <si>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</si>
  <si>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</si>
  <si>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</si>
  <si>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</si>
  <si>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</si>
  <si>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</si>
  <si>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</si>
  <si>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</si>
  <si>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</si>
  <si>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</si>
  <si>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</si>
  <si>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</si>
  <si>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</si>
  <si>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</si>
  <si>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</si>
  <si>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</si>
  <si>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</si>
  <si>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</si>
  <si>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</si>
  <si>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</si>
  <si>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</si>
  <si>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</si>
  <si>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</si>
  <si>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</si>
  <si>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</si>
  <si>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</si>
  <si>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</si>
  <si>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</si>
  <si>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</si>
  <si>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</si>
  <si>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</si>
  <si>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</si>
  <si>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</si>
  <si>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</si>
  <si>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</si>
  <si>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</si>
  <si>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</si>
  <si>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</si>
  <si>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</si>
  <si>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</si>
  <si>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</si>
  <si>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</si>
  <si>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</si>
  <si>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</si>
  <si>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</si>
  <si>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</si>
  <si>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</si>
  <si>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</si>
  <si>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</si>
  <si>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</si>
  <si>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</si>
  <si>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</si>
  <si>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</si>
  <si>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</si>
  <si>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</si>
  <si>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</si>
  <si>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</si>
  <si>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</si>
  <si>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</si>
  <si>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</si>
  <si>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</si>
  <si>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</si>
  <si>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</si>
  <si>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</si>
  <si>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</si>
  <si>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</si>
  <si>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</si>
  <si>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</si>
  <si>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</si>
  <si>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</si>
  <si>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</si>
  <si>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</si>
  <si>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</si>
  <si>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</si>
  <si>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</si>
  <si>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</si>
  <si>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</si>
  <si>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</si>
  <si>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</si>
  <si>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</si>
  <si>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</si>
  <si>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</si>
  <si>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</si>
  <si>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</si>
  <si>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</si>
  <si>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</si>
  <si>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</si>
  <si>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</si>
  <si>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</si>
  <si>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</si>
  <si>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</si>
  <si>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</si>
  <si>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</si>
  <si>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</si>
  <si>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</si>
  <si>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</si>
  <si>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</si>
  <si>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</si>
  <si>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</si>
  <si>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</si>
  <si>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</si>
  <si>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</si>
  <si>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</si>
  <si>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</si>
  <si>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</si>
  <si>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</si>
  <si>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</si>
  <si>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</si>
  <si>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</si>
  <si>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</si>
  <si>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</si>
  <si>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</si>
  <si>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</si>
  <si>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</si>
  <si>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</si>
  <si>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</si>
  <si>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</si>
  <si>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</si>
  <si>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</si>
  <si>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</si>
  <si>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</si>
  <si>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</si>
  <si>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</si>
  <si>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</si>
  <si>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</si>
  <si>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</si>
  <si>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</si>
  <si>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</si>
  <si>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</si>
  <si>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</si>
  <si>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</si>
  <si>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</si>
  <si>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</si>
  <si>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</si>
  <si>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</si>
  <si>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</si>
  <si>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</si>
  <si>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</si>
  <si>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</si>
  <si>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</si>
  <si>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</si>
  <si>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</si>
  <si>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</si>
  <si>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</si>
  <si>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</si>
  <si>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</si>
  <si>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</si>
  <si>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</si>
  <si>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</si>
  <si>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</si>
  <si>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</si>
  <si>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</si>
  <si>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</si>
  <si>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</si>
  <si>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</si>
  <si>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</si>
  <si>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</si>
  <si>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</si>
  <si>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</si>
  <si>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</si>
  <si>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</si>
  <si>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</si>
  <si>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</si>
  <si>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</si>
  <si>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</si>
  <si>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</si>
  <si>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</si>
  <si>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</si>
  <si>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</si>
  <si>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</si>
  <si>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</si>
  <si>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</si>
  <si>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</si>
  <si>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</si>
  <si>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</si>
  <si>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</si>
  <si>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</si>
  <si>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</si>
  <si>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</si>
  <si>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</si>
  <si>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</si>
  <si>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</si>
  <si>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</si>
  <si>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</si>
  <si>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</si>
  <si>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</si>
  <si>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</si>
  <si>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</si>
  <si>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</si>
  <si>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</si>
  <si>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</si>
  <si>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</si>
  <si>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</si>
  <si>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</si>
  <si>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</si>
  <si>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</si>
  <si>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</si>
  <si>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</si>
  <si>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</si>
  <si>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</si>
  <si>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</si>
  <si>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</si>
  <si>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</si>
  <si>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</si>
  <si>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</si>
  <si>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</si>
  <si>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</si>
  <si>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</si>
  <si>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</si>
  <si>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</si>
  <si>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</si>
  <si>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</si>
  <si>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</si>
  <si>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</si>
  <si>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</si>
  <si>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</si>
  <si>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</si>
  <si>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</si>
  <si>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</si>
  <si>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</si>
  <si>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</si>
  <si>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</si>
  <si>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</si>
  <si>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</si>
  <si>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</si>
  <si>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</si>
  <si>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</si>
  <si>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</si>
  <si>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</si>
  <si>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</si>
  <si>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</si>
  <si>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</si>
  <si>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</si>
  <si>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</si>
  <si>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</si>
  <si>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</si>
  <si>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</si>
  <si>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</si>
  <si>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</si>
  <si>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</si>
  <si>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</si>
  <si>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</si>
  <si>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</si>
  <si>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</si>
  <si>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</si>
  <si>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</si>
  <si>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</si>
  <si>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</si>
  <si>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</si>
  <si>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</si>
  <si>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</si>
  <si>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</si>
  <si>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</si>
  <si>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</si>
  <si>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</si>
  <si>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</si>
  <si>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</si>
  <si>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</si>
  <si>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</si>
  <si>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</si>
  <si>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</si>
  <si>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</si>
  <si>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</si>
  <si>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</si>
  <si>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</si>
  <si>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</si>
  <si>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</si>
  <si>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</si>
  <si>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</si>
  <si>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</si>
  <si>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</si>
  <si>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</si>
  <si>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</si>
  <si>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</si>
  <si>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</si>
  <si>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</si>
  <si>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</si>
  <si>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</si>
  <si>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</si>
  <si>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</si>
  <si>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</si>
  <si>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</si>
  <si>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</si>
  <si>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</si>
  <si>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</si>
  <si>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</si>
  <si>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</si>
  <si>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</si>
  <si>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</si>
  <si>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</si>
  <si>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</si>
  <si>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</si>
  <si>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</si>
  <si>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</si>
  <si>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</si>
  <si>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</si>
  <si>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</si>
  <si>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</si>
  <si>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</si>
  <si>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</si>
  <si>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</si>
  <si>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</si>
  <si>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</si>
  <si>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</si>
  <si>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</si>
  <si>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</si>
  <si>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</si>
  <si>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</si>
  <si>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</si>
  <si>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</si>
  <si>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</si>
  <si>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</si>
  <si>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</si>
  <si>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</si>
  <si>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</si>
  <si>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</si>
  <si>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</si>
  <si>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</si>
  <si>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</si>
  <si>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</si>
  <si>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</si>
  <si>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</si>
  <si>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</si>
  <si>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</si>
  <si>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</si>
  <si>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</si>
  <si>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</si>
  <si>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</si>
  <si>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</si>
  <si>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</si>
  <si>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</si>
  <si>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</si>
  <si>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</si>
  <si>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</si>
  <si>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</si>
  <si>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</si>
  <si>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</si>
  <si>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</si>
  <si>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</si>
  <si>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</si>
  <si>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</si>
  <si>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</si>
  <si>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</si>
  <si>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</si>
  <si>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</si>
  <si>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</si>
  <si>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</si>
  <si>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</si>
  <si>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</si>
  <si>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</si>
  <si>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</si>
  <si>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</si>
  <si>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</si>
  <si>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</si>
  <si>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</si>
  <si>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</si>
  <si>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</si>
  <si>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</si>
  <si>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</si>
  <si>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</si>
  <si>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</si>
  <si>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</si>
  <si>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</si>
  <si>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</si>
  <si>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</si>
  <si>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</si>
  <si>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</si>
  <si>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</si>
  <si>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</si>
  <si>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</si>
  <si>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</si>
  <si>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</si>
  <si>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</si>
  <si>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</si>
  <si>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</si>
  <si>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</si>
  <si>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</si>
  <si>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</si>
  <si>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</si>
  <si>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</si>
  <si>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</si>
  <si>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</si>
  <si>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</si>
  <si>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</si>
  <si>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</si>
  <si>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</si>
  <si>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</si>
  <si>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</si>
  <si>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</si>
  <si>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</si>
  <si>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</si>
  <si>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</si>
  <si>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</si>
  <si>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</si>
  <si>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</si>
  <si>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</si>
  <si>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</si>
  <si>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</si>
  <si>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</si>
  <si>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</si>
  <si>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</si>
  <si>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</si>
  <si>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</si>
  <si>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</si>
  <si>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</si>
  <si>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</si>
  <si>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</si>
  <si>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</si>
  <si>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</si>
  <si>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</si>
  <si>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</si>
  <si>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</si>
  <si>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</si>
  <si>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</si>
  <si>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</si>
  <si>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</si>
  <si>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</si>
  <si>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</si>
  <si>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</si>
  <si>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</si>
  <si>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</si>
  <si>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</si>
  <si>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</si>
  <si>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</si>
  <si>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</si>
  <si>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</si>
  <si>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</si>
  <si>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</si>
  <si>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</si>
  <si>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</si>
  <si>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</si>
  <si>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</si>
  <si>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</si>
  <si>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</si>
  <si>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</si>
  <si>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</si>
  <si>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</si>
  <si>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</si>
  <si>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</si>
  <si>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</si>
  <si>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</si>
  <si>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</si>
  <si>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</si>
  <si>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</si>
  <si>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</si>
  <si>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</si>
  <si>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</si>
  <si>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</si>
  <si>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</si>
  <si>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</si>
  <si>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</si>
  <si>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</si>
  <si>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</si>
  <si>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</si>
  <si>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</si>
  <si>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</si>
  <si>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</si>
  <si>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</si>
  <si>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</si>
  <si>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</si>
  <si>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</si>
  <si>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</si>
  <si>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</si>
  <si>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</si>
  <si>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</si>
  <si>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</si>
  <si>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</si>
  <si>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</si>
  <si>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</si>
  <si>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</si>
  <si>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</si>
  <si>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</si>
  <si>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</si>
  <si>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</si>
  <si>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</si>
  <si>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</si>
  <si>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</si>
  <si>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</si>
  <si>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</si>
  <si>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</si>
  <si>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</si>
  <si>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</si>
  <si>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</si>
  <si>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</si>
  <si>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</si>
  <si>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</si>
  <si>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</si>
  <si>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</si>
  <si>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</si>
  <si>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</si>
  <si>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</si>
  <si>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</si>
  <si>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</si>
  <si>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</si>
  <si>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</si>
  <si>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</si>
  <si>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</si>
  <si>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</si>
  <si>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</si>
  <si>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</si>
  <si>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</si>
  <si>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</si>
  <si>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</si>
  <si>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</si>
  <si>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</si>
  <si>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</si>
  <si>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</si>
  <si>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</si>
  <si>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</si>
  <si>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</si>
  <si>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</si>
  <si>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</si>
  <si>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</si>
  <si>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</si>
  <si>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</si>
  <si>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</si>
  <si>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</si>
  <si>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</si>
  <si>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</si>
  <si>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</si>
  <si>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</si>
  <si>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</si>
  <si>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</si>
  <si>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</si>
  <si>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</si>
  <si>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</si>
  <si>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</si>
  <si>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</si>
  <si>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</si>
  <si>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</si>
  <si>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</si>
  <si>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</si>
  <si>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</si>
  <si>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</si>
  <si>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</si>
  <si>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</si>
  <si>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</si>
  <si>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</si>
  <si>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</si>
  <si>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</si>
  <si>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</si>
  <si>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</si>
  <si>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</si>
  <si>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</si>
  <si>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</si>
  <si>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</si>
  <si>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</si>
  <si>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</si>
  <si>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</si>
  <si>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</si>
  <si>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</si>
  <si>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</si>
  <si>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</si>
  <si>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</si>
  <si>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</si>
  <si>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</si>
  <si>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</si>
  <si>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</si>
  <si>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</si>
  <si>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</si>
  <si>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</si>
  <si>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</si>
  <si>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</si>
  <si>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</si>
  <si>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</si>
  <si>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</si>
  <si>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</si>
  <si>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</si>
  <si>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</si>
  <si>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</si>
  <si>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</si>
  <si>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</si>
  <si>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</si>
  <si>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</si>
  <si>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</si>
  <si>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</si>
  <si>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</si>
  <si>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</si>
  <si>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</si>
  <si>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</si>
  <si>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</si>
  <si>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</si>
  <si>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</si>
  <si>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</si>
  <si>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</si>
  <si>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</si>
  <si>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</si>
  <si>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</si>
  <si>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</si>
  <si>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</si>
  <si>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</si>
  <si>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</si>
  <si>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</si>
  <si>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</si>
  <si>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</si>
  <si>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</si>
  <si>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</si>
  <si>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</si>
  <si>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</si>
  <si>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</si>
  <si>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</si>
  <si>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</si>
  <si>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</si>
  <si>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</si>
  <si>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</si>
  <si>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</si>
  <si>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</si>
  <si>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</si>
  <si>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</si>
  <si>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</si>
  <si>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</si>
  <si>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</si>
  <si>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</si>
  <si>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</si>
  <si>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</si>
  <si>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</si>
  <si>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</si>
  <si>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</si>
  <si>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</si>
  <si>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</si>
  <si>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</si>
  <si>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</si>
  <si>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</si>
  <si>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</si>
  <si>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</si>
  <si>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</si>
  <si>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</si>
  <si>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</si>
  <si>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</si>
  <si>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</si>
  <si>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</si>
  <si>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</si>
  <si>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</si>
  <si>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</si>
  <si>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</si>
  <si>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</si>
  <si>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</si>
  <si>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</si>
  <si>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</si>
  <si>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</si>
  <si>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</si>
  <si>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</si>
  <si>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</si>
  <si>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</si>
  <si>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</si>
  <si>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</si>
  <si>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</si>
  <si>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</si>
  <si>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</si>
  <si>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</si>
  <si>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</si>
  <si>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</si>
  <si>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</si>
  <si>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</si>
  <si>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</si>
  <si>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</si>
  <si>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TC-N614</t>
  </si>
  <si>
    <t xml:space="preserve">Il toggle non appare sulla shell TRAMA ONE Parent ('/one')</t>
  </si>
  <si>
    <t xml:space="preserve">Login Genitore -&gt; /one -&gt; osserva l'header e l'angolo dove appare normalmente il toggle</t>
  </si>
  <si>
    <t xml:space="preserve">Nessun pulsante 'Passa a NextGen'/'Torna a V1' visibile - la shell TRAMA ONE Parent ha gia' una propria freccia indietro verso /nextgen nell'header, con cui il toggle globale si sovrapponeva visivamente al titolo</t>
  </si>
  <si>
    <t xml:space="preserve">Bug reale trovato da uno screenshot manuale: il toggle globale si sovrapponeva visivamente alla freccia indietro/titolo dell'header nella shell TRAMA ONE Parent ('/one'). Corretto aggiungendo '/one' alla lista HIDDEN_PREFIXES in components/VersionToggle.tsx. Test in tests/nextgen/version-toggle.spec.ts, dentro test.describe("Versione LEGACY/NEXTGEN - Toggle").</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</si>
  <si>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</si>
  <si>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</si>
  <si>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</si>
  <si>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</si>
  <si>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</si>
  <si>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</si>
  <si>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</si>
  <si>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</si>
  <si>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</si>
  <si>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</si>
  <si>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</si>
  <si>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</si>
  <si>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</si>
  <si>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</si>
  <si>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</si>
  <si>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</si>
  <si>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</si>
  <si>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</si>
  <si>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</si>
  <si>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</si>
  <si>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</si>
  <si>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</si>
  <si>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</si>
  <si>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</si>
  <si>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</si>
  <si>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</si>
  <si>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</si>
  <si>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</si>
  <si>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</si>
  <si>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</si>
  <si>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</si>
  <si>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</si>
  <si>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</si>
  <si>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</si>
  <si>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</si>
  <si>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</si>
  <si>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</si>
  <si>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</si>
  <si>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</si>
  <si>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</si>
  <si>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</si>
  <si>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</si>
  <si>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</si>
  <si>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</si>
  <si>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</si>
  <si>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</si>
  <si>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</si>
  <si>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</si>
  <si>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</si>
  <si>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</si>
  <si>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</si>
  <si>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</si>
  <si>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</si>
  <si>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</si>
  <si>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</si>
  <si>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</si>
  <si>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</si>
  <si>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</si>
  <si>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</si>
  <si>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</si>
  <si>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</si>
  <si>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</si>
  <si>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</si>
  <si>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</si>
  <si>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</si>
  <si>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</si>
  <si>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</si>
  <si>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</si>
  <si>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</si>
  <si>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</si>
  <si>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</si>
  <si>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</si>
  <si>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</si>
  <si>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</si>
  <si>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</si>
  <si>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</si>
  <si>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</si>
  <si>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</si>
  <si>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</si>
  <si>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</si>
  <si>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</si>
  <si>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</si>
  <si>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</si>
  <si>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</si>
  <si>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</si>
  <si>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</si>
  <si>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</si>
  <si>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</si>
  <si>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</si>
  <si>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</si>
  <si>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</si>
  <si>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</si>
  <si>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</si>
  <si>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</si>
  <si>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</si>
  <si>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</si>
  <si>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</si>
  <si>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</si>
  <si>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</si>
  <si>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</si>
  <si>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</si>
  <si>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</si>
  <si>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</si>
  <si>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</si>
  <si>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</si>
  <si>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</si>
  <si>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</si>
  <si>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</si>
  <si>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</si>
  <si>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</si>
  <si>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</si>
  <si>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</si>
  <si>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</si>
  <si>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</si>
  <si>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</si>
  <si>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</si>
  <si>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</si>
  <si>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</si>
  <si>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</si>
  <si>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</si>
  <si>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</si>
  <si>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</si>
  <si>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</si>
  <si>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</si>
  <si>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</si>
  <si>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</si>
  <si>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</si>
  <si>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</si>
  <si>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</si>
  <si>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</si>
  <si>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</si>
  <si>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</si>
  <si>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</si>
  <si>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</si>
  <si>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</si>
  <si>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</si>
  <si>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</si>
  <si>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</si>
  <si>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</si>
  <si>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</si>
  <si>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</si>
  <si>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</si>
  <si>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</si>
  <si>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</si>
  <si>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</si>
  <si>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</si>
  <si>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</si>
  <si>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</si>
  <si>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</si>
  <si>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</si>
  <si>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</si>
  <si>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</si>
  <si>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</si>
  <si>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</si>
  <si>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</si>
  <si>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</si>
  <si>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</si>
  <si>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</si>
  <si>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</si>
  <si>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</si>
  <si>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</si>
  <si>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</si>
  <si>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</si>
  <si>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</si>
  <si>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</si>
  <si>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</si>
  <si>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</si>
  <si>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</si>
  <si>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</si>
  <si>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</si>
  <si>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</si>
  <si>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</si>
  <si>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</si>
  <si>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</si>
  <si>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</si>
  <si>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</si>
  <si>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</si>
  <si>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</si>
  <si>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</si>
  <si>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</si>
  <si>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</si>
  <si>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</si>
  <si>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</si>
  <si>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</si>
  <si>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</si>
  <si>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</si>
  <si>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</si>
  <si>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</si>
  <si>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</si>
  <si>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</si>
  <si>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</si>
  <si>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</si>
  <si>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</si>
  <si>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</si>
  <si>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</si>
  <si>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</si>
  <si>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</si>
  <si>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</si>
  <si>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</si>
  <si>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</si>
  <si>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</si>
  <si>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</si>
  <si>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</si>
  <si>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</si>
  <si>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</si>
  <si>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</si>
  <si>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</si>
  <si>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</si>
  <si>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</si>
  <si>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</si>
  <si>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</si>
  <si>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</si>
  <si>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</si>
  <si>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</si>
  <si>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</si>
  <si>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</si>
  <si>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</si>
  <si>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</si>
  <si>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</si>
  <si>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</si>
  <si>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</si>
  <si>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</si>
  <si>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</si>
  <si>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</si>
  <si>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</si>
  <si>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</si>
  <si>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</si>
  <si>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</si>
  <si>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</si>
  <si>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</si>
  <si>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</si>
  <si>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</si>
  <si>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</si>
  <si>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</si>
  <si>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</si>
  <si>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</si>
  <si>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</si>
  <si>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</si>
  <si>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</si>
  <si>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</si>
  <si>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</si>
  <si>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</si>
  <si>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</si>
  <si>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</si>
  <si>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</si>
  <si>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</si>
  <si>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</si>
  <si>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</si>
  <si>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</si>
  <si>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</si>
  <si>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</si>
  <si>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</si>
  <si>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</si>
  <si>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</si>
  <si>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</si>
  <si>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</si>
  <si>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</si>
  <si>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</si>
  <si>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</si>
  <si>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</si>
  <si>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</si>
  <si>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</si>
  <si>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</si>
  <si>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</si>
  <si>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</si>
  <si>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</si>
  <si>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</si>
  <si>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</si>
  <si>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</si>
  <si>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</si>
  <si>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</si>
  <si>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</si>
  <si>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</si>
  <si>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</si>
  <si>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</si>
  <si>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</si>
  <si>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</si>
  <si>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</si>
  <si>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</si>
  <si>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</si>
  <si>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</si>
  <si>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</si>
  <si>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</si>
  <si>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</si>
  <si>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</si>
  <si>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</si>
  <si>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</si>
  <si>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</si>
  <si>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</si>
  <si>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</si>
  <si>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</si>
  <si>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</si>
  <si>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</si>
  <si>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</si>
  <si>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</si>
  <si>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</si>
  <si>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</si>
  <si>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</si>
  <si>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</si>
  <si>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</si>
  <si>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</si>
  <si>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</si>
  <si>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</si>
  <si>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</si>
  <si>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</si>
  <si>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</si>
  <si>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</si>
  <si>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</si>
  <si>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</si>
  <si>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</si>
  <si>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</si>
  <si>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</si>
  <si>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</si>
  <si>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</si>
  <si>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</si>
  <si>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</si>
  <si>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</si>
  <si>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</si>
  <si>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</si>
  <si>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</si>
  <si>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</si>
  <si>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</si>
  <si>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</si>
  <si>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</si>
  <si>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</si>
  <si>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</si>
  <si>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</si>
  <si>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</si>
  <si>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</si>
  <si>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</si>
  <si>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</si>
  <si>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</si>
  <si>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</si>
  <si>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</si>
  <si>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</si>
  <si>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</si>
  <si>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</si>
  <si>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</si>
  <si>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</si>
  <si>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</si>
  <si>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</si>
  <si>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</si>
  <si>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</si>
  <si>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</si>
  <si>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</si>
  <si>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</si>
  <si>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</si>
  <si>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</si>
  <si>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</si>
  <si>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</si>
  <si>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</si>
  <si>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</si>
  <si>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</si>
  <si>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</si>
  <si>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</si>
  <si>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</si>
  <si>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</si>
  <si>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</si>
  <si>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</si>
  <si>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</si>
  <si>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</si>
  <si>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</si>
  <si>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</si>
  <si>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</si>
  <si>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</si>
  <si>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</si>
  <si>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</si>
  <si>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</si>
  <si>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</si>
  <si>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</si>
  <si>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</si>
  <si>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</si>
  <si>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</si>
  <si>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</si>
  <si>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</si>
  <si>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</si>
  <si>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</si>
  <si>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</si>
  <si>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</si>
  <si>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</si>
  <si>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</si>
  <si>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</si>
  <si>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</si>
  <si>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</si>
  <si>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</si>
  <si>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</si>
  <si>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</si>
  <si>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</si>
  <si>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</si>
  <si>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</si>
  <si>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</si>
  <si>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</si>
  <si>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</si>
  <si>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</si>
  <si>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</si>
  <si>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</si>
  <si>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</si>
  <si>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</si>
  <si>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</si>
  <si>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</si>
  <si>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</si>
  <si>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</si>
  <si>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</si>
  <si>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</si>
  <si>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</si>
  <si>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</si>
  <si>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</si>
  <si>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</si>
  <si>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</si>
  <si>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</si>
  <si>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</si>
  <si>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</si>
  <si>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</si>
  <si>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</si>
  <si>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</si>
  <si>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</si>
  <si>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</si>
  <si>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</si>
  <si>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</si>
  <si>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</si>
  <si>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</si>
  <si>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</si>
  <si>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</si>
  <si>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</si>
  <si>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</si>
  <si>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</si>
  <si>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</si>
  <si>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</si>
  <si>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</si>
  <si>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</si>
  <si>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</si>
  <si>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</si>
  <si>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</si>
  <si>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</si>
  <si>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</si>
  <si>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</si>
  <si>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</si>
  <si>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</si>
  <si>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</si>
  <si>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</si>
  <si>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</si>
  <si>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</si>
  <si>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</si>
  <si>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</si>
  <si>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</si>
  <si>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</si>
  <si>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</si>
  <si>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</si>
  <si>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</si>
  <si>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</si>
  <si>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</si>
  <si>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</si>
  <si>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</si>
  <si>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</si>
  <si>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</si>
  <si>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</si>
  <si>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</si>
  <si>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</si>
  <si>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</si>
  <si>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</si>
  <si>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</si>
  <si>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</si>
  <si>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</si>
  <si>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</si>
  <si>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</si>
  <si>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</si>
  <si>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</si>
  <si>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</si>
  <si>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</si>
  <si>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</si>
  <si>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</si>
  <si>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</si>
  <si>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</si>
  <si>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</si>
  <si>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</si>
  <si>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</si>
  <si>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</si>
  <si>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</si>
  <si>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</si>
  <si>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</si>
  <si>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</si>
  <si>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</si>
  <si>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</si>
  <si>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</si>
  <si>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</si>
  <si>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</si>
  <si>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</si>
  <si>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</si>
  <si>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</si>
  <si>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</si>
  <si>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</si>
  <si>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</si>
  <si>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</si>
  <si>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</si>
  <si>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</si>
  <si>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</si>
  <si>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</si>
  <si>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</si>
  <si>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</si>
  <si>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</si>
  <si>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</si>
  <si>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</si>
  <si>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</si>
  <si>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</si>
  <si>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</si>
  <si>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</si>
  <si>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</si>
  <si>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</si>
  <si>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</si>
  <si>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</si>
  <si>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</si>
  <si>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</si>
  <si>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</si>
  <si>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</si>
  <si>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</si>
  <si>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</si>
  <si>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</si>
  <si>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</si>
  <si>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</si>
  <si>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</si>
  <si>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</si>
  <si>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</si>
  <si>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</si>
  <si>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</si>
  <si>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</si>
  <si>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</si>
  <si>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</si>
  <si>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</si>
  <si>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</si>
  <si>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</si>
  <si>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</si>
  <si>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</si>
  <si>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</si>
  <si>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</si>
  <si>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</si>
  <si>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</si>
  <si>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</si>
  <si>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</si>
  <si>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</si>
  <si>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</si>
  <si>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</si>
  <si>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</si>
  <si>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</si>
  <si>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</si>
  <si>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</si>
  <si>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</si>
  <si>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</si>
  <si>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</si>
  <si>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</si>
  <si>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</si>
  <si>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</si>
  <si>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</si>
  <si>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</si>
  <si>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</si>
  <si>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</si>
  <si>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</si>
  <si>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</si>
  <si>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</si>
  <si>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</si>
  <si>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</si>
  <si>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</si>
  <si>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</si>
  <si>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</si>
  <si>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</si>
  <si>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</si>
  <si>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</si>
  <si>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</si>
  <si>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</si>
  <si>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</si>
  <si>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</si>
  <si>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</si>
  <si>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</si>
  <si>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</si>
  <si>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</si>
  <si>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</si>
  <si>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</si>
  <si>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</si>
  <si>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</si>
  <si>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</si>
  <si>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</si>
  <si>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</si>
  <si>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</si>
  <si>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</si>
  <si>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</si>
  <si>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</si>
  <si>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</si>
  <si>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</si>
  <si>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</si>
  <si>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</si>
  <si>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</si>
  <si>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</si>
  <si>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</si>
  <si>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</si>
  <si>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</si>
  <si>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</si>
  <si>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</si>
  <si>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</si>
  <si>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</si>
  <si>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</si>
  <si>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</si>
  <si>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</si>
  <si>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</si>
  <si>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</si>
  <si>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</si>
  <si>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</si>
  <si>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</si>
  <si>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</si>
  <si>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</si>
  <si>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</si>
  <si>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</si>
  <si>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</si>
  <si>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</si>
  <si>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</si>
  <si>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</si>
  <si>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</si>
  <si>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</si>
  <si>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</si>
  <si>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</si>
  <si>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</si>
  <si>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</si>
  <si>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</si>
  <si>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</si>
  <si>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</si>
  <si>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</si>
  <si>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</si>
  <si>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</si>
  <si>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</si>
  <si>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</si>
  <si>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</si>
  <si>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</si>
  <si>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</si>
  <si>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</si>
  <si>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</si>
  <si>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</si>
  <si>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</si>
  <si>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</si>
  <si>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</si>
  <si>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</si>
  <si>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</si>
  <si>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</si>
  <si>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</si>
  <si>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</si>
  <si>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</si>
  <si>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</si>
  <si>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</si>
  <si>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</si>
  <si>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</si>
  <si>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</si>
  <si>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</si>
  <si>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</si>
  <si>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</si>
  <si>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</si>
  <si>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</si>
  <si>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</si>
  <si>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</si>
  <si>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</si>
  <si>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</si>
  <si>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</si>
  <si>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</si>
  <si>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</si>
  <si>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</si>
  <si>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</si>
  <si>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</si>
  <si>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</si>
  <si>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</si>
  <si>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</si>
  <si>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</si>
  <si>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</si>
  <si>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</si>
  <si>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</si>
  <si>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</si>
  <si>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</si>
  <si>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</si>
  <si>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</si>
  <si>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</si>
  <si>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</si>
  <si>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</si>
  <si>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</si>
  <si>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</si>
  <si>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</si>
  <si>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</si>
  <si>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</si>
  <si>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</si>
  <si>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</si>
  <si>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</si>
  <si>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</si>
  <si>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</si>
  <si>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</si>
  <si>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</si>
  <si>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</si>
  <si>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</si>
  <si>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</si>
  <si>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</si>
  <si>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</si>
  <si>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</si>
  <si>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</si>
  <si>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</si>
  <si>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</si>
  <si>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</si>
  <si>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</si>
  <si>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</si>
  <si>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</si>
  <si>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</si>
  <si>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</si>
  <si>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</si>
  <si>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</si>
  <si>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</si>
  <si>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</si>
  <si>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</si>
  <si>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</si>
  <si>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</si>
  <si>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</si>
  <si>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</si>
  <si>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</si>
  <si>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</si>
  <si>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</si>
  <si>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</si>
  <si>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</si>
  <si>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</si>
  <si>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</si>
  <si>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</si>
  <si>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</si>
  <si>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</si>
  <si>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</si>
  <si>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</si>
  <si>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</si>
  <si>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</si>
  <si>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</si>
  <si>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</si>
  <si>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</si>
  <si>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</si>
  <si>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</si>
  <si>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</si>
  <si>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</si>
  <si>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</si>
  <si>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</si>
  <si>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</si>
  <si>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</si>
  <si>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</si>
  <si>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</si>
  <si>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</si>
  <si>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</si>
  <si>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</si>
  <si>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</si>
  <si>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</si>
  <si>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</si>
  <si>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</si>
  <si>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</si>
  <si>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</si>
  <si>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</si>
  <si>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</si>
  <si>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</si>
  <si>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</si>
  <si>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</si>
  <si>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</si>
  <si>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</si>
  <si>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</si>
  <si>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</si>
  <si>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</si>
  <si>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</si>
  <si>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</si>
  <si>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</si>
  <si>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</si>
  <si>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</si>
  <si>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</si>
  <si>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</si>
  <si>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</si>
  <si>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</si>
  <si>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</si>
  <si>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</si>
  <si>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</si>
  <si>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</si>
  <si>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</si>
  <si>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</si>
  <si>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</si>
  <si>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</si>
  <si>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</si>
  <si>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</si>
  <si>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</si>
  <si>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</si>
  <si>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</si>
  <si>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</si>
  <si>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</si>
  <si>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</si>
  <si>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</si>
  <si>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</si>
  <si>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</si>
  <si>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</si>
  <si>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</si>
  <si>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</si>
  <si>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</si>
  <si>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</si>
  <si>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</si>
  <si>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</si>
  <si>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</si>
  <si>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</si>
  <si>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</si>
  <si>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</si>
  <si>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</si>
  <si>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</si>
  <si>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</si>
  <si>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</si>
  <si>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</si>
  <si>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</si>
  <si>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</si>
  <si>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</si>
  <si>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</si>
  <si>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</si>
  <si>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</si>
  <si>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</si>
  <si>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</si>
  <si>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</si>
  <si>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</si>
  <si>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</si>
  <si>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</si>
  <si>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</si>
  <si>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</si>
  <si>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</si>
  <si>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</si>
  <si>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</si>
  <si>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</si>
  <si>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</si>
  <si>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</si>
  <si>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</si>
  <si>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</si>
  <si>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</si>
  <si>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</si>
  <si>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</si>
  <si>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</si>
  <si>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</si>
  <si>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</si>
  <si>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</si>
  <si>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</si>
  <si>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</si>
  <si>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</si>
  <si>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</si>
  <si>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</si>
  <si>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</si>
  <si>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</si>
  <si>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</si>
  <si>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</si>
  <si>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</si>
  <si>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</si>
  <si>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</si>
  <si>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</si>
  <si>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</si>
  <si>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</si>
  <si>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</si>
  <si>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</si>
  <si>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</si>
  <si>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</si>
  <si>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</si>
  <si>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</si>
  <si>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</si>
  <si>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</si>
  <si>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</si>
  <si>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</si>
  <si>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</si>
  <si>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</si>
  <si>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</si>
  <si>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</si>
  <si>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</si>
  <si>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</si>
  <si>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</si>
  <si>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</si>
  <si>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</si>
  <si>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</si>
  <si>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</si>
  <si>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</si>
  <si>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</si>
  <si>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</si>
  <si>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</si>
  <si>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</si>
  <si>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</si>
  <si>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</si>
  <si>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</si>
  <si>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</si>
  <si>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</si>
  <si>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</si>
  <si>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</si>
  <si>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</si>
  <si>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</si>
  <si>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</si>
  <si>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</si>
  <si>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</si>
  <si>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</si>
  <si>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</si>
  <si>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</si>
  <si>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</si>
  <si>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</si>
  <si>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</si>
  <si>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</si>
  <si>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</si>
  <si>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</si>
  <si>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</si>
  <si>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</si>
  <si>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</si>
  <si>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</si>
  <si>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</si>
  <si>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</si>
  <si>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</si>
  <si>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</si>
  <si>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</si>
  <si>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</si>
  <si>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</si>
  <si>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</si>
  <si>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</si>
  <si>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</si>
  <si>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</si>
  <si>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</si>
  <si>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</si>
  <si>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</si>
  <si>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</si>
  <si>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</si>
  <si>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</si>
  <si>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</si>
  <si>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</si>
  <si>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</si>
  <si>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</si>
  <si>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</si>
  <si>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</si>
  <si>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</si>
  <si>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</si>
  <si>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</si>
  <si>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</si>
  <si>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</si>
  <si>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</si>
  <si>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</si>
  <si>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</si>
  <si>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</si>
  <si>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</si>
  <si>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</si>
  <si>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</si>
  <si>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</si>
  <si>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</si>
  <si>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</si>
  <si>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</si>
  <si>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</si>
  <si>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</si>
  <si>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</si>
  <si>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</si>
  <si>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</si>
  <si>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</si>
  <si>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</si>
  <si>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</si>
  <si>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</si>
  <si>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</si>
  <si>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</si>
  <si>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</si>
  <si>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</si>
  <si>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</si>
  <si>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</si>
  <si>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</si>
  <si>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</si>
  <si>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</si>
  <si>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</si>
  <si>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</si>
  <si>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</si>
  <si>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</si>
  <si>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</si>
  <si>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</si>
  <si>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</si>
  <si>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</si>
  <si>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</si>
  <si>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</si>
  <si>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</si>
  <si>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</si>
  <si>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</si>
  <si>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</si>
  <si>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</si>
  <si>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</si>
  <si>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</si>
  <si>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</si>
  <si>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</si>
  <si>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</si>
  <si>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</si>
  <si>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</si>
  <si>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</si>
  <si>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</si>
  <si>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</si>
  <si>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</si>
  <si>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</si>
  <si>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</si>
  <si>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</si>
  <si>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</si>
  <si>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</si>
  <si>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</si>
  <si>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</si>
  <si>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</si>
  <si>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</si>
  <si>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</si>
  <si>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</si>
  <si>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</si>
  <si>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</si>
  <si>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</si>
  <si>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</si>
  <si>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</si>
  <si>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</si>
  <si>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</si>
  <si>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</si>
  <si>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</si>
  <si>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</si>
  <si>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</si>
  <si>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</si>
  <si>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</si>
  <si>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</si>
  <si>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</si>
  <si>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</si>
  <si>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</si>
  <si>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</si>
  <si>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</si>
  <si>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</si>
  <si>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</si>
  <si>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</si>
  <si>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</si>
  <si>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</si>
  <si>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</si>
  <si>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Product Walkthrough Spotlight reale (Controlled Beta, S7-14)</t>
  </si>
  <si>
    <t xml:space="preserve">Il gestore vede in /center/activities lo Spotlight reale (overlay+cutout+popover ancorato) sul pulsante '+ Nuova attivita', non piu' una card testuale scollegata in /center/one</t>
  </si>
  <si>
    <t xml:space="preserve">Login center_admin; flag TRAMA_ONE_ENABLED attivo per l'utente di test (override, vedi DEC-34)</t>
  </si>
  <si>
    <t xml:space="preserve">Login gestore -&gt; apri /center/activities</t>
  </si>
  <si>
    <t xml:space="preserve">Il pulsante '+ Nuova attivita' ha l'attributo data-spotlight="create_activity"; e' visibile un dialog (role=dialog) ancorato ad esso con titolo 'Crea l'attivita', 'Passo 1 di 6', la descrizione dello step e il bottone 'Inizia'</t>
  </si>
  <si>
    <t xml:space="preserve">Test automatizzato: tests/one/walkthrough-partner.spec.ts, TC-N414 (riscritto per il gate Controlled Beta S7-14/DEC-60: la WalkthroughCard su /center/one e' stata rimossa, il vero Spotlight vive ora sulle pagine reali, montato in app/center/layout.tsx).</t>
  </si>
  <si>
    <t xml:space="preserve">TC-N415</t>
  </si>
  <si>
    <t xml:space="preserve">Avviare lo step ('Inizia') lo marca 'in_progress' in modo persistente (tutorial_progress), non solo nello stato locale del componente Spotlight</t>
  </si>
  <si>
    <t xml:space="preserve">Login gestore -&gt; apri /center/activities -&gt; click 'Inizia' nel popover -&gt; ricarica la pagina</t>
  </si>
  <si>
    <t xml:space="preserve">Il popover mostra il messaggio "Fatto? Clicca l'elemento evidenziato per continuare."; dopo il reload lo stesso messaggio ricompare (conferma scrittura reale via startWalkthroughStepAction, non solo useState)</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</si>
  <si>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</si>
  <si>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</si>
  <si>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</si>
  <si>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</si>
  <si>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</si>
  <si>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</si>
  <si>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</si>
  <si>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</si>
  <si>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</si>
  <si>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</si>
  <si>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</si>
  <si>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</si>
  <si>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</si>
  <si>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</si>
  <si>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</si>
  <si>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</si>
  <si>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</si>
  <si>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</si>
  <si>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</si>
  <si>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</si>
  <si>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</si>
  <si>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</si>
  <si>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</si>
  <si>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</si>
  <si>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</si>
  <si>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</si>
  <si>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</si>
  <si>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</si>
  <si>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</si>
  <si>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</si>
  <si>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</si>
  <si>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</si>
  <si>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</si>
  <si>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</si>
  <si>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</si>
  <si>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</si>
  <si>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</si>
  <si>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</si>
  <si>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</si>
  <si>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</si>
  <si>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</si>
  <si>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</si>
  <si>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</si>
  <si>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</si>
  <si>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</si>
  <si>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</si>
  <si>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</si>
  <si>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</si>
  <si>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</si>
  <si>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</si>
  <si>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</si>
  <si>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</si>
  <si>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</si>
  <si>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</si>
  <si>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</si>
  <si>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</si>
  <si>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</si>
  <si>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</si>
  <si>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</si>
  <si>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</si>
  <si>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</si>
  <si>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</si>
  <si>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</si>
  <si>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</si>
  <si>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</si>
  <si>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</si>
  <si>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</si>
  <si>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</si>
  <si>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</si>
  <si>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</si>
  <si>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</si>
  <si>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</si>
  <si>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</si>
  <si>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</si>
  <si>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</si>
  <si>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</si>
  <si>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</si>
  <si>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</si>
  <si>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</si>
  <si>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</si>
  <si>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</si>
  <si>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</si>
  <si>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</si>
  <si>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</si>
  <si>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</si>
  <si>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</si>
  <si>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</si>
  <si>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</si>
  <si>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</si>
  <si>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</si>
  <si>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</si>
  <si>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</si>
  <si>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</si>
  <si>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</si>
  <si>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</si>
  <si>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</si>
  <si>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</si>
  <si>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</si>
  <si>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</si>
  <si>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</si>
  <si>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</si>
  <si>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</si>
  <si>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</si>
  <si>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</si>
  <si>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</si>
  <si>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</si>
  <si>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</si>
  <si>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</si>
  <si>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</si>
  <si>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</si>
  <si>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</si>
  <si>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</si>
  <si>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</si>
  <si>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</si>
  <si>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</si>
  <si>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</si>
  <si>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</si>
  <si>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</si>
  <si>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</si>
  <si>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</si>
  <si>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</si>
  <si>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</si>
  <si>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</si>
  <si>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</si>
  <si>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</si>
  <si>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</si>
  <si>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</si>
  <si>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</si>
  <si>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</si>
  <si>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</si>
  <si>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</si>
  <si>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</si>
  <si>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</si>
  <si>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</si>
  <si>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</si>
  <si>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</si>
  <si>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</si>
  <si>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</si>
  <si>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</si>
  <si>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</si>
  <si>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</si>
  <si>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 AGGIORNAMENTO 06/08/2026: nel run critical post-deploy (commit 24464bf) il test è fallito di nuovo con un diverso strict-mode violation (il locator div+hasText+first() ora intercetta anche il &lt;select&gt; di BatchBetaControls, aggiunto da Addendum Sezione B sopra la card del flag). Root cause: assunzione di struttura DOM non più valida (bug del test, non della pagina Admin). Fix: aggiunto data-testid="flag-card-TRAMA_ONE_ENABLED" alla card in FeatureFlagsAdminClient.tsx e il test ora usa page.getByTestId(...) invece del locator fragile. Non rieseguibile in questo sandbox (richiede browser + deploy reale) — verificabile da Fabrizio al prossimo giro di test-deploy.sh.</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</si>
  <si>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</si>
  <si>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</si>
  <si>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</si>
  <si>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</si>
  <si>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</si>
  <si>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</si>
  <si>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</si>
  <si>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TC-N611</t>
  </si>
  <si>
    <t xml:space="preserve">TRAMA ONE Build Sprint 6 - Command Center Admin (E08)</t>
  </si>
  <si>
    <t xml:space="preserve">Admin: /admin/one mostra le code operative aggregate (onboarding/prenotazioni/richieste/centri-lead/certificazioni/feedback-beta/feature-flag) con priorita' ed etichette, senza rimuovere le pagine per dominio esistenti</t>
  </si>
  <si>
    <t xml:space="preserve">Deploy reale con Supabase configurato, account platform_admin di test</t>
  </si>
  <si>
    <t xml:space="preserve">L'Admin apre /admin/one</t>
  </si>
  <si>
    <t xml:space="preserve">Sono visibili 7 code operative con etichetta e conteggio (Onboarding, Prenotazioni, Richieste, Centri-lead, Certificazioni, Feedback BETA, Feature flag), un riepilogo testuale in cima, e la sezione Walkthrough preesistente resta visibile sotto. Ogni coda linka alla pagina Admin per dominio gia' esistente (nessuna sostituzione)</t>
  </si>
  <si>
    <t xml:space="preserve">Test automatizzato: tests/one/command-center.spec.ts, TC-N611 (gated su isRealDeployment) + 7 unit test 'no browser' su lib/command-center/priority.ts (computeQueuePriority/compareQueuesByPriority), gia' verificati passanti in locale (16/16 pass, incluso mobile-chrome).</t>
  </si>
  <si>
    <t xml:space="preserve">TC-N612</t>
  </si>
  <si>
    <t xml:space="preserve">TRAMA ONE Build Sprint 6 - Eventi analytics con correlationId (E11)</t>
  </si>
  <si>
    <t xml:space="preserve">Visitare /one registra un evento product_events persistito, correlato da correlationId, senza mai includere dati personali</t>
  </si>
  <si>
    <t xml:space="preserve">Deploy reale con Supabase configurato, migration_20_product_events.sql applicata, TRAMA_ONE_ENABLED attivo per l'utente di test, SUPABASE_SERVICE_ROLE_KEY in .env.test (RLS select su product_events e' ristretta a is_platform_admin())</t>
  </si>
  <si>
    <t xml:space="preserve">Il genitore di test effettua login e visita /one (il layout genera un correlationId ed emette one_route_access sia via logTelemetryEvent, invariato, sia via persistProductEvent verso product_events)</t>
  </si>
  <si>
    <t xml:space="preserve">Compare in product_events una riga con event_name="one_route_access" e correlation_id valorizzato (mai null); nessuna colonna della tabella contiene nome/email/altri dati personali per costruzione (whitelist KNOWN_PRODUCT_EVENTS + shape fissa event_name/correlation_id/tenant/role/detail)</t>
  </si>
  <si>
    <t xml:space="preserve">Test automatizzato: tests/one/product-events.spec.ts, TC-N612 (gated su isRealDeployment) + 4 unit test 'no browser' su lib/telemetry/known-events.ts (KNOWN_PRODUCT_EVENTS), gia' verificati passanti in locale (8/8 pass, incluso mobile-chrome).</t>
  </si>
  <si>
    <t xml:space="preserve">TC-N613</t>
  </si>
  <si>
    <t xml:space="preserve">TRAMA ONE Build Sprint 6 - Hardening Walkthrough (funnel/drop-off, microcopy, accessibilita, performance)</t>
  </si>
  <si>
    <t xml:space="preserve">Il Command Center Admin mostra il funnel Walkthrough (raggiunti/abbandono per step) e il conteggio riavvii; il componente WalkthroughCard e' accessibile (aria-live, aria-describedby, role=region) e usa microcopy piu' chiara</t>
  </si>
  <si>
    <t xml:space="preserve">Deploy reale con Supabase configurato, account platform_admin di test per la vista Admin; account parent di test per WalkthroughCard</t>
  </si>
  <si>
    <t xml:space="preserve">Admin apre /admin/one e legge la tabella funnel Walkthrough; Genitore apre /one e interagisce con Inizia/Continua/Salta per ora/Ricomincia il percorso</t>
  </si>
  <si>
    <t xml:space="preserve">La tabella mostra colonne Raggiunti e Abbandono vs step prec. coerenti (nessun valore negativo, nessuna divisione per zero); il paragrafo informativo mostra il conteggio riavvii o "N/D" se migration_20 non applicata; i pulsanti Inizia/Continua restano individuabili per nome accessibile esatto (nessuna regressione su TC-N414/N415); lo screen reader annuncia il cambio di step (aria-live) senza richiedere refresh manuale</t>
  </si>
  <si>
    <t xml:space="preserve">Test automatizzato: tests/one/walkthrough-funnel.spec.ts, TC-N613 (gated su isRealDeployment) + 6 unit test 'no browser' su lib/walkthrough/funnel.ts (computeWalkthroughFunnel), gia' verificati passanti in locale (12/12 pass, incluso mobile-chrome). Nessuna regressione: tests/one/walkthrough-partner.spec.ts (TC-N414/N415) continua a usare getByRole con nome accessibile invariato (Inizia/Continua).</t>
  </si>
  <si>
    <t xml:space="preserve">TC-N416</t>
  </si>
  <si>
    <t xml:space="preserve">Completare lo step con un click GENUINO sull'elemento reale dell'interfaccia (non un bottone 'Continua' dentro il tour) fa avanzare il percorso allo step successivo</t>
  </si>
  <si>
    <t xml:space="preserve">Login center_admin; flag TRAMA_ONE_ENABLED attivo; step 'create_activity' gia' in_progress (segue TC-N415)</t>
  </si>
  <si>
    <t xml:space="preserve">Login gestore -&gt; apri /center/activities -&gt; click sul VERO pulsante '+ Nuova attivita' (elemento con data-spotlight, non un bottone del tour)</t>
  </si>
  <si>
    <t xml:space="preserve">La navigazione reale avviene (URL -&gt; /center/activities/new); lo step 'create_activity' risulta completato e il percorso avanza a 'configure_weeks' — poiche' quel target non esiste sulla pagina di creazione, lo Spotlight mostra il badge 'target non trovato' col titolo 'Informazioni di base' (rinominato da 'Configura le settimane', DEC-69) invece di restare ancorato al pulsante ormai scomparso; nessun link nel badge (siamo su /new, nessuna attivita' reale)</t>
  </si>
  <si>
    <t xml:space="preserve">Test automatizzato: tests/one/walkthrough-partner.spec.ts, TC-N416 (nuovo per il gate Controlled Beta S7-14/DEC-60 — verifica il meccanismo di avanzamento via click reale, cuore del nuovo motore Spotlight rispetto al vecchio WalkthroughCard). Titolo del badge aggiornato a 'Informazioni di base' (DEC-69, Visual Acceptance Gate §15): il target reale (card 'Informazioni generali') non conteneva cio' che il vecchio testo descriveva.</t>
  </si>
  <si>
    <t xml:space="preserve">TC-N615</t>
  </si>
  <si>
    <t xml:space="preserve">Il badge 'target non trovato' per lo step 'Configura i Giorni spot' mostra un link REALE verso il Calendario disponibilita', non solo testo (DEC-69)</t>
  </si>
  <si>
    <t xml:space="preserve">Login center_admin; flag TRAMA_ONE_ENABLED attivo; almeno un'attivita' esistente nel centro collegato; step create_activity gia' completato (unico step che richiede 'Inizia' esplicito, DEC-72) cosi' che configure_weeks risulti gia' avviato in automatico all'arrivo su questa scheda</t>
  </si>
  <si>
    <t xml:space="preserve">Login gestore -&gt; apri un'attivita' esistente -&gt; step Informazioni di base: GIA' avviato (nessun 'Inizia', DEC-72), click 'Ho finito, continua -&gt;' -&gt; step Servizi extra e pasto: GIA' avviato, click sulla checkbox reale 'Ingresso anticipato (pre-servizio)' (verifica che lo step NON avanzi da solo e il focus non sparisca), poi click 'Ho finito, continua -&gt;' -&gt; click su Salva modifiche (publish, gia' avviato, click-based)</t>
  </si>
  <si>
    <t xml:space="preserve">Nessuno step dopo il primo (create_activity) mostra il pulsante 'Inizia' (DEC-72): si avviano da soli. Gli step 'manuali' (Informazioni di base, Servizi extra e pasto) NON avanzano al click su un campo reale della card: resta visibile il popover con 'Compila con calma i campi di questa sezione, poi continua.' finche' non si clicca il pulsante esplicito 'Ho finito, continua -&gt;'. Dopo publish, il badge 'target non trovato' mostra il titolo 'Configura i Giorni spot' e un link cliccabile 'Vai al Calendario disponibilita' →' con href verso .../calendar (DEC-72: prima di questo fix non compariva NULLA, bug bloccante); il click naviga davvero li'</t>
  </si>
  <si>
    <t xml:space="preserve">Test automatizzato: tests/one/walkthrough-partner.spec.ts, TC-N615. Bug reale trovato da Fabrizio (DEC-69): prima di questo fix il badge dava solo testo per Giorni spot. Fix: campo spotlightMissingHint in lib/walkthrough/registry.ts. DEC-71: cliccare un campo dentro Servizi extra/Informazioni di base avanzava subito lo step. Fix: campo spotlightManualAdvance, pulsante 'Ho finito, continua -&gt;'. DEC-72: 3 bug reali aggiuntivi trovati da Fabrizio testando il deploy di DEC-71 -- focus rubato ogni 500ms (cursore che sparisce), booleano invertito che faceva sparire l'intero badge 'target non trovato' (righe 16/18), 'Inizia' ripetuto senza motivo per ogni step. Vedi TC-N618/TC-N619 per la copertura dedicata dei primi due.</t>
  </si>
  <si>
    <t xml:space="preserve">TC-N616</t>
  </si>
  <si>
    <t xml:space="preserve">TRAMA ONE - Spotlight: unit test puri lib/spotlight/position.ts [no browser]</t>
  </si>
  <si>
    <t xml:space="preserve">pickVisibleTargetIndex sceglie il primo rect con area non nulla tra piu' candidati con lo stesso data-spotlight (bug reale DEC-70: la voce 'dashboard' esiste sia nella sidebar desktop sia nel cassetto mobile, e su schermi &lt;768px la prima e' display:none con rect degenere 0x0x0x0)</t>
  </si>
  <si>
    <t xml:space="preserve">Nessuna (funzione pura, nessun browser/DOM richiesto)</t>
  </si>
  <si>
    <t xml:space="preserve">npx playwright test tests/one/spotlight-position.spec.ts</t>
  </si>
  <si>
    <t xml:space="preserve">5/5 assert passano: nessun candidato -&gt; -1; un solo candidato nascosto -&gt; -1; primo nascosto e secondo visibile -&gt; indice 1 (caso reale mobile 390px); primo gia' visibile -&gt; indice 0 (caso desktop/tablet); tutti nascosti -&gt; -1</t>
  </si>
  <si>
    <t xml:space="preserve">PASS</t>
  </si>
  <si>
    <t xml:space="preserve">Bug reale trovato da Fabrizio via screenshot: su mobile 390px lo step 'Monitora dalla dashboard' mostrava un popover rotto (ancorato in alto a sinistra, il vero nav item 'Dashboard' non evidenziato) mentre su 768/1440 funzionava. Causa: document.querySelector prendeva sempre la prima delle 2 copie DOM dello stesso data-spotlight, quella nascosta su mobile. Fix in components/spotlight/PartnerSpotlight.tsx: legge tutti i candidati e sceglie il primo visibile via questa funzione pura; se nessuno lo e', mostra il badge 'target non trovato' invece del popover rotto. Test eseguito nel sandbox Claude (38/38 passed su chromium+mobile-chrome).</t>
  </si>
  <si>
    <t xml:space="preserve">TC-N617</t>
  </si>
  <si>
    <t xml:space="preserve">Cliccare un campo reale dentro una card multi-campo dello step tutorial (es. checkbox 'Ingresso anticipato' in Servizi extra e pasto) NON deve avanzare da solo lo step: serve il pulsante esplicito 'Ho finito, continua -&gt;' (DEC-71)</t>
  </si>
  <si>
    <t xml:space="preserve">Login center_admin; flag TRAMA_ONE_ENABLED attivo; almeno un'attivita' esistente nel centro collegato; step configure_weeks gia' completato (percorso arrivato allo step configure_pricing)</t>
  </si>
  <si>
    <t xml:space="preserve">Apri un'attivita' esistente -&gt; arriva allo step 'Servizi extra e pasto' -&gt; click 'Inizia' -&gt; click sulla checkbox reale 'Ingresso anticipato (pre-servizio)' dentro la card -&gt; verifica che il popover resti sullo stesso step -&gt; click 'Ho finito, continua -&gt;'</t>
  </si>
  <si>
    <t xml:space="preserve">Dopo il click sulla checkbox il popover 'Servizi extra e pasto' resta visibile con il testo 'Compila con calma i campi di questa sezione, poi continua.' (lo step NON e' avanzato); solo il click esplicito su 'Ho finito, continua -&gt;' fa avanzare al passo successivo (Pubblica)</t>
  </si>
  <si>
    <t xml:space="preserve">Test automatizzato: tests/one/walkthrough-partner.spec.ts, incluso nel test TC-N615 (stessa run seriale). Bug reale segnalato da Fabrizio: 'se clicco una delle impostazioni dello step (es. servizi extra clicco ingresso anticipato..) va direttamente nello step successivo e non permette di finire la configurazione'. Fix: campo spotlightManualAdvance in lib/walkthrough/registry.ts + lib/walkthrough/data.ts, click-capture listener disattivato per questi step in PartnerSpotlight.tsx, nuovo pulsante 'Ho finito, continua -&gt;'.</t>
  </si>
  <si>
    <t xml:space="preserve">TC-N618</t>
  </si>
  <si>
    <t xml:space="preserve">Il popover NON deve rubare il focus a un campo reale mentre l'utente lo sta compilando dentro uno step 'manuale' -- il cursore non deve sparire ne' un menu a tendina nativo deve chiudersi da solo (DEC-72)</t>
  </si>
  <si>
    <t xml:space="preserve">Login center_admin; flag TRAMA_ONE_ENABLED attivo; step configure_pricing corrente e gia' avviato</t>
  </si>
  <si>
    <t xml:space="preserve">Apri un'attivita' esistente -&gt; arriva allo step 'Servizi extra e pasto' (gia' avviato) -&gt; clicca un campo di testo reale (es. un input orario di un servizio extra) e digita -&gt; attendi almeno 1-2 secondi senza cliccare altrove -&gt; verifica che il cursore/focus resti nel campo -&gt; apri il menu a tendina 'Pasto' e prova a scegliere un'opzione con calma (non un click immediato)</t>
  </si>
  <si>
    <t xml:space="preserve">Il cursore/focus resta nel campo di testo per tutto il tempo necessario a digitare, senza sparire da solo; il menu a tendina 'Pasto' resta aperto abbastanza a lungo da poter scegliere un'opzione con calma, senza chiudersi da solo prima del click sull'opzione</t>
  </si>
  <si>
    <t xml:space="preserve">Verifica manuale (richiede timing reale, non facilmente automatizzabile in modo affidabile con Playwright headless). Bug reale segnalato da Fabrizio: 'se clicco nel campo il cursore poi sembra sparire', 'la scelta del pasto appare ma non riesco a selezionare per tempo'. Causa: components/spotlight/PartnerSpotlight.tsx, l'effetto di focus sul popover dipendeva da targetRect (nuovo oggetto ad ogni measure(), che gira ogni 500ms via setInterval), rifocalizzando il popover a ripetizione e rubando il focus al campo reale. Fix: targetRect aggiornato solo se davvero cambiato (stessa referenza altrimenti) + focus del popover una sola volta per step (focusedStepRef, stesso pattern di scrolledStepRef).</t>
  </si>
  <si>
    <t xml:space="preserve">TC-N619</t>
  </si>
  <si>
    <t xml:space="preserve">Il badge 'target non trovato' deve comparire (con o senza link a seconda dello step) OGNI VOLTA che la pagina corrente non corrisponde alla route dello step corrente -- non deve sparire l'intero componente (DEC-72)</t>
  </si>
  <si>
    <t xml:space="preserve">Login center_admin; flag TRAMA_ONE_ENABLED attivo; step corrente con spotlightRoute che non combacia con la pagina su cui ci si trova</t>
  </si>
  <si>
    <t xml:space="preserve">Caso A: dopo aver salvato un'attivita' (step passato a configure_spot_days), restare sulla pagina di modifica (senza navigare al calendario) -&gt; verificare che compaia il badge con link 'Vai al Calendario disponibilita' →'. Caso B: con lo step ancora 'Informazioni di base' o 'Servizi extra e pasto', navigare su /center/profile (pagina senza alcun target Spotlight) -&gt; verificare che compaia il badge SENZA link</t>
  </si>
  <si>
    <t xml:space="preserve">In ENTRAMBI i casi compare il badge 'target non trovato' in alto a destra con titolo e descrizione dello step corrente -- mai una pagina completamente priva di badge/overlay mentre esiste uno step Spotlight attivo e la route non combacia</t>
  </si>
  <si>
    <t xml:space="preserve">Bug reale segnalato da Fabrizio: 'dopo aver fatto salva non mi fa capire che devo andare nel Calendario disponibilita''. Causa: components/spotlight/PartnerSpotlight.tsx, measure() impostava targetMissing=false (invece di true) quando la route non combacia, e 'if (!targetRect &amp;&amp; !targetMissing) return null' faceva si' che l'intero componente non renderizzasse nulla -- bug presente anche per il Caso B (riga 18 della matrice Visual Acceptance), mai realmente verificabile prima d'ora perche' gli unici step verificati manualmente in precedenza (create_activity/configure_weeks) usano un pattern di route 'prefisso*' che combacia quasi sempre, mascherando il bug.</t>
  </si>
  <si>
    <t xml:space="preserve">TC-N417</t>
  </si>
  <si>
    <t xml:space="preserve">computePopoverPosition/computeCutoutRect/matchesSpotlightRoute producono i placement/rect/match attesi per i casi noti (spazio sopra/sotto, clamp orizzontale, wildcard singola/centrale/globale)</t>
  </si>
  <si>
    <t xml:space="preserve">Nessuna (funzioni pure, nessun browser/DB richiesto)</t>
  </si>
  <si>
    <t xml:space="preserve">13/13 assert passano: placement top/bottom coerente con lo spazio disponibile, cutout con padding corretto, matchesSpotlightRoute coerente per pattern esatti/prefisso/prefisso+suffisso/wildcard globale</t>
  </si>
  <si>
    <t xml:space="preserve">Test automatizzato eseguito nel sandbox Claude (26/26 passed su chromium+mobile-chrome, nessun browser reale richiesto): tests/one/spotlight-position.spec.ts.</t>
  </si>
  <si>
    <t xml:space="preserve">TC-N418</t>
  </si>
  <si>
    <t xml:space="preserve">TRAMA ONE - Controlled Publication (fase E, wiring) - Command Center in menu Admin</t>
  </si>
  <si>
    <t xml:space="preserve">La voce 'Command Center' compare nel menu Admin (condizionata al flag TRAMA_ONE_ENABLED) e porta a /admin/one - chiude il gap noto in DEC-58 ('/admin/one raggiungibile solo per URL diretto, mai da una voce di menu')</t>
  </si>
  <si>
    <t xml:space="preserve">Login platform_admin; flag TRAMA_ONE_ENABLED attivo per l'utente di test (override, vedi DEC-34/DEC-57)</t>
  </si>
  <si>
    <t xml:space="preserve">Login Admin -&gt; apri /admin -&gt; cerca la voce 'Command Center' nel menu -&gt; click</t>
  </si>
  <si>
    <t xml:space="preserve">La voce e' visibile con href /admin/one; il click naviga a /admin/one senza redirect/errore</t>
  </si>
  <si>
    <t xml:space="preserve">Test automatizzato: tests/one/command-center.spec.ts, TC-N418.</t>
  </si>
  <si>
    <t xml:space="preserve">TC-N620</t>
  </si>
  <si>
    <t xml:space="preserve">Il badge 'target non trovato' per lo step 'Monitora dalla dashboard' mostra una nota di aiuto quando il nav item non e' visibile su mobile con il cassetto chiuso (DEC-73)</t>
  </si>
  <si>
    <t xml:space="preserve">Login center_admin; flag TRAMA_ONE_ENABLED attivo; percorso arrivato allo step finale 'dashboard'; viewport mobile (390px), cassetto laterale chiuso</t>
  </si>
  <si>
    <t xml:space="preserve">Con lo step 'dashboard' corrente e il cassetto laterale chiuso, osservare il badge 'target non trovato' in alto a destra</t>
  </si>
  <si>
    <t xml:space="preserve">Il badge mostra titolo 'Monitora dalla dashboard', la descrizione originale, e in piu' una nota testuale (nessun link, non serve navigare): 'Su schermi piccoli, apri il menu (hamburger) in alto per trovare la voce Dashboard nel cassetto laterale.' Aprendo il cassetto, il nav item viene evidenziato normalmente (comportamento DEC-70 invariato).</t>
  </si>
  <si>
    <t xml:space="preserve">Bug reale segnalato da Fabrizio: 'nella schermata dei giorni spot c'e' qualcosa che non funziona..l'elemento dashboard non e' evidenziato..l'ho visto solo aprendo il menu laterale'. Causa: il badge di fallback per il target 'dashboard' (visibile solo a cassetto aperto su mobile, DEC-70) non dava alcun indizio su COME renderlo visibile. Fix: nuovo campo opzionale spotlightMissingNote in lib/walkthrough/registry.ts/data.ts, mostrato nel badge in components/spotlight/PartnerSpotlight.tsx. Test automatizzato 'no browser' del dato nel registry: tests/one/walkthrough-partner.spec.ts, TC-N620 (verifica manuale del rendering reale del badge su mobile nel prossimo giro di test live, troppo fragile da automatizzare in modo affidabile qui).</t>
  </si>
  <si>
    <t xml:space="preserve">TC-N621</t>
  </si>
  <si>
    <t xml:space="preserve">Il riquadro (ring) del cutout attorno all'elemento evidenziato deve avere angoli visibilmente arrotondati quando l'elemento reale lo e' (es. Salva modifiche, rounded-md) -- non 'squadrato' (DEC-73)</t>
  </si>
  <si>
    <t xml:space="preserve">npx playwright test tests/one/spotlight-position.spec.ts -g padBorderRadius</t>
  </si>
  <si>
    <t xml:space="preserve">6/6 assert passano: 6px -&gt; 14px (caso reale 'Salva modifiche'); padding esplicito rispettato; 9999px (pulsante pillola) resta una pillola; shorthand a piu' valori incrementato token per token; token non in px (es. '%') invariato; stringa vuota invariata</t>
  </si>
  <si>
    <t xml:space="preserve">Bug reale segnalato da Fabrizio (dopo il fix DEC-70): 'Come vedi il riquadro intorno ai pulsanti e' ancora squadrato ci sono gli angoli'. Causa: il ring usa il border-radius REALE del target (getComputedStyle, DEC-70) ma il cutout e' quel rettangolo ingrandito di 8px per lato (computeCutoutRect) -- applicare lo STESSO raggio numerico a un box piu' grande appiattisce visivamente la curvatura (6px su un box alto ~56px e' quasi impercettibile). Fix: nuova funzione pura padBorderRadius in lib/spotlight/position.ts (raggio_nuovo = raggio_originale + padding), usata in components/spotlight/PartnerSpotlight.tsx. Test eseguito nel sandbox Claude (106/106 passed su chromium+mobile-chrome per l'intera suite no-browser tests/one/).</t>
  </si>
  <si>
    <t xml:space="preserve">TC-N622</t>
  </si>
  <si>
    <t xml:space="preserve">Nel passaggio automatico da uno step al successivo (DEC-72), il popover/cutout non deve mostrare per un frame la posizione del target APPENA CONCLUSO sovrapposta al testo del nuovo step (DEC-73)</t>
  </si>
  <si>
    <t xml:space="preserve">Login center_admin; flag TRAMA_ONE_ENABLED attivo; step 'Servizi extra e pasto' corrente e completabile</t>
  </si>
  <si>
    <t xml:space="preserve">Completare lo step 'Servizi extra e pasto' (click 'Ho finito, continua -&gt;') e osservare con attenzione (idealmente uno screen recording) la transizione verso lo step 'Pubblica'</t>
  </si>
  <si>
    <t xml:space="preserve">Nessun frame visibile in cui popover/cutout restano ancorati alla posizione del target precedente mentre mostrano gia' titolo/descrizione del nuovo step; il componente puo' sparire per un singolo frame e ricomparire correttamente posizionato, ma non deve mai mostrare una posizione sbagliata</t>
  </si>
  <si>
    <t xml:space="preserve">Bug reale segnalato da Fabrizio: 'Nel passaggio da step 3 a 4 la schermata del walkthrough cambia ma non son riuscito a registrarlo..comunque e' sovrapposto' (troppo rapido per uno screenshot). Causa: quando currentKey cambia, targetRect/targetMissing restavano quelli dello step concluso fino al tick successivo di measure() (schedulato via rAF, un frame dopo) -- un frame con testo nuovo e posizione vecchia. Fix: pattern React 'adjusting state while rendering' (confronto con l'ultimo currentKey renderizzato, azzeramento sincrono di targetRect/targetMissing durante il render stesso, non in un effetto) in components/spotlight/PartnerSpotlight.tsx. Verifica manuale (timing visivo di un singolo frame, non automatizzabile in modo affidabile con Playwright).</t>
  </si>
  <si>
    <t xml:space="preserve">TC-N623</t>
  </si>
  <si>
    <t xml:space="preserve">TRAMA ONE - Menu Impostazioni Gestore/Genitore (ProfileSettingsSection)</t>
  </si>
  <si>
    <t xml:space="preserve">Il sottotitolo della voce 'Preferenze' nel menu Impostazioni del Gestore menziona anche il tour guidato (riavviabile da li'), il profilo Genitore resta invariato (nessun tour da riavviare ancora) (DEC-73)</t>
  </si>
  <si>
    <t xml:space="preserve">Login center_admin; flag TRAMA_ONE_ENABLED attivo (mostra il bottone di riavvio tour dentro Preferenze)</t>
  </si>
  <si>
    <t xml:space="preserve">Login gestore -&gt; apri /center/account -&gt; osserva il sottotitolo della voce 'Preferenze' nel menu Impostazioni. Ripetere login genitore -&gt; /profile -&gt; stesso controllo</t>
  </si>
  <si>
    <t xml:space="preserve">Lato Gestore il sottotitolo e' 'Lingua, tema, notifiche, tour guidato'. Lato Genitore il sottotitolo resta 'Lingua, tema, notifiche' (nessuna menzione di tour guidato: lo Spotlight Parent non e' ancora stato costruito, task #441 backlog)</t>
  </si>
  <si>
    <t xml:space="preserve">Richiesta esplicita di Fabrizio: 'Nel sottotitolo del menu Preferenze va indicato anche tour guidato'. Fix: components/ProfileSettingsSection.tsx, sottotitolo condizionale su basePath (solo /center/account menziona il tour, dove vive gia' WalkthroughRestartButton dentro app/center/account/preferenze/page.tsx). Test automatizzato: tests/gestore/account.spec.ts, TC-138 aggiornato per asserire il nuovo testo completo; tests/genitori/profilo.spec.ts invariato (asserisce ancora il testo originale, corretto perche' lato Genitore non cambia).</t>
  </si>
  <si>
    <t xml:space="preserve">TC-N624</t>
  </si>
  <si>
    <t xml:space="preserve">Copertura E2E reale (non solo unit test) di 2 verifiche prima ritenute 'troppo fragili da automatizzare': raggio del cutout applicato davvero nel DOM, e badge/evidenziazione dello step finale 'dashboard' su mobile a cassetto chiuso/aperto (DEC-74)</t>
  </si>
  <si>
    <t xml:space="preserve">Login center_admin; flag TRAMA_ONE_ENABLED attivo; percorso arrivato allo step 'Configura i Giorni spot' (prosegue dallo stato lasciato da TC-N615, serial)</t>
  </si>
  <si>
    <t xml:space="preserve">Nel test TC-N615: prima di cliccare 'Salva modifiche', leggere via getComputedStyle il border-radius reale del ring (data-testid=spotlight-cutout-ring). Nel test TC-N624 (nuovo): completare 'Configura i Giorni spot' (Ho finito, continua), poi verificare lo step 'dashboard' -- su viewport mobile (&lt;768px) a cassetto chiuso, poi aprendolo; su desktop/tablet direttamente</t>
  </si>
  <si>
    <t xml:space="preserve">Il border-radius calcolato del ring e' 14px (6px reali del pulsante 'Salva modifiche' + 8px di padding del cutout, DEC-73) - prova diretta della curvatura, non solo della funzione pura. Su mobile a cassetto chiuso compare il badge con la nota 'apri il menu' (DEC-73); aprendo il cassetto (bottone 'Apri il menu') compare il popover reale ancorato alla voce Dashboard. Su desktop/tablet il popover compare subito, nessun badge necessario</t>
  </si>
  <si>
    <t xml:space="preserve">Richiesta esplicita di Fabrizio dopo DEC-73: 'non c'e' modo nessuno di renderlo automatizzato il test?' -- rivisto il giudizio iniziale (TC-N620, 'troppo fragile/lento'): non lo era, serviva solo completare la sequenza fino in fondo e aggiungere un data-testid al ring per poterlo selezionare. Aggiunto data-testid='spotlight-cutout-ring' in components/spotlight/PartnerSpotlight.tsx (nessun impatto visivo/comportamentale, solo per i test). Non ancora eseguito in questo ambiente (stessa limitazione nota: Chromium senza le dipendenze di sistema nel sandbox Claude) -- verificabile da Fabrizio col prossimo bash test-deploy.sh/deploy.sh (TC-N624 gira sotto sia chromium che mobile-chrome, con INCLUDE_MOBILE=1 per includere quest'ultimo).</t>
  </si>
  <si>
    <t xml:space="preserve">TC-N625</t>
  </si>
  <si>
    <t xml:space="preserve">TRAMA ONE - Segnalazioni BETA (estensione Partner)</t>
  </si>
  <si>
    <t xml:space="preserve">Il pulsante flottante 'Segnala un problema' (gia' presente lato genitore) e' raggiungibile anche dal portale Partner (/center/*), con area calcolata sulle rotte del menu Partner</t>
  </si>
  <si>
    <t xml:space="preserve">Login come gestore (center_admin), qualunque pagina sotto /center/*</t>
  </si>
  <si>
    <t xml:space="preserve">Apri una pagina qualunque del portale Partner (es. /center/activities) -&gt; individua il pulsante flottante viola in basso a destra (icona segnalazione) -&gt; clicca -&gt; compila un messaggio -&gt; invia</t>
  </si>
  <si>
    <t xml:space="preserve">Si apre il dialog 'Segnala un problema' con l'area corretta indicata (es. 'Attivita''), l'invio va a buon fine, il dialog mostra una conferma interna ('Segnalazione inviata, grazie!') e si chiude da solo; la riga compare in Admin &gt; Segnalazioni BETA con etichetta 'App gestori'</t>
  </si>
  <si>
    <t xml:space="preserve">Estensione richiesta da Fabrizio ('il pulsante per le segnalazioni... nel portale partner?'): app_source='gestore' gia' supportato da schema/RLS/Admin, nessuna migrazione necessaria (DEC-75). Copertura automatica solo per la funzione pura area-&gt;label (centerAreaLabelFromPath, tests/gestore/beta-feedback-center.spec.ts); l'interazione reale col pulsante (drag, apertura dialog, invio) richiede un browser reale, non eseguibile in questo sandbox.</t>
  </si>
  <si>
    <t xml:space="preserve">TC-511</t>
  </si>
  <si>
    <t xml:space="preserve">Login/Sicurezza - Visualizzazione password</t>
  </si>
  <si>
    <t xml:space="preserve">L'icona occhio nel campo password (login, cambio password Profilo/Account, reset password) alterna testo in chiaro/nascosto (Fabrizio: 'aggiungiamo l'opzione di visualizzare la password in tutti i punti in cui e richiesta?')</t>
  </si>
  <si>
    <t xml:space="preserve">Pagina /auth/login (tab Accedi o Registrati), oppure Profilo/Account &gt; Sicurezza, oppure link di reset password</t>
  </si>
  <si>
    <t xml:space="preserve">Scrivi una password nel campo -&gt; clicca l'icona a forma di occhio a destra del campo -&gt; osserva il testo -&gt; clicca di nuovo</t>
  </si>
  <si>
    <t xml:space="preserve">Il testo diventa visibile in chiaro al primo click (icona 'occhio barrato', aria-label 'Nascondi password'), torna nascosto (pallini) al secondo click (icona 'occhio', aria-label 'Mostra password'); il valore digitato non cambia</t>
  </si>
  <si>
    <t xml:space="preserve">Stesso toggle replicato in 3 punti indipendenti (LoginForm.tsx, ProfileSecuritySection.tsx, auth/reset-password/page.tsx) - nessun componente condiviso creato per non introdurre un'astrazione prematura su 3 stili di input leggermente diversi</t>
  </si>
  <si>
    <t xml:space="preserve">TC-512</t>
  </si>
  <si>
    <t xml:space="preserve">Candidati come centro (Partner) - Migrazione 21</t>
  </si>
  <si>
    <t xml:space="preserve">Il form pubblico /auth/candidati invia una candidatura e reindirizza alla pagina di conferma</t>
  </si>
  <si>
    <t xml:space="preserve">Nessun account/login richiesto</t>
  </si>
  <si>
    <t xml:space="preserve">Vai su /auth/candidati -&gt; compila Nome del centro, Città/zona, Email di contatto -&gt; clicca 'Invia candidatura'</t>
  </si>
  <si>
    <t xml:space="preserve">Redirect a /auth/candidati/conferma/[id]; la pagina mostra il nome del centro appena inserito e lo stato 'In revisione'; nessun account viene creato (verificabile: nessuna nuova riga in auth.users)</t>
  </si>
  <si>
    <t xml:space="preserve">Fabrizio: 'il registrati deve essere un candidati per cui deve far partire processo di onboarding'. Scrive una riga in center_leads con lead_type='self_candidacy' e suggested_by=null (service client, lib/supabase/service.ts), mai un account. Vedi supabase/migration_21_center_candidacy.sql. Test: tests/gestore/candidati.spec.ts TC-512, non eseguito in questo sandbox (Chromium senza dipendenze di sistema), richiede anche il deploy col service role key configurato.</t>
  </si>
  <si>
    <t xml:space="preserve">TC-513</t>
  </si>
  <si>
    <t xml:space="preserve">Un link di conferma con id inesistente/non valido mostra 'candidatura non trovata' invece di un errore</t>
  </si>
  <si>
    <t xml:space="preserve">Vai su /auth/candidati/conferma/00000000-0000-0000-0000-000000000000 (UUID inesistente)</t>
  </si>
  <si>
    <t xml:space="preserve">Pagina 'Candidatura non trovata' con spiegazione e link 'Candidati come centro' per inviarne una nuova</t>
  </si>
  <si>
    <t xml:space="preserve">getCandidacyStatusPublic (lib/data/center-leads.ts) restituisce null per id inesistente o non di tipo self_candidacy: la pagina non fa mai trapelare un errore tecnico. Test: tests/gestore/candidati.spec.ts TC-513, non eseguito in questo sandbox (stessa limitazione Chromium).</t>
  </si>
  <si>
    <t xml:space="preserve">TC-514</t>
  </si>
  <si>
    <t xml:space="preserve">Il form Candidati richiede nome del centro ed email prima di poter essere inviato</t>
  </si>
  <si>
    <t xml:space="preserve">Vai su /auth/candidati -&gt; clicca subito 'Invia candidatura' senza compilare nulla</t>
  </si>
  <si>
    <t xml:space="preserve">Validazione nativa del browser blocca l'invio (campi 'required'); si resta sulla stessa pagina, nessuna richiesta al server</t>
  </si>
  <si>
    <t xml:space="preserve">Validazione minima lato client (attributi required/type=email), nessuna logica applicativa aggiuntiva. Test: tests/gestore/candidati.spec.ts TC-514, non eseguito in questo sandbox (stessa limitazione Chromium).</t>
  </si>
  <si>
    <t xml:space="preserve">NEXTGEN - Onboarding neo-genitore (parita' con LEGACY)</t>
  </si>
  <si>
    <t xml:space="preserve">La Home NEXTGEN mostra il prompt 'Completa il tuo profilo' con la stessa condizione di LEGACY (profilo incompleto o zero bambini in anagrafica)</t>
  </si>
  <si>
    <t xml:space="preserve">Login genitore di test (stato profilo/bambini non fissato a priori)</t>
  </si>
  <si>
    <t xml:space="preserve">Login genitore -&gt; vai su / (LEGACY), osserva se compare 'Completa il tuo profilo' -&gt; vai su /nextgen, osserva la stessa condizione</t>
  </si>
  <si>
    <t xml:space="preserve">La visibilita' del prompt su NEXTGEN e' identica a quella su LEGACY per lo stesso utente (stesso dato sorgente: isParentProfileIncomplete + getKidsForUser)</t>
  </si>
  <si>
    <t xml:space="preserve">Gap segnalato da Fabrizio (05/08, screenshot Legacy vs NextGen): la Home NEXTGEN non aveva mai un equivalente di components/HomeProfilePrompt.tsx -- un neo-genitore vedeva 'Organizzata al 0%' senza alcuna spinta a completare profilo/aggiungere bambini. Creato components/nextgen/NextgenProfileCompletionPrompt.tsx (stessa logica dati, stile riallineato al resto della Home NEXTGEN: Poppins/trama-violet invece dei token Legacy pre-rebrand), montato in app/nextgen/HomeDashboardClient.tsx subito dopo l'header, prima della Hero Card. Test: tests/nextgen/onboarding-parity.spec.ts, non eseguito in questo sandbox (Chromium senza dipendenze di sistema).</t>
  </si>
  <si>
    <t xml:space="preserve">I link del prompt NEXTGEN puntano a /nextgen/profile (non /profile) e la pagina gestisce gli stessi query param del Legacy</t>
  </si>
  <si>
    <t xml:space="preserve">Login genitore di test con profilo incompleto e/o zero bambini (altrimenti il prompt non compare, vedi TC-N610)</t>
  </si>
  <si>
    <t xml:space="preserve">Vai su /nextgen -&gt; se il prompt e' visibile, clicca 'Nome, cognome e ruolo' oppure 'Aggiungi i tuoi bambini'</t>
  </si>
  <si>
    <t xml:space="preserve">Il link 'Nome, cognome e ruolo' porta a /nextgen/profile?complete=1 e apre l'editor nome/ruolo; il link 'Aggiungi i tuoi bambini' porta a /nextgen/profile?addKid=1 e apre il form aggiungi bambino -- stessi query param gia' supportati da app/nextgen/profile/page.tsx (nessuna nuova pagina creata)</t>
  </si>
  <si>
    <t xml:space="preserve">Riuso deliberato: app/nextgen/profile/page.tsx supportava gia' ?complete=1/?addKid=1 (passati a ProfileNextgenClient) da quando esiste il Profilo NEXTGEN (Sprint 6) -- nessuna modifica a quella pagina, solo i due nuovi link nel prompt. Test: tests/nextgen/onboarding-parity.spec.ts, non eseguito in questo sandbox (stessa limitazione Chromium).</t>
  </si>
  <si>
    <t xml:space="preserve">TRAMA ONE - Feature Control Center (Addendum Sezione B)</t>
  </si>
  <si>
    <t xml:space="preserve">getBetaEnabledFlagNames() dedup risolve correttamente ai flag BETA_ENABLED</t>
  </si>
  <si>
    <t xml:space="preserve">Nessuna (funzione pura sul catalogo statico)</t>
  </si>
  <si>
    <t xml:space="preserve">Chiamare getBetaEnabledFlagNames() da lib/feature-registry/catalog.ts</t>
  </si>
  <si>
    <t xml:space="preserve">Ritorna ['TRAMA_ONE_ENABLED'] (unico flag che governa oggi voci BETA_ENABLED), nessun duplicato</t>
  </si>
  <si>
    <t xml:space="preserve">Test puro, nessun browser (tests/one/feature-control-center.spec.ts). Eseguito con successo in questo sandbox (chromium + mobile-chrome, entrambi passed).</t>
  </si>
  <si>
    <t xml:space="preserve">Ogni voce del catalogo ha uno status tra i 9 valori tipizzati della nuova tassonomia</t>
  </si>
  <si>
    <t xml:space="preserve">Confrontare FEATURE_CATALOG[*].status con le chiavi di groupCatalogByStatus()</t>
  </si>
  <si>
    <t xml:space="preserve">Nessuna voce ha uno status fuori dai 9 valori (LIVE/BETA_ENABLED/READY_OFF/MOCK_DEMO/INCOMPLETE/BLOCKED/EXPIRED/POST_BETA/DEPRECATED)</t>
  </si>
  <si>
    <t xml:space="preserve">Verifica il remapping completo da 5 a 9 stati (v. FEATURE_CONTROL_CENTER_SPEC.md). Eseguito con successo in questo sandbox.</t>
  </si>
  <si>
    <t xml:space="preserve">Le voci MOCK_DEMO con demoBannerRequired=true hanno sempre riskLevel='high'</t>
  </si>
  <si>
    <t xml:space="preserve">Filtrare FEATURE_CATALOG per demoBannerRequired, verificare status e riskLevel di ciascuna</t>
  </si>
  <si>
    <t xml:space="preserve">Ogni voce con demoBannerRequired=true ha status MOCK_DEMO e riskLevel high (oggi: solo activities_mock_fallback)</t>
  </si>
  <si>
    <t xml:space="preserve">Coerenza interna del catalogo tra i due nuovi campi metadata. Eseguito con successo in questo sandbox.</t>
  </si>
  <si>
    <t xml:space="preserve">I controlli batch Beta sono visibili in /admin/feature-flags e lo scope globale richiede conferma testuale rinforzata</t>
  </si>
  <si>
    <t xml:space="preserve">Login platform_admin; flag TRAMA_ONE_ENABLED con override attivo (Controlled Beta Cohort)</t>
  </si>
  <si>
    <t xml:space="preserve">Login platform_admin -&gt; /admin/feature-flags -&gt; osservare la sezione 'Azioni batch' -&gt; cliccare 'Attiva tutte le funzionalità Beta pronte' senza scrivere GLOBAL nel campo di conferma</t>
  </si>
  <si>
    <t xml:space="preserve">La sezione mostra i due bottoni (attiva/disattiva) e, con scope 'global' selezionato, un campo 'Scrivi GLOBAL per confermare'; il click senza aver scritto GLOBAL mostra un errore e NON esegue l'azione</t>
  </si>
  <si>
    <t xml:space="preserve">Requisito esplicito Addendum Sezione B: conferma rinforzata per lo scope che impatta tutti gli utenti. Non eseguito in questo sandbox (Chromium senza dipendenze di sistema), verificabile da Fabrizio col prossimo deploy.sh/test-deploy.sh.</t>
  </si>
  <si>
    <t xml:space="preserve">TC-N626</t>
  </si>
  <si>
    <t xml:space="preserve">Gestore - Calendario disponibilita (OD-02 bulk)</t>
  </si>
  <si>
    <t xml:space="preserve">applyBulkPatch imposta la Giornata particolare su tutti e soli i giorni selezionati</t>
  </si>
  <si>
    <t xml:space="preserve">Nessuna (funzione pura, lib/availability-bulk.ts)</t>
  </si>
  <si>
    <t xml:space="preserve">Selezionare 2 giorni su 3, azione 'set' con emoji/etichetta, chiamare applyBulkPatch</t>
  </si>
  <si>
    <t xml:space="preserve">I 2 giorni selezionati hanno la nuova Giornata particolare; il terzo giorno (non selezionato) resta invariato</t>
  </si>
  <si>
    <t xml:space="preserve">OD-02</t>
  </si>
  <si>
    <t xml:space="preserve">Test A richiesto da Fabrizio (REVISIONE DECISIONE OD-02: FIX PRIMA DELLA BETA, 06/08). Test puro, nessun browser (tests/gestore/calendario-bulk.spec.ts). Eseguito con successo in questo sandbox (chromium + mobile-chrome).</t>
  </si>
  <si>
    <t xml:space="preserve">TC-N627</t>
  </si>
  <si>
    <t xml:space="preserve">applyBulkPatch con azione 'remove' toglie la Giornata particolare solo dai giorni selezionati</t>
  </si>
  <si>
    <t xml:space="preserve">Nessuna (funzione pura)</t>
  </si>
  <si>
    <t xml:space="preserve">2 giorni con Giornata particolare preesistente + 1 diverso non selezionato, azione 'remove' sui primi 2</t>
  </si>
  <si>
    <t xml:space="preserve">I 2 giorni selezionati perdono emoji/etichetta; il terzo giorno mantiene il proprio valore preesistente</t>
  </si>
  <si>
    <t xml:space="preserve">Test C richiesto da Fabrizio. Test puro. Eseguito con successo in questo sandbox.</t>
  </si>
  <si>
    <t xml:space="preserve">TC-N628</t>
  </si>
  <si>
    <t xml:space="preserve">Impostare la Giornata particolare (senza includere gli altri campi) non modifica apertura/capacita/sconto/last-minute</t>
  </si>
  <si>
    <t xml:space="preserve">2 giorni con valori eterogenei di isOpen/capacity/discountPercent/lastMinute, applica solo specialDayAction='set' (gli altri toggle include restano false)</t>
  </si>
  <si>
    <t xml:space="preserve">isOpen/capacity/spotsLeft/discountPercent/lastMinute restano identici ai valori di partenza su entrambi i giorni; solo la Giornata particolare cambia</t>
  </si>
  <si>
    <t xml:space="preserve">Test D richiesto esplicitamente da Fabrizio (root cause del bug originale: il bulk draft sovrascriveva sempre questi 4 campi). Test puro. Eseguito con successo in questo sandbox.</t>
  </si>
  <si>
    <t xml:space="preserve">TC-N629</t>
  </si>
  <si>
    <t xml:space="preserve">summarizeSpecialDay segnala uno stato 'misto' quando i giorni selezionati hanno valori diversi, poi uniformita' dopo l'applicazione</t>
  </si>
  <si>
    <t xml:space="preserve">3 giorni selezionati con emoji/etichetta diverse tra loro -&gt; summarizeSpecialDay -&gt; applyBulkPatch 'set' -&gt; summarizeSpecialDay di nuovo</t>
  </si>
  <si>
    <t xml:space="preserve">Prima: mixed=true. Dopo l'applicazione: mixed=false con l'emoji/etichetta appena impostata su tutti</t>
  </si>
  <si>
    <t xml:space="preserve">Test E richiesto da Fabrizio (stato mixed/indeterminato). Include anche le varianti 'valore gia' uniforme' e 'nessuna selezione'. Test puro. Eseguito con successo in questo sandbox.</t>
  </si>
  <si>
    <t xml:space="preserve">TC-N630</t>
  </si>
  <si>
    <t xml:space="preserve">applyBulkPatch non modifica alcun campo dei giorni non selezionati</t>
  </si>
  <si>
    <t xml:space="preserve">1 giorno selezionato + 1 giorno non selezionato con tutti i campi valorizzati, draft con tutti i campi inclusi + azione 'remove'</t>
  </si>
  <si>
    <t xml:space="preserve">Il giorno non selezionato risulta esattamente identico (deep equal) a prima della chiamata</t>
  </si>
  <si>
    <t xml:space="preserve">Test F richiesto da Fabrizio. Test puro. Eseguito con successo in questo sandbox.</t>
  </si>
  <si>
    <t xml:space="preserve">TC-N631</t>
  </si>
  <si>
    <t xml:space="preserve">bulkDraftHasChanges e' false per il draft di default e true non appena un campo viene incluso</t>
  </si>
  <si>
    <t xml:space="preserve">Verificare bulkDraftHasChanges su defaultBulkDraft(), poi con un include=true, poi con specialDayAction='remove'</t>
  </si>
  <si>
    <t xml:space="preserve">false sul draft vuoto, true in entrambi gli altri due casi (usato per disabilitare il bottone Applica quando non c'e' nulla da salvare)</t>
  </si>
  <si>
    <t xml:space="preserve">Copre il requisito 'nessun campo applicato per default'. Test puro. Eseguito con successo in questo sandbox.</t>
  </si>
  <si>
    <t xml:space="preserve">TC-N632</t>
  </si>
  <si>
    <t xml:space="preserve">'Campo non modificato' di default: applicare il draft di default non cambia alcun valore, nemmeno sui giorni selezionati</t>
  </si>
  <si>
    <t xml:space="preserve">1 giorno con tutti i campi valorizzati (incluso Giornata particolare), selezionato, applyBulkPatch(defaultBulkDraft())</t>
  </si>
  <si>
    <t xml:space="preserve">Il giorno risultante e' identico (deep equal) a quello di partenza</t>
  </si>
  <si>
    <t xml:space="preserve">Verifica la semantica 'non modificato' richiesta esplicitamente da Fabrizio (nessun valore vuoto ambiguo). Test puro. Eseguito con successo in questo sandbox.</t>
  </si>
  <si>
    <t xml:space="preserve">TC-N633</t>
  </si>
  <si>
    <t xml:space="preserve">applyBulkPatch non produce righe duplicate ne' perde giorni</t>
  </si>
  <si>
    <t xml:space="preserve">3 giorni in ingresso, 2 selezionati, applyBulkPatch</t>
  </si>
  <si>
    <t xml:space="preserve">L'array in uscita ha sempre 3 elementi, stesso insieme e ordine di date dell'ingresso</t>
  </si>
  <si>
    <t xml:space="preserve">Test puro. Eseguito con successo in questo sandbox.</t>
  </si>
  <si>
    <t xml:space="preserve">TC-N634</t>
  </si>
  <si>
    <t xml:space="preserve">Il Partner puo' applicare la Giornata particolare a piu' giorni via bulk, salvarla, e ritrovarla dopo refresh e sul giorno singolo</t>
  </si>
  <si>
    <t xml:space="preserve">Login Gestore di test collegato a un centro con attivita' seminata (supabase/seed-test-data.sql)</t>
  </si>
  <si>
    <t xml:space="preserve">Login gestore -&gt; Calendario disponibilita' -&gt; Seleziona piu' giorni -&gt; seleziona una settimana -&gt; Giornata particolare: Imposta + emoji + etichetta -&gt; Applica -&gt; Salva calendario -&gt; ricarica pagina</t>
  </si>
  <si>
    <t xml:space="preserve">Il badge/emoji della Giornata particolare compare su tutti i giorni della settimana selezionata, persiste dopo il refresh (letto da Supabase, non solo stato locale)</t>
  </si>
  <si>
    <t xml:space="preserve">Test B richiesto da Fabrizio (persistenza). VERIFICATO DAL VIVO da Fabrizio il 06/08/2026 dopo deploy commit 24464bf: PASS (persistenza confermata dopo refresh e sul giorno singolo).</t>
  </si>
  <si>
    <t xml:space="preserve">TC-N635</t>
  </si>
  <si>
    <t xml:space="preserve">Il pannello a giorno singolo continua a impostare/rimuovere la Giornata particolare senza modalita' bulk attiva (regressione)</t>
  </si>
  <si>
    <t xml:space="preserve">Login Gestore di test collegato a un centro con attivita' seminata</t>
  </si>
  <si>
    <t xml:space="preserve">Login gestore -&gt; Calendario disponibilita' (modalita' bulk NON attivata) -&gt; click su un giorno -&gt; imposta emoji+etichetta -&gt; Salva -&gt; poi rimuovi (bottone '-') -&gt; Salva</t>
  </si>
  <si>
    <t xml:space="preserve">Il pannello 'Modifica &lt;data&gt;' si apre come prima del fix; impostare e rimuovere la Giornata particolare dal giorno singolo funziona esattamente come prima</t>
  </si>
  <si>
    <t xml:space="preserve">Test G richiesto da Fabrizio (nessuna regressione sul giorno singolo). VERIFICATO DAL VIVO da Fabrizio il 06/08/2026 dopo deploy commit 24464bf: PASS.</t>
  </si>
  <si>
    <t xml:space="preserve">TC-N636</t>
  </si>
  <si>
    <t xml:space="preserve">Il pannello bulk della Giornata particolare e' utilizzabile su viewport mobile 390x844</t>
  </si>
  <si>
    <t xml:space="preserve">Viewport 390x844 -&gt; Login gestore -&gt; Calendario disponibilita' -&gt; Seleziona piu' giorni -&gt; seleziona un giorno -&gt; verificare che il bottone 'Imposta' sia visibile e che la pagina non abbia overflow orizzontale</t>
  </si>
  <si>
    <t xml:space="preserve">Il controllo e' visibile e raggiungibile, nessun overflow orizzontale (scrollWidth documento &lt;= 400px)</t>
  </si>
  <si>
    <t xml:space="preserve">Test H richiesto da Fabrizio (mobile). VERIFICATO DAL VIVO da Fabrizio il 06/08/2026 dopo deploy commit 24464bf: PASS (pannello bulk Calendario ok su mobile; durante questo test è emerso un bug distinto e non correlato nel menu 'Scatta foto' della pagina Profilo, registrato come TC-N638 e fixato separatamente in questo stesso passaggio).</t>
  </si>
  <si>
    <t xml:space="preserve">TC-N637</t>
  </si>
  <si>
    <t xml:space="preserve">Admin - Onboarding centri (TRAMA ONE)</t>
  </si>
  <si>
    <t xml:space="preserve">L'Admin vede e puo' agire su una verifica identita' 'pending' anche se il centro non e' ancora in stato SUBMITTED</t>
  </si>
  <si>
    <t xml:space="preserve">Un centro con una richiesta di verifica identita' sottomessa dal Partner (nota/documento) mentre il centro e' ancora CLAIMED/CHANGES_REQUESTED (non SUBMITTED)</t>
  </si>
  <si>
    <t xml:space="preserve">Partner: onboarding -&gt; scheda 'Verifica identita'' -&gt; scrive nota + allega documento (senza premere 'Invia per verifica' sull'intero onboarding) -&gt; Admin: /admin/one/onboarding</t>
  </si>
  <si>
    <t xml:space="preserve">Il centro compare in 'Altri stati' con la riga 'Identita: pending', la nota, il link 'Vedi documento' e i bottoni 'Verifica identita''/'Rifiuta identita'' — non piu' invisibile come prima del fix</t>
  </si>
  <si>
    <t xml:space="preserve">RISOLTA</t>
  </si>
  <si>
    <t xml:space="preserve">Bug reale scoperto da Fabrizio il 06/08/2026 (screenshot: centro 'Centro estivo prova candidatura', identita' 'Sono io' sottomessa, centro CLAIMED, invisibile in Admin sia in 'In revisione' che in 'Altri stati'). Root cause: submitIdentityVerificationAction (app/actions/onboarding.ts) e' indipendente dallo stato onboarding generale; il blocco identita' in AdminOnboardingReviewClient.tsx era renderizzato solo nel loop 'In revisione' (status===SUBMITTED). Fix: blocco identita'/documento/bottoni aggiunto anche al loop 'Altri stati', condizionato su identity.status, senza toccare la state machine onboarding generale. Verificato: tsc/eslint puliti, nessun test E2E dedicato in questo sandbox (richiede un centro di test in stato CLAIMED con identita' pending — non presente nei fixture attuali), verificabile da Fabrizio al prossimo deploy con lo stesso centro dello screenshot.</t>
  </si>
  <si>
    <t xml:space="preserve">TC-N638</t>
  </si>
  <si>
    <t xml:space="preserve">Genitore - Profilo (foto)</t>
  </si>
  <si>
    <t xml:space="preserve">Il menu 'Scatta foto'/'Galleria' non e' coperto dal bottone globale 'Torna a V1' su mobile</t>
  </si>
  <si>
    <t xml:space="preserve">Login Genitore, viewport mobile (~390px)</t>
  </si>
  <si>
    <t xml:space="preserve">Profilo -&gt; tap sull'icona fotocamera sull'avatar per aprire il menu 'Scatta foto'/'Scegli dalla galleria'</t>
  </si>
  <si>
    <t xml:space="preserve">Il menu si apre completamente visibile sotto l'avatar, sopra qualunque altro elemento fisso della pagina (incluso il bottone 'Torna a V1'/'Passa a NextGen')</t>
  </si>
  <si>
    <t xml:space="preserve">Bug reale segnalato da Fabrizio con screenshot il 06/08/2026 (scoperto durante il test mobile di OD-02, non correlato). Root cause: components/AvatarUploadButton.tsx e components/VersionToggle.tsx usavano entrambi z-50; VersionToggle (position:fixed, montato dopo nel DOM radice in app/layout.tsx) vinceva a parita' di z-index e copriva il menu quando le due zone si sovrapponevano in alto sullo schermo. Fix: z-index del menu portato a z-[60] (sopra il toggle). Verificato: tsc/eslint puliti. Fix puramente CSS (z-index), non testabile in modo significativo senza screenshot/visual regression — verificabile da Fabrizio al prossimo deploy sullo stesso screenshot. AGGIORNAMENTO 06/08/2026 (stesso giorno): il fix z-index non copriva questo caso — Fabrizio ha rimandato un secondo screenshot che mostra il menu tagliato da un overflow-hidden DIVERSO (DecorativeIntroCard, wrapper della pagina Profilo NEXTGEN attorno a ProfileHeaderClient), non dal bottone Torna a V1. Root cause: qualunque antenato con overflow-hidden può tagliare un menu absolute. Fix definitivo: il menu è ora un React portal su document.body (position:fixed, coordinate da getBoundingClientRect), immune per costruzione a overflow/z-index di QUALUNQUE antenato presente o futuro. Si chiude su scroll/resize per evitare posizione stale.</t>
  </si>
  <si>
    <t xml:space="preserve">TC-N639</t>
  </si>
  <si>
    <t xml:space="preserve">Genitore - Prenotazioni NEXTGEN-native</t>
  </si>
  <si>
    <t xml:space="preserve">/nextgen/prenotazioni mostra il guscio NEXTGEN (bottom nav con 'Prenotazioni' attiva) e il logo TRAMA nell'header, non lo shell LEGACY</t>
  </si>
  <si>
    <t xml:space="preserve">Login Genitore di test (account reale su deploy con Supabase configurato)</t>
  </si>
  <si>
    <t xml:space="preserve">Login genitore -&gt; naviga a /nextgen/prenotazioni</t>
  </si>
  <si>
    <t xml:space="preserve">Il contenuto di 'Le mie prenotazioni' e' visibile; la bottom nav e' quella NEXTGEN (5 voci) con 'Prenotazioni' evidenziata come voce attiva (trama-violet); il logo TRAMA compare accanto al titolo nell'header (PageHeader#showBrandIcon)</t>
  </si>
  <si>
    <t xml:space="preserve">Chiude il gap segnalato da Fabrizio ('le prenotazioni vanno ancora sul vecchio schema'): nuova rotta app/nextgen/prenotazioni/page.tsx che monta lo STESSO PrenotazioniClient (contenuto invariato, gia' TRAMA-current) sotto il guscio NEXTGEN invece di quello LEGACY. Non eseguito in questo sandbox (Playwright senza dipendenze browser di sistema, limitazione nota) -- verificabile da Fabrizio al prossimo deploy.</t>
  </si>
  <si>
    <t xml:space="preserve">TC-N640</t>
  </si>
  <si>
    <t xml:space="preserve">Il link 'Prenotazioni' dal Planner/Home/Profilo NEXTGEN porta a /nextgen/prenotazioni, non piu' a /prenotazioni (LEGACY)</t>
  </si>
  <si>
    <t xml:space="preserve">Login Genitore di test</t>
  </si>
  <si>
    <t xml:space="preserve">Login genitore -&gt; /nextgen/profile -&gt; tap su 'Le mie prenotazioni'</t>
  </si>
  <si>
    <t xml:space="preserve">L'URL finale e' /nextgen/prenotazioni (non /prenotazioni)</t>
  </si>
  <si>
    <t xml:space="preserve">Verifica dei 6 link interni aggiornati (NextgenBottomNav, PlannerClient x2, ProfileNextgenClient, HomeDashboardClient, lib/nextgen/reminders.ts x2). Non eseguito in questo sandbox, stessa limitazione di TC-N639.</t>
  </si>
  <si>
    <t xml:space="preserve">TC-N641</t>
  </si>
  <si>
    <t xml:space="preserve">areaLabelFromPath riconosce /nextgen/prenotazioni come 'Le mie prenotazioni' (segnalazioni BETA)</t>
  </si>
  <si>
    <t xml:space="preserve">areaLabelFromPath('/nextgen/prenotazioni')</t>
  </si>
  <si>
    <t xml:space="preserve">Ritorna 'Le mie prenotazioni' (stessa etichetta della vecchia rotta LEGACY sottostante)</t>
  </si>
  <si>
    <t xml:space="preserve">Test puro [no browser]. Eseguito con successo in questo sandbox (1 passed).</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</si>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</sst>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sz val="11"/>
      <name val="Calibri"/>
      <family val="0"/>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83"/>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t="str">
        <f aca="false">IF(G102="BUG","BUG-"&amp;A102,IF(G102="FUNCTIONAL","FUNCTIONAL-"&amp;A102,""))</f>
        <v/>
      </c>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t="str">
        <f aca="false">IF(G103="BUG","BUG-"&amp;A103,IF(G103="FUNCTIONAL","FUNCTIONAL-"&amp;A103,""))</f>
        <v/>
      </c>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t="str">
        <f aca="false">IF(G104="BUG","BUG-"&amp;A104,IF(G104="FUNCTIONAL","FUNCTIONAL-"&amp;A104,""))</f>
        <v/>
      </c>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t="str">
        <f aca="false">IF(G105="BUG","BUG-"&amp;A105,IF(G105="FUNCTIONAL","FUNCTIONAL-"&amp;A105,""))</f>
        <v/>
      </c>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t="str">
        <f aca="false">IF(G106="BUG","BUG-"&amp;A106,IF(G106="FUNCTIONAL","FUNCTIONAL-"&amp;A106,""))</f>
        <v/>
      </c>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t="str">
        <f aca="false">IF(G107="BUG","BUG-"&amp;A107,IF(G107="FUNCTIONAL","FUNCTIONAL-"&amp;A107,""))</f>
        <v/>
      </c>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t="str">
        <f aca="false">IF(G108="BUG","BUG-"&amp;A108,IF(G108="FUNCTIONAL","FUNCTIONAL-"&amp;A108,""))</f>
        <v/>
      </c>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t="str">
        <f aca="false">IF(G109="BUG","BUG-"&amp;A109,IF(G109="FUNCTIONAL","FUNCTIONAL-"&amp;A109,""))</f>
        <v/>
      </c>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t="str">
        <f aca="false">IF(G110="BUG","BUG-"&amp;A110,IF(G110="FUNCTIONAL","FUNCTIONAL-"&amp;A110,""))</f>
        <v/>
      </c>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t="str">
        <f aca="false">IF(G111="BUG","BUG-"&amp;A111,IF(G111="FUNCTIONAL","FUNCTIONAL-"&amp;A111,""))</f>
        <v/>
      </c>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t="str">
        <f aca="false">IF(G112="BUG","BUG-"&amp;A112,IF(G112="FUNCTIONAL","FUNCTIONAL-"&amp;A112,""))</f>
        <v/>
      </c>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t="str">
        <f aca="false">IF(G113="BUG","BUG-"&amp;A113,IF(G113="FUNCTIONAL","FUNCTIONAL-"&amp;A113,""))</f>
        <v/>
      </c>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t="str">
        <f aca="false">IF(G114="BUG","BUG-"&amp;A114,IF(G114="FUNCTIONAL","FUNCTIONAL-"&amp;A114,""))</f>
        <v/>
      </c>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t="str">
        <f aca="false">IF(G115="BUG","BUG-"&amp;A115,IF(G115="FUNCTIONAL","FUNCTIONAL-"&amp;A115,""))</f>
        <v/>
      </c>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t="str">
        <f aca="false">IF(G116="BUG","BUG-"&amp;A116,IF(G116="FUNCTIONAL","FUNCTIONAL-"&amp;A116,""))</f>
        <v/>
      </c>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t="str">
        <f aca="false">IF(G117="BUG","BUG-"&amp;A117,IF(G117="FUNCTIONAL","FUNCTIONAL-"&amp;A117,""))</f>
        <v/>
      </c>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t="str">
        <f aca="false">IF(G118="BUG","BUG-"&amp;A118,IF(G118="FUNCTIONAL","FUNCTIONAL-"&amp;A118,""))</f>
        <v/>
      </c>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t="str">
        <f aca="false">IF(G119="BUG","BUG-"&amp;A119,IF(G119="FUNCTIONAL","FUNCTIONAL-"&amp;A119,""))</f>
        <v/>
      </c>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t="str">
        <f aca="false">IF(G120="BUG","BUG-"&amp;A120,IF(G120="FUNCTIONAL","FUNCTIONAL-"&amp;A120,""))</f>
        <v>BUG-TC-119</v>
      </c>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t="str">
        <f aca="false">IF(G121="BUG","BUG-"&amp;A121,IF(G121="FUNCTIONAL","FUNCTIONAL-"&amp;A121,""))</f>
        <v>BUG-TC-120</v>
      </c>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t="str">
        <f aca="false">IF(G122="BUG","BUG-"&amp;A122,IF(G122="FUNCTIONAL","FUNCTIONAL-"&amp;A122,""))</f>
        <v/>
      </c>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t="str">
        <f aca="false">IF(G123="BUG","BUG-"&amp;A123,IF(G123="FUNCTIONAL","FUNCTIONAL-"&amp;A123,""))</f>
        <v/>
      </c>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t="str">
        <f aca="false">IF(G124="BUG","BUG-"&amp;A124,IF(G124="FUNCTIONAL","FUNCTIONAL-"&amp;A124,""))</f>
        <v/>
      </c>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t="str">
        <f aca="false">IF(G125="BUG","BUG-"&amp;A125,IF(G125="FUNCTIONAL","FUNCTIONAL-"&amp;A125,""))</f>
        <v/>
      </c>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t="str">
        <f aca="false">IF(G126="BUG","BUG-"&amp;A126,IF(G126="FUNCTIONAL","FUNCTIONAL-"&amp;A126,""))</f>
        <v/>
      </c>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t="str">
        <f aca="false">IF(G127="BUG","BUG-"&amp;A127,IF(G127="FUNCTIONAL","FUNCTIONAL-"&amp;A127,""))</f>
        <v/>
      </c>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t="str">
        <f aca="false">IF(G128="BUG","BUG-"&amp;A128,IF(G128="FUNCTIONAL","FUNCTIONAL-"&amp;A128,""))</f>
        <v/>
      </c>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t="str">
        <f aca="false">IF(G129="BUG","BUG-"&amp;A129,IF(G129="FUNCTIONAL","FUNCTIONAL-"&amp;A129,""))</f>
        <v/>
      </c>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t="str">
        <f aca="false">IF(G130="BUG","BUG-"&amp;A130,IF(G130="FUNCTIONAL","FUNCTIONAL-"&amp;A130,""))</f>
        <v/>
      </c>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t="str">
        <f aca="false">IF(G131="BUG","BUG-"&amp;A131,IF(G131="FUNCTIONAL","FUNCTIONAL-"&amp;A131,""))</f>
        <v/>
      </c>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t="str">
        <f aca="false">IF(G132="BUG","BUG-"&amp;A132,IF(G132="FUNCTIONAL","FUNCTIONAL-"&amp;A132,""))</f>
        <v/>
      </c>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t="str">
        <f aca="false">IF(G133="BUG","BUG-"&amp;A133,IF(G133="FUNCTIONAL","FUNCTIONAL-"&amp;A133,""))</f>
        <v/>
      </c>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t="str">
        <f aca="false">IF(G134="BUG","BUG-"&amp;A134,IF(G134="FUNCTIONAL","FUNCTIONAL-"&amp;A134,""))</f>
        <v/>
      </c>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t="str">
        <f aca="false">IF(G135="BUG","BUG-"&amp;A135,IF(G135="FUNCTIONAL","FUNCTIONAL-"&amp;A135,""))</f>
        <v/>
      </c>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t="str">
        <f aca="false">IF(G136="BUG","BUG-"&amp;A136,IF(G136="FUNCTIONAL","FUNCTIONAL-"&amp;A136,""))</f>
        <v/>
      </c>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t="str">
        <f aca="false">IF(G137="BUG","BUG-"&amp;A137,IF(G137="FUNCTIONAL","FUNCTIONAL-"&amp;A137,""))</f>
        <v/>
      </c>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t="str">
        <f aca="false">IF(G138="BUG","BUG-"&amp;A138,IF(G138="FUNCTIONAL","FUNCTIONAL-"&amp;A138,""))</f>
        <v/>
      </c>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t="str">
        <f aca="false">IF(G139="BUG","BUG-"&amp;A139,IF(G139="FUNCTIONAL","FUNCTIONAL-"&amp;A139,""))</f>
        <v/>
      </c>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t="str">
        <f aca="false">IF(G140="BUG","BUG-"&amp;A140,IF(G140="FUNCTIONAL","FUNCTIONAL-"&amp;A140,""))</f>
        <v/>
      </c>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t="str">
        <f aca="false">IF(G141="BUG","BUG-"&amp;A141,IF(G141="FUNCTIONAL","FUNCTIONAL-"&amp;A141,""))</f>
        <v/>
      </c>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t="str">
        <f aca="false">IF(G142="BUG","BUG-"&amp;A142,IF(G142="FUNCTIONAL","FUNCTIONAL-"&amp;A142,""))</f>
        <v/>
      </c>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t="str">
        <f aca="false">IF(G143="BUG","BUG-"&amp;A143,IF(G143="FUNCTIONAL","FUNCTIONAL-"&amp;A143,""))</f>
        <v/>
      </c>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t="str">
        <f aca="false">IF(G144="BUG","BUG-"&amp;A144,IF(G144="FUNCTIONAL","FUNCTIONAL-"&amp;A144,""))</f>
        <v/>
      </c>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t="str">
        <f aca="false">IF(G145="BUG","BUG-"&amp;A145,IF(G145="FUNCTIONAL","FUNCTIONAL-"&amp;A145,""))</f>
        <v/>
      </c>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1310</v>
      </c>
      <c r="C224" s="1" t="s">
        <v>1333</v>
      </c>
      <c r="D224" s="1" t="s">
        <v>1155</v>
      </c>
      <c r="E224" s="1" t="s">
        <v>1334</v>
      </c>
      <c r="F224" s="1" t="s">
        <v>1335</v>
      </c>
      <c r="G224" s="18" t="s">
        <v>74</v>
      </c>
      <c r="H224" s="1" t="str">
        <f aca="false">IF(G224="BUG","BUG-"&amp;A224,IF(G224="FUNCTIONAL","FUNCTIONAL-"&amp;A224,""))</f>
        <v/>
      </c>
      <c r="I224" s="18" t="s">
        <v>56</v>
      </c>
      <c r="L224" s="1" t="s">
        <v>1336</v>
      </c>
    </row>
    <row r="225" customFormat="false" ht="15" hidden="false" customHeight="true" outlineLevel="0" collapsed="false">
      <c r="A225" s="1" t="s">
        <v>1337</v>
      </c>
      <c r="B225" s="1" t="s">
        <v>1338</v>
      </c>
      <c r="C225" s="1" t="s">
        <v>1339</v>
      </c>
      <c r="D225" s="1" t="s">
        <v>1155</v>
      </c>
      <c r="E225" s="1" t="s">
        <v>1340</v>
      </c>
      <c r="F225" s="1" t="s">
        <v>1341</v>
      </c>
      <c r="G225" s="18" t="s">
        <v>74</v>
      </c>
      <c r="H225" s="1" t="str">
        <f aca="false">IF(G225="BUG","BUG-"&amp;A225,IF(G225="FUNCTIONAL","FUNCTIONAL-"&amp;A225,""))</f>
        <v/>
      </c>
      <c r="I225" s="18" t="s">
        <v>65</v>
      </c>
      <c r="L225" s="1" t="s">
        <v>1342</v>
      </c>
    </row>
    <row r="226" customFormat="false" ht="15" hidden="false" customHeight="true" outlineLevel="0" collapsed="false">
      <c r="A226" s="1" t="s">
        <v>1343</v>
      </c>
      <c r="B226" s="1" t="s">
        <v>1338</v>
      </c>
      <c r="C226" s="1" t="s">
        <v>1344</v>
      </c>
      <c r="D226" s="1" t="s">
        <v>1155</v>
      </c>
      <c r="E226" s="1" t="s">
        <v>1345</v>
      </c>
      <c r="F226" s="1" t="s">
        <v>1346</v>
      </c>
      <c r="G226" s="18" t="s">
        <v>74</v>
      </c>
      <c r="H226" s="1" t="str">
        <f aca="false">IF(G226="BUG","BUG-"&amp;A226,IF(G226="FUNCTIONAL","FUNCTIONAL-"&amp;A226,""))</f>
        <v/>
      </c>
      <c r="I226" s="18" t="s">
        <v>42</v>
      </c>
      <c r="L226" s="1" t="s">
        <v>1347</v>
      </c>
    </row>
    <row r="227" customFormat="false" ht="15" hidden="false" customHeight="true" outlineLevel="0" collapsed="false">
      <c r="A227" s="1" t="s">
        <v>1348</v>
      </c>
      <c r="B227" s="1" t="s">
        <v>1338</v>
      </c>
      <c r="C227" s="1" t="s">
        <v>1349</v>
      </c>
      <c r="D227" s="1" t="s">
        <v>1155</v>
      </c>
      <c r="E227" s="1" t="s">
        <v>1350</v>
      </c>
      <c r="F227" s="1" t="s">
        <v>1351</v>
      </c>
      <c r="G227" s="18" t="s">
        <v>74</v>
      </c>
      <c r="H227" s="1" t="str">
        <f aca="false">IF(G227="BUG","BUG-"&amp;A227,IF(G227="FUNCTIONAL","FUNCTIONAL-"&amp;A227,""))</f>
        <v/>
      </c>
      <c r="I227" s="18" t="s">
        <v>56</v>
      </c>
      <c r="L227" s="1" t="s">
        <v>1352</v>
      </c>
    </row>
    <row r="228" customFormat="false" ht="15" hidden="false" customHeight="true" outlineLevel="0" collapsed="false">
      <c r="A228" s="1" t="s">
        <v>1353</v>
      </c>
      <c r="B228" s="1" t="s">
        <v>1338</v>
      </c>
      <c r="C228" s="1" t="s">
        <v>1354</v>
      </c>
      <c r="D228" s="1" t="s">
        <v>1355</v>
      </c>
      <c r="E228" s="1" t="s">
        <v>1356</v>
      </c>
      <c r="F228" s="1" t="s">
        <v>1357</v>
      </c>
      <c r="G228" s="18" t="s">
        <v>74</v>
      </c>
      <c r="H228" s="1" t="str">
        <f aca="false">IF(G228="BUG","BUG-"&amp;A228,IF(G228="FUNCTIONAL","FUNCTIONAL-"&amp;A228,""))</f>
        <v/>
      </c>
      <c r="I228" s="18" t="s">
        <v>42</v>
      </c>
      <c r="L228" s="1" t="s">
        <v>1358</v>
      </c>
    </row>
    <row r="229" customFormat="false" ht="15" hidden="false" customHeight="true" outlineLevel="0" collapsed="false">
      <c r="A229" s="1" t="s">
        <v>1359</v>
      </c>
      <c r="B229" s="1" t="s">
        <v>1338</v>
      </c>
      <c r="C229" s="1" t="s">
        <v>1360</v>
      </c>
      <c r="D229" s="1" t="s">
        <v>1361</v>
      </c>
      <c r="E229" s="1" t="s">
        <v>1362</v>
      </c>
      <c r="F229" s="1" t="s">
        <v>1363</v>
      </c>
      <c r="G229" s="18" t="s">
        <v>74</v>
      </c>
      <c r="H229" s="1" t="str">
        <f aca="false">IF(G229="BUG","BUG-"&amp;A229,IF(G229="FUNCTIONAL","FUNCTIONAL-"&amp;A229,""))</f>
        <v/>
      </c>
      <c r="I229" s="18" t="s">
        <v>56</v>
      </c>
      <c r="L229" s="1" t="s">
        <v>1364</v>
      </c>
    </row>
    <row r="230" customFormat="false" ht="15" hidden="false" customHeight="true" outlineLevel="0" collapsed="false">
      <c r="A230" s="1" t="s">
        <v>1365</v>
      </c>
      <c r="B230" s="1" t="s">
        <v>1338</v>
      </c>
      <c r="C230" s="1" t="s">
        <v>1366</v>
      </c>
      <c r="D230" s="1" t="s">
        <v>1367</v>
      </c>
      <c r="E230" s="1" t="s">
        <v>1368</v>
      </c>
      <c r="F230" s="1" t="s">
        <v>1369</v>
      </c>
      <c r="G230" s="18" t="s">
        <v>74</v>
      </c>
      <c r="H230" s="1" t="str">
        <f aca="false">IF(G230="BUG","BUG-"&amp;A230,IF(G230="FUNCTIONAL","FUNCTIONAL-"&amp;A230,""))</f>
        <v/>
      </c>
      <c r="I230" s="18" t="s">
        <v>65</v>
      </c>
      <c r="L230" s="1" t="s">
        <v>1370</v>
      </c>
    </row>
    <row r="231" customFormat="false" ht="15" hidden="false" customHeight="true" outlineLevel="0" collapsed="false">
      <c r="A231" s="1" t="s">
        <v>1371</v>
      </c>
      <c r="B231" s="1" t="s">
        <v>1338</v>
      </c>
      <c r="C231" s="1" t="s">
        <v>1372</v>
      </c>
      <c r="D231" s="1" t="s">
        <v>1373</v>
      </c>
      <c r="E231" s="1" t="s">
        <v>1374</v>
      </c>
      <c r="F231" s="1" t="s">
        <v>1375</v>
      </c>
      <c r="G231" s="18" t="s">
        <v>74</v>
      </c>
      <c r="H231" s="1" t="str">
        <f aca="false">IF(G231="BUG","BUG-"&amp;A231,IF(G231="FUNCTIONAL","FUNCTIONAL-"&amp;A231,""))</f>
        <v/>
      </c>
      <c r="I231" s="18" t="s">
        <v>56</v>
      </c>
      <c r="L231" s="1" t="s">
        <v>1376</v>
      </c>
    </row>
    <row r="232" customFormat="false" ht="15" hidden="false" customHeight="true" outlineLevel="0" collapsed="false">
      <c r="A232" s="1" t="s">
        <v>1377</v>
      </c>
      <c r="B232" s="1" t="s">
        <v>1338</v>
      </c>
      <c r="C232" s="1" t="s">
        <v>1378</v>
      </c>
      <c r="D232" s="1" t="s">
        <v>1379</v>
      </c>
      <c r="E232" s="1" t="s">
        <v>1380</v>
      </c>
      <c r="F232" s="1" t="s">
        <v>1381</v>
      </c>
      <c r="G232" s="18" t="s">
        <v>74</v>
      </c>
      <c r="H232" s="1" t="str">
        <f aca="false">IF(G232="BUG","BUG-"&amp;A232,IF(G232="FUNCTIONAL","FUNCTIONAL-"&amp;A232,""))</f>
        <v/>
      </c>
      <c r="I232" s="18" t="s">
        <v>42</v>
      </c>
      <c r="L232" s="1" t="s">
        <v>1382</v>
      </c>
    </row>
    <row r="233" customFormat="false" ht="15" hidden="false" customHeight="true" outlineLevel="0" collapsed="false">
      <c r="A233" s="1" t="s">
        <v>1383</v>
      </c>
      <c r="B233" s="1" t="s">
        <v>1338</v>
      </c>
      <c r="C233" s="1" t="s">
        <v>1384</v>
      </c>
      <c r="D233" s="1" t="s">
        <v>1385</v>
      </c>
      <c r="E233" s="1" t="s">
        <v>1386</v>
      </c>
      <c r="F233" s="1" t="s">
        <v>1387</v>
      </c>
      <c r="G233" s="18" t="s">
        <v>74</v>
      </c>
      <c r="H233" s="1" t="str">
        <f aca="false">IF(G233="BUG","BUG-"&amp;A233,IF(G233="FUNCTIONAL","FUNCTIONAL-"&amp;A233,""))</f>
        <v/>
      </c>
      <c r="I233" s="18" t="s">
        <v>65</v>
      </c>
      <c r="L233" s="1" t="s">
        <v>1388</v>
      </c>
    </row>
    <row r="234" customFormat="false" ht="15" hidden="false" customHeight="true" outlineLevel="0" collapsed="false">
      <c r="A234" s="1" t="s">
        <v>1389</v>
      </c>
      <c r="B234" s="1" t="s">
        <v>226</v>
      </c>
      <c r="C234" s="1" t="s">
        <v>1390</v>
      </c>
      <c r="D234" s="1" t="s">
        <v>1391</v>
      </c>
      <c r="E234" s="1" t="s">
        <v>1392</v>
      </c>
      <c r="F234" s="1" t="s">
        <v>1393</v>
      </c>
      <c r="G234" s="18" t="s">
        <v>74</v>
      </c>
      <c r="H234" s="1" t="str">
        <f aca="false">IF(G234="BUG","BUG-"&amp;A234,IF(G234="FUNCTIONAL","FUNCTIONAL-"&amp;A234,""))</f>
        <v/>
      </c>
      <c r="I234" s="18" t="s">
        <v>56</v>
      </c>
      <c r="L234" s="1" t="s">
        <v>1394</v>
      </c>
    </row>
    <row r="235" customFormat="false" ht="15" hidden="false" customHeight="true" outlineLevel="0" collapsed="false">
      <c r="A235" s="1" t="s">
        <v>1395</v>
      </c>
      <c r="B235" s="1" t="s">
        <v>226</v>
      </c>
      <c r="C235" s="1" t="s">
        <v>1396</v>
      </c>
      <c r="D235" s="1" t="s">
        <v>1397</v>
      </c>
      <c r="E235" s="1" t="s">
        <v>1398</v>
      </c>
      <c r="F235" s="1" t="s">
        <v>1399</v>
      </c>
      <c r="G235" s="18" t="s">
        <v>74</v>
      </c>
      <c r="H235" s="1" t="str">
        <f aca="false">IF(G235="BUG","BUG-"&amp;A235,IF(G235="FUNCTIONAL","FUNCTIONAL-"&amp;A235,""))</f>
        <v/>
      </c>
      <c r="I235" s="18" t="s">
        <v>42</v>
      </c>
      <c r="L235" s="1" t="s">
        <v>1400</v>
      </c>
    </row>
    <row r="236" customFormat="false" ht="15" hidden="false" customHeight="true" outlineLevel="0" collapsed="false">
      <c r="A236" s="1" t="s">
        <v>1401</v>
      </c>
      <c r="B236" s="1" t="s">
        <v>226</v>
      </c>
      <c r="C236" s="1" t="s">
        <v>1402</v>
      </c>
      <c r="D236" s="1" t="s">
        <v>1403</v>
      </c>
      <c r="E236" s="1" t="s">
        <v>1404</v>
      </c>
      <c r="F236" s="1" t="s">
        <v>1405</v>
      </c>
      <c r="G236" s="18" t="s">
        <v>74</v>
      </c>
      <c r="H236" s="1" t="str">
        <f aca="false">IF(G236="BUG","BUG-"&amp;A236,IF(G236="FUNCTIONAL","FUNCTIONAL-"&amp;A236,""))</f>
        <v/>
      </c>
      <c r="I236" s="18" t="s">
        <v>56</v>
      </c>
      <c r="L236" s="1" t="s">
        <v>1406</v>
      </c>
    </row>
    <row r="237" customFormat="false" ht="15" hidden="false" customHeight="true" outlineLevel="0" collapsed="false">
      <c r="A237" s="1" t="s">
        <v>1407</v>
      </c>
      <c r="B237" s="1" t="s">
        <v>1408</v>
      </c>
      <c r="C237" s="1" t="s">
        <v>1409</v>
      </c>
      <c r="D237" s="1" t="s">
        <v>1410</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1408</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1408</v>
      </c>
      <c r="C239" s="1" t="s">
        <v>1420</v>
      </c>
      <c r="D239" s="1" t="s">
        <v>1155</v>
      </c>
      <c r="E239" s="1" t="s">
        <v>1421</v>
      </c>
      <c r="F239" s="1" t="s">
        <v>1422</v>
      </c>
      <c r="G239" s="18" t="s">
        <v>74</v>
      </c>
      <c r="H239" s="1" t="str">
        <f aca="false">IF(G239="BUG","BUG-"&amp;A239,IF(G239="FUNCTIONAL","FUNCTIONAL-"&amp;A239,""))</f>
        <v/>
      </c>
      <c r="I239" s="18" t="s">
        <v>42</v>
      </c>
      <c r="L239" s="1" t="s">
        <v>1423</v>
      </c>
    </row>
    <row r="240" customFormat="false" ht="15" hidden="false" customHeight="true" outlineLevel="0" collapsed="false">
      <c r="A240" s="1" t="s">
        <v>1424</v>
      </c>
      <c r="B240" s="1" t="s">
        <v>1408</v>
      </c>
      <c r="C240" s="1" t="s">
        <v>1425</v>
      </c>
      <c r="D240" s="1" t="s">
        <v>1155</v>
      </c>
      <c r="E240" s="1" t="s">
        <v>1426</v>
      </c>
      <c r="F240" s="1" t="s">
        <v>1427</v>
      </c>
      <c r="G240" s="18" t="s">
        <v>74</v>
      </c>
      <c r="H240" s="1" t="str">
        <f aca="false">IF(G240="BUG","BUG-"&amp;A240,IF(G240="FUNCTIONAL","FUNCTIONAL-"&amp;A240,""))</f>
        <v/>
      </c>
      <c r="I240" s="18" t="s">
        <v>56</v>
      </c>
      <c r="L240" s="1" t="s">
        <v>1428</v>
      </c>
    </row>
    <row r="241" customFormat="false" ht="15" hidden="false" customHeight="true" outlineLevel="0" collapsed="false">
      <c r="A241" s="1" t="s">
        <v>1429</v>
      </c>
      <c r="B241" s="1" t="s">
        <v>1408</v>
      </c>
      <c r="C241" s="1" t="s">
        <v>1430</v>
      </c>
      <c r="D241" s="1" t="s">
        <v>1431</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1408</v>
      </c>
      <c r="C242" s="1" t="s">
        <v>1436</v>
      </c>
      <c r="D242" s="1" t="s">
        <v>1155</v>
      </c>
      <c r="E242" s="1" t="s">
        <v>1437</v>
      </c>
      <c r="F242" s="1" t="s">
        <v>1438</v>
      </c>
      <c r="G242" s="18" t="s">
        <v>74</v>
      </c>
      <c r="H242" s="1" t="str">
        <f aca="false">IF(G242="BUG","BUG-"&amp;A242,IF(G242="FUNCTIONAL","FUNCTIONAL-"&amp;A242,""))</f>
        <v/>
      </c>
      <c r="I242" s="18" t="s">
        <v>42</v>
      </c>
      <c r="L242" s="1" t="s">
        <v>1439</v>
      </c>
    </row>
    <row r="243" customFormat="false" ht="15" hidden="false" customHeight="true" outlineLevel="0" collapsed="false">
      <c r="A243" s="1" t="s">
        <v>1440</v>
      </c>
      <c r="B243" s="1" t="s">
        <v>1408</v>
      </c>
      <c r="C243" s="1" t="s">
        <v>1441</v>
      </c>
      <c r="D243" s="1" t="s">
        <v>1442</v>
      </c>
      <c r="E243" s="1" t="s">
        <v>1443</v>
      </c>
      <c r="F243" s="1" t="s">
        <v>1444</v>
      </c>
      <c r="G243" s="18" t="s">
        <v>74</v>
      </c>
      <c r="H243" s="1" t="str">
        <f aca="false">IF(G243="BUG","BUG-"&amp;A243,IF(G243="FUNCTIONAL","FUNCTIONAL-"&amp;A243,""))</f>
        <v/>
      </c>
      <c r="I243" s="18" t="s">
        <v>56</v>
      </c>
      <c r="L243" s="1" t="s">
        <v>1445</v>
      </c>
    </row>
    <row r="244" customFormat="false" ht="15" hidden="false" customHeight="true" outlineLevel="0" collapsed="false">
      <c r="A244" s="1" t="s">
        <v>1446</v>
      </c>
      <c r="B244" s="1" t="s">
        <v>1408</v>
      </c>
      <c r="C244" s="1" t="s">
        <v>1447</v>
      </c>
      <c r="D244" s="1" t="s">
        <v>1448</v>
      </c>
      <c r="E244" s="1" t="s">
        <v>1449</v>
      </c>
      <c r="F244" s="1" t="s">
        <v>1450</v>
      </c>
      <c r="G244" s="18" t="s">
        <v>74</v>
      </c>
      <c r="H244" s="1" t="str">
        <f aca="false">IF(G244="BUG","BUG-"&amp;A244,IF(G244="FUNCTIONAL","FUNCTIONAL-"&amp;A244,""))</f>
        <v/>
      </c>
      <c r="I244" s="18" t="s">
        <v>56</v>
      </c>
      <c r="L244" s="1" t="s">
        <v>1451</v>
      </c>
    </row>
    <row r="245" customFormat="false" ht="15" hidden="false" customHeight="true" outlineLevel="0" collapsed="false">
      <c r="A245" s="1" t="s">
        <v>1452</v>
      </c>
      <c r="B245" s="1" t="s">
        <v>1408</v>
      </c>
      <c r="C245" s="1" t="s">
        <v>1453</v>
      </c>
      <c r="D245" s="1" t="s">
        <v>1155</v>
      </c>
      <c r="E245" s="1" t="s">
        <v>1454</v>
      </c>
      <c r="F245" s="1" t="s">
        <v>1455</v>
      </c>
      <c r="G245" s="18" t="s">
        <v>74</v>
      </c>
      <c r="H245" s="1" t="str">
        <f aca="false">IF(G245="BUG","BUG-"&amp;A245,IF(G245="FUNCTIONAL","FUNCTIONAL-"&amp;A245,""))</f>
        <v/>
      </c>
      <c r="I245" s="18" t="s">
        <v>65</v>
      </c>
      <c r="L245" s="1" t="s">
        <v>1456</v>
      </c>
    </row>
    <row r="246" customFormat="false" ht="15" hidden="false" customHeight="true" outlineLevel="0" collapsed="false">
      <c r="A246" s="1" t="s">
        <v>1457</v>
      </c>
      <c r="B246" s="1" t="s">
        <v>1458</v>
      </c>
      <c r="C246" s="1" t="s">
        <v>1459</v>
      </c>
      <c r="D246" s="1" t="s">
        <v>1155</v>
      </c>
      <c r="E246" s="1" t="s">
        <v>1460</v>
      </c>
      <c r="F246" s="1" t="s">
        <v>1461</v>
      </c>
      <c r="G246" s="18" t="s">
        <v>74</v>
      </c>
      <c r="H246" s="1" t="str">
        <f aca="false">IF(G246="BUG","BUG-"&amp;A246,IF(G246="FUNCTIONAL","FUNCTIONAL-"&amp;A246,""))</f>
        <v/>
      </c>
      <c r="I246" s="18" t="s">
        <v>42</v>
      </c>
      <c r="L246" s="1" t="s">
        <v>1462</v>
      </c>
    </row>
    <row r="247" customFormat="false" ht="15" hidden="false" customHeight="true" outlineLevel="0" collapsed="false">
      <c r="A247" s="1" t="s">
        <v>1463</v>
      </c>
      <c r="B247" s="1" t="s">
        <v>1458</v>
      </c>
      <c r="C247" s="1" t="s">
        <v>1464</v>
      </c>
      <c r="D247" s="1" t="s">
        <v>1155</v>
      </c>
      <c r="E247" s="1" t="s">
        <v>1465</v>
      </c>
      <c r="F247" s="1" t="s">
        <v>1466</v>
      </c>
      <c r="G247" s="18" t="s">
        <v>74</v>
      </c>
      <c r="H247" s="1" t="str">
        <f aca="false">IF(G247="BUG","BUG-"&amp;A247,IF(G247="FUNCTIONAL","FUNCTIONAL-"&amp;A247,""))</f>
        <v/>
      </c>
      <c r="I247" s="18" t="s">
        <v>56</v>
      </c>
      <c r="L247" s="1" t="s">
        <v>1467</v>
      </c>
    </row>
    <row r="248" customFormat="false" ht="15" hidden="false" customHeight="true" outlineLevel="0" collapsed="false">
      <c r="A248" s="1" t="s">
        <v>1468</v>
      </c>
      <c r="B248" s="1" t="s">
        <v>1458</v>
      </c>
      <c r="C248" s="1" t="s">
        <v>1469</v>
      </c>
      <c r="D248" s="1" t="s">
        <v>1470</v>
      </c>
      <c r="E248" s="1" t="s">
        <v>1471</v>
      </c>
      <c r="F248" s="1" t="s">
        <v>1472</v>
      </c>
      <c r="G248" s="18" t="s">
        <v>74</v>
      </c>
      <c r="H248" s="1" t="str">
        <f aca="false">IF(G248="BUG","BUG-"&amp;A248,IF(G248="FUNCTIONAL","FUNCTIONAL-"&amp;A248,""))</f>
        <v/>
      </c>
      <c r="I248" s="18" t="s">
        <v>42</v>
      </c>
      <c r="L248" s="1" t="s">
        <v>1473</v>
      </c>
    </row>
    <row r="249" customFormat="false" ht="15" hidden="false" customHeight="true" outlineLevel="0" collapsed="false">
      <c r="A249" s="1" t="s">
        <v>1474</v>
      </c>
      <c r="B249" s="1" t="s">
        <v>1458</v>
      </c>
      <c r="C249" s="1" t="s">
        <v>1475</v>
      </c>
      <c r="D249" s="1" t="s">
        <v>1476</v>
      </c>
      <c r="E249" s="1" t="s">
        <v>1477</v>
      </c>
      <c r="F249" s="1" t="s">
        <v>1478</v>
      </c>
      <c r="G249" s="18" t="s">
        <v>74</v>
      </c>
      <c r="H249" s="1" t="str">
        <f aca="false">IF(G249="BUG","BUG-"&amp;A249,IF(G249="FUNCTIONAL","FUNCTIONAL-"&amp;A249,""))</f>
        <v/>
      </c>
      <c r="I249" s="18" t="s">
        <v>56</v>
      </c>
    </row>
    <row r="250" customFormat="false" ht="15" hidden="false" customHeight="true" outlineLevel="0" collapsed="false">
      <c r="A250" s="1" t="s">
        <v>1479</v>
      </c>
      <c r="B250" s="1" t="s">
        <v>1458</v>
      </c>
      <c r="C250" s="1" t="s">
        <v>1480</v>
      </c>
      <c r="D250" s="1" t="s">
        <v>1155</v>
      </c>
      <c r="E250" s="1" t="s">
        <v>1481</v>
      </c>
      <c r="F250" s="1" t="s">
        <v>1482</v>
      </c>
      <c r="G250" s="18" t="s">
        <v>74</v>
      </c>
      <c r="H250" s="1" t="str">
        <f aca="false">IF(G250="BUG","BUG-"&amp;A250,IF(G250="FUNCTIONAL","FUNCTIONAL-"&amp;A250,""))</f>
        <v/>
      </c>
      <c r="I250" s="18" t="s">
        <v>56</v>
      </c>
      <c r="L250" s="1" t="s">
        <v>1483</v>
      </c>
    </row>
    <row r="251" customFormat="false" ht="15" hidden="false" customHeight="true" outlineLevel="0" collapsed="false">
      <c r="A251" s="1" t="s">
        <v>1484</v>
      </c>
      <c r="B251" s="1" t="s">
        <v>1458</v>
      </c>
      <c r="C251" s="1" t="s">
        <v>1485</v>
      </c>
      <c r="D251" s="1" t="s">
        <v>1155</v>
      </c>
      <c r="E251" s="1" t="s">
        <v>1486</v>
      </c>
      <c r="F251" s="1" t="s">
        <v>1487</v>
      </c>
      <c r="G251" s="18" t="s">
        <v>74</v>
      </c>
      <c r="H251" s="1" t="str">
        <f aca="false">IF(G251="BUG","BUG-"&amp;A251,IF(G251="FUNCTIONAL","FUNCTIONAL-"&amp;A251,""))</f>
        <v/>
      </c>
      <c r="I251" s="18" t="s">
        <v>65</v>
      </c>
    </row>
    <row r="252" customFormat="false" ht="15" hidden="false" customHeight="true" outlineLevel="0" collapsed="false">
      <c r="A252" s="1" t="s">
        <v>1488</v>
      </c>
      <c r="B252" s="1" t="s">
        <v>1489</v>
      </c>
      <c r="C252" s="1" t="s">
        <v>1490</v>
      </c>
      <c r="D252" s="1" t="s">
        <v>1155</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1489</v>
      </c>
      <c r="C253" s="1" t="s">
        <v>1494</v>
      </c>
      <c r="D253" s="1" t="s">
        <v>1495</v>
      </c>
      <c r="E253" s="1" t="s">
        <v>1496</v>
      </c>
      <c r="F253" s="1" t="s">
        <v>1497</v>
      </c>
      <c r="G253" s="18" t="s">
        <v>74</v>
      </c>
      <c r="H253" s="1" t="str">
        <f aca="false">IF(G253="BUG","BUG-"&amp;A253,IF(G253="FUNCTIONAL","FUNCTIONAL-"&amp;A253,""))</f>
        <v/>
      </c>
      <c r="I253" s="18" t="s">
        <v>56</v>
      </c>
    </row>
    <row r="254" customFormat="false" ht="15" hidden="false" customHeight="true" outlineLevel="0" collapsed="false">
      <c r="A254" s="1" t="s">
        <v>1498</v>
      </c>
      <c r="B254" s="1" t="s">
        <v>1489</v>
      </c>
      <c r="C254" s="1" t="s">
        <v>1499</v>
      </c>
      <c r="D254" s="1" t="s">
        <v>1500</v>
      </c>
      <c r="E254" s="1" t="s">
        <v>1501</v>
      </c>
      <c r="F254" s="1" t="s">
        <v>1502</v>
      </c>
      <c r="G254" s="18" t="s">
        <v>74</v>
      </c>
      <c r="H254" s="1" t="str">
        <f aca="false">IF(G254="BUG","BUG-"&amp;A254,IF(G254="FUNCTIONAL","FUNCTIONAL-"&amp;A254,""))</f>
        <v/>
      </c>
      <c r="I254" s="18" t="s">
        <v>65</v>
      </c>
    </row>
    <row r="255" customFormat="false" ht="15" hidden="false" customHeight="true" outlineLevel="0" collapsed="false">
      <c r="A255" s="1" t="s">
        <v>1503</v>
      </c>
      <c r="B255" s="1" t="s">
        <v>1504</v>
      </c>
      <c r="C255" s="1" t="s">
        <v>1505</v>
      </c>
      <c r="D255" s="1" t="s">
        <v>1476</v>
      </c>
      <c r="E255" s="1" t="s">
        <v>1506</v>
      </c>
      <c r="F255" s="1" t="s">
        <v>1507</v>
      </c>
      <c r="G255" s="18" t="s">
        <v>74</v>
      </c>
      <c r="H255" s="1" t="str">
        <f aca="false">IF(G255="BUG","BUG-"&amp;A255,IF(G255="FUNCTIONAL","FUNCTIONAL-"&amp;A255,""))</f>
        <v/>
      </c>
      <c r="I255" s="18" t="s">
        <v>56</v>
      </c>
    </row>
    <row r="256" customFormat="false" ht="15" hidden="false" customHeight="true" outlineLevel="0" collapsed="false">
      <c r="A256" s="1" t="s">
        <v>1508</v>
      </c>
      <c r="B256" s="1" t="s">
        <v>1504</v>
      </c>
      <c r="C256" s="1" t="s">
        <v>1509</v>
      </c>
      <c r="D256" s="1" t="s">
        <v>1476</v>
      </c>
      <c r="E256" s="1" t="s">
        <v>1510</v>
      </c>
      <c r="F256" s="1" t="s">
        <v>1511</v>
      </c>
      <c r="G256" s="18" t="s">
        <v>74</v>
      </c>
      <c r="H256" s="1" t="str">
        <f aca="false">IF(G256="BUG","BUG-"&amp;A256,IF(G256="FUNCTIONAL","FUNCTIONAL-"&amp;A256,""))</f>
        <v/>
      </c>
      <c r="I256" s="18" t="s">
        <v>42</v>
      </c>
    </row>
    <row r="257" customFormat="false" ht="15" hidden="false" customHeight="true" outlineLevel="0" collapsed="false">
      <c r="A257" s="1" t="s">
        <v>1512</v>
      </c>
      <c r="B257" s="1" t="s">
        <v>1504</v>
      </c>
      <c r="C257" s="1" t="s">
        <v>1513</v>
      </c>
      <c r="D257" s="1" t="s">
        <v>1476</v>
      </c>
      <c r="E257" s="1" t="s">
        <v>1514</v>
      </c>
      <c r="F257" s="1" t="s">
        <v>1515</v>
      </c>
      <c r="G257" s="18" t="s">
        <v>74</v>
      </c>
      <c r="H257" s="1" t="str">
        <f aca="false">IF(G257="BUG","BUG-"&amp;A257,IF(G257="FUNCTIONAL","FUNCTIONAL-"&amp;A257,""))</f>
        <v/>
      </c>
      <c r="I257" s="18" t="s">
        <v>56</v>
      </c>
    </row>
    <row r="258" customFormat="false" ht="15" hidden="false" customHeight="true" outlineLevel="0" collapsed="false">
      <c r="A258" s="1" t="s">
        <v>1516</v>
      </c>
      <c r="B258" s="1" t="s">
        <v>1489</v>
      </c>
      <c r="C258" s="1" t="s">
        <v>1517</v>
      </c>
      <c r="D258" s="1" t="s">
        <v>1518</v>
      </c>
      <c r="E258" s="1" t="s">
        <v>1519</v>
      </c>
      <c r="F258" s="1" t="s">
        <v>1520</v>
      </c>
      <c r="G258" s="18" t="s">
        <v>74</v>
      </c>
      <c r="H258" s="1" t="str">
        <f aca="false">IF(G258="BUG","BUG-"&amp;A258,IF(G258="FUNCTIONAL","FUNCTIONAL-"&amp;A258,""))</f>
        <v/>
      </c>
      <c r="I258" s="18" t="s">
        <v>42</v>
      </c>
    </row>
    <row r="259" customFormat="false" ht="15" hidden="false" customHeight="true" outlineLevel="0" collapsed="false">
      <c r="A259" s="1" t="s">
        <v>1521</v>
      </c>
      <c r="B259" s="1" t="s">
        <v>1489</v>
      </c>
      <c r="C259" s="1" t="s">
        <v>1522</v>
      </c>
      <c r="D259" s="1" t="s">
        <v>1523</v>
      </c>
      <c r="E259" s="1" t="s">
        <v>1524</v>
      </c>
      <c r="F259" s="1" t="s">
        <v>1525</v>
      </c>
      <c r="G259" s="18" t="s">
        <v>74</v>
      </c>
      <c r="H259" s="1" t="str">
        <f aca="false">IF(G259="BUG","BUG-"&amp;A259,IF(G259="FUNCTIONAL","FUNCTIONAL-"&amp;A259,""))</f>
        <v/>
      </c>
      <c r="I259" s="18" t="s">
        <v>56</v>
      </c>
    </row>
    <row r="260" customFormat="false" ht="15" hidden="false" customHeight="true" outlineLevel="0" collapsed="false">
      <c r="A260" s="1" t="s">
        <v>1526</v>
      </c>
      <c r="B260" s="1" t="s">
        <v>1489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1504</v>
      </c>
      <c r="C261" s="1" t="s">
        <v>1532</v>
      </c>
      <c r="D261" s="1" t="s">
        <v>1533</v>
      </c>
      <c r="E261" s="1" t="s">
        <v>1534</v>
      </c>
      <c r="F261" s="1" t="s">
        <v>1535</v>
      </c>
      <c r="G261" s="18" t="s">
        <v>74</v>
      </c>
      <c r="H261" s="1" t="str">
        <f aca="false">IF(G261="BUG","BUG-"&amp;A261,IF(G261="FUNCTIONAL","FUNCTIONAL-"&amp;A261,""))</f>
        <v/>
      </c>
      <c r="I261" s="18" t="s">
        <v>42</v>
      </c>
    </row>
    <row r="262" customFormat="false" ht="15" hidden="false" customHeight="true" outlineLevel="0" collapsed="false">
      <c r="A262" s="1" t="s">
        <v>1536</v>
      </c>
      <c r="B262" s="1" t="s">
        <v>1537</v>
      </c>
      <c r="C262" s="1" t="s">
        <v>1538</v>
      </c>
      <c r="D262" s="1" t="s">
        <v>1231</v>
      </c>
      <c r="E262" s="1" t="s">
        <v>1539</v>
      </c>
      <c r="F262" s="1" t="s">
        <v>1540</v>
      </c>
      <c r="G262" s="18" t="s">
        <v>74</v>
      </c>
      <c r="H262" s="1" t="str">
        <f aca="false">IF(G262="BUG","BUG-"&amp;A262,IF(G262="FUNCTIONAL","FUNCTIONAL-"&amp;A262,""))</f>
        <v/>
      </c>
      <c r="I262" s="18" t="s">
        <v>56</v>
      </c>
    </row>
    <row r="263" customFormat="false" ht="15" hidden="false" customHeight="true" outlineLevel="0" collapsed="false">
      <c r="A263" s="1" t="s">
        <v>1541</v>
      </c>
      <c r="B263" s="1" t="s">
        <v>1537</v>
      </c>
      <c r="C263" s="1" t="s">
        <v>1542</v>
      </c>
      <c r="D263" s="1" t="s">
        <v>1543</v>
      </c>
      <c r="E263" s="1" t="s">
        <v>1539</v>
      </c>
      <c r="F263" s="1" t="s">
        <v>1544</v>
      </c>
      <c r="G263" s="18" t="s">
        <v>74</v>
      </c>
      <c r="H263" s="1" t="str">
        <f aca="false">IF(G263="BUG","BUG-"&amp;A263,IF(G263="FUNCTIONAL","FUNCTIONAL-"&amp;A263,""))</f>
        <v/>
      </c>
      <c r="I263" s="18" t="s">
        <v>65</v>
      </c>
    </row>
    <row r="264" customFormat="false" ht="15" hidden="false" customHeight="true" outlineLevel="0" collapsed="false">
      <c r="A264" s="1" t="s">
        <v>1545</v>
      </c>
      <c r="B264" s="1" t="s">
        <v>1537</v>
      </c>
      <c r="C264" s="1" t="s">
        <v>1546</v>
      </c>
      <c r="D264" s="1" t="s">
        <v>1231</v>
      </c>
      <c r="E264" s="1" t="s">
        <v>1547</v>
      </c>
      <c r="F264" s="1" t="s">
        <v>1548</v>
      </c>
      <c r="G264" s="18" t="s">
        <v>74</v>
      </c>
      <c r="H264" s="1" t="str">
        <f aca="false">IF(G264="BUG","BUG-"&amp;A264,IF(G264="FUNCTIONAL","FUNCTIONAL-"&amp;A264,""))</f>
        <v/>
      </c>
      <c r="I264" s="18" t="s">
        <v>56</v>
      </c>
    </row>
    <row r="265" customFormat="false" ht="15" hidden="false" customHeight="true" outlineLevel="0" collapsed="false">
      <c r="A265" s="1" t="s">
        <v>1549</v>
      </c>
      <c r="B265" s="1" t="s">
        <v>1537</v>
      </c>
      <c r="C265" s="1" t="s">
        <v>1550</v>
      </c>
      <c r="D265" s="1" t="s">
        <v>1155</v>
      </c>
      <c r="E265" s="1" t="s">
        <v>1551</v>
      </c>
      <c r="F265" s="1" t="s">
        <v>1552</v>
      </c>
      <c r="G265" s="18" t="s">
        <v>74</v>
      </c>
      <c r="H265" s="1" t="str">
        <f aca="false">IF(G265="BUG","BUG-"&amp;A265,IF(G265="FUNCTIONAL","FUNCTIONAL-"&amp;A265,""))</f>
        <v/>
      </c>
      <c r="I265" s="18" t="s">
        <v>56</v>
      </c>
    </row>
    <row r="266" customFormat="false" ht="15" hidden="false" customHeight="true" outlineLevel="0" collapsed="false">
      <c r="A266" s="1" t="s">
        <v>1553</v>
      </c>
      <c r="B266" s="1" t="s">
        <v>1504</v>
      </c>
      <c r="C266" s="1" t="s">
        <v>1554</v>
      </c>
      <c r="D266" s="1" t="s">
        <v>1476</v>
      </c>
      <c r="E266" s="1" t="s">
        <v>1555</v>
      </c>
      <c r="F266" s="1" t="s">
        <v>1556</v>
      </c>
      <c r="G266" s="18" t="s">
        <v>74</v>
      </c>
      <c r="H266" s="1" t="str">
        <f aca="false">IF(G266="BUG","BUG-"&amp;A266,IF(G266="FUNCTIONAL","FUNCTIONAL-"&amp;A266,""))</f>
        <v/>
      </c>
      <c r="I266" s="18" t="s">
        <v>42</v>
      </c>
    </row>
    <row r="267" customFormat="false" ht="15" hidden="false" customHeight="true" outlineLevel="0" collapsed="false">
      <c r="A267" s="1" t="s">
        <v>1557</v>
      </c>
      <c r="B267" s="1" t="s">
        <v>1504</v>
      </c>
      <c r="C267" s="1" t="s">
        <v>1558</v>
      </c>
      <c r="D267" s="1" t="s">
        <v>1559</v>
      </c>
      <c r="E267" s="1" t="s">
        <v>1560</v>
      </c>
      <c r="F267" s="1" t="s">
        <v>1561</v>
      </c>
      <c r="G267" s="18" t="s">
        <v>74</v>
      </c>
      <c r="H267" s="1" t="str">
        <f aca="false">IF(G267="BUG","BUG-"&amp;A267,IF(G267="FUNCTIONAL","FUNCTIONAL-"&amp;A267,""))</f>
        <v/>
      </c>
      <c r="I267" s="18" t="s">
        <v>56</v>
      </c>
    </row>
    <row r="268" customFormat="false" ht="15" hidden="false" customHeight="true" outlineLevel="0" collapsed="false">
      <c r="A268" s="1" t="s">
        <v>1562</v>
      </c>
      <c r="B268" s="1" t="s">
        <v>1504</v>
      </c>
      <c r="C268" s="1" t="s">
        <v>1563</v>
      </c>
      <c r="D268" s="1" t="s">
        <v>1564</v>
      </c>
      <c r="E268" s="1" t="s">
        <v>1565</v>
      </c>
      <c r="F268" s="1" t="s">
        <v>1566</v>
      </c>
      <c r="G268" s="18" t="s">
        <v>74</v>
      </c>
      <c r="H268" s="1" t="str">
        <f aca="false">IF(G268="BUG","BUG-"&amp;A268,IF(G268="FUNCTIONAL","FUNCTIONAL-"&amp;A268,""))</f>
        <v/>
      </c>
      <c r="I268" s="18" t="s">
        <v>42</v>
      </c>
    </row>
    <row r="269" customFormat="false" ht="15" hidden="false" customHeight="true" outlineLevel="0" collapsed="false">
      <c r="A269" s="1" t="s">
        <v>1567</v>
      </c>
      <c r="B269" s="1" t="s">
        <v>1568</v>
      </c>
      <c r="C269" s="1" t="s">
        <v>1569</v>
      </c>
      <c r="D269" s="1" t="s">
        <v>1155</v>
      </c>
      <c r="E269" s="1" t="s">
        <v>1570</v>
      </c>
      <c r="F269" s="1" t="s">
        <v>1571</v>
      </c>
      <c r="G269" s="18" t="s">
        <v>74</v>
      </c>
      <c r="H269" s="1" t="str">
        <f aca="false">IF(G269="BUG","BUG-"&amp;A269,IF(G269="FUNCTIONAL","FUNCTIONAL-"&amp;A269,""))</f>
        <v/>
      </c>
      <c r="I269" s="18" t="s">
        <v>56</v>
      </c>
    </row>
    <row r="270" customFormat="false" ht="15" hidden="false" customHeight="true" outlineLevel="0" collapsed="false">
      <c r="A270" s="1" t="s">
        <v>1572</v>
      </c>
      <c r="B270" s="1" t="s">
        <v>1568</v>
      </c>
      <c r="C270" s="1" t="s">
        <v>1573</v>
      </c>
      <c r="D270" s="1" t="s">
        <v>1574</v>
      </c>
      <c r="E270" s="1" t="s">
        <v>1575</v>
      </c>
      <c r="F270" s="1" t="s">
        <v>1576</v>
      </c>
      <c r="G270" s="18" t="s">
        <v>74</v>
      </c>
      <c r="H270" s="1" t="str">
        <f aca="false">IF(G270="BUG","BUG-"&amp;A270,IF(G270="FUNCTIONAL","FUNCTIONAL-"&amp;A270,""))</f>
        <v/>
      </c>
      <c r="I270" s="18" t="s">
        <v>42</v>
      </c>
    </row>
    <row r="271" customFormat="false" ht="15" hidden="false" customHeight="true" outlineLevel="0" collapsed="false">
      <c r="A271" s="1" t="s">
        <v>1577</v>
      </c>
      <c r="B271" s="1" t="s">
        <v>1568</v>
      </c>
      <c r="C271" s="1" t="s">
        <v>1578</v>
      </c>
      <c r="D271" s="1" t="s">
        <v>1574</v>
      </c>
      <c r="E271" s="1" t="s">
        <v>1579</v>
      </c>
      <c r="F271" s="1" t="s">
        <v>1580</v>
      </c>
      <c r="G271" s="18" t="s">
        <v>74</v>
      </c>
      <c r="H271" s="1" t="str">
        <f aca="false">IF(G271="BUG","BUG-"&amp;A271,IF(G271="FUNCTIONAL","FUNCTIONAL-"&amp;A271,""))</f>
        <v/>
      </c>
      <c r="I271" s="18" t="s">
        <v>56</v>
      </c>
    </row>
    <row r="272" customFormat="false" ht="15" hidden="false" customHeight="true" outlineLevel="0" collapsed="false">
      <c r="A272" s="1" t="s">
        <v>1581</v>
      </c>
      <c r="B272" s="1" t="s">
        <v>1568</v>
      </c>
      <c r="C272" s="1" t="s">
        <v>1582</v>
      </c>
      <c r="D272" s="1" t="s">
        <v>1583</v>
      </c>
      <c r="E272" s="1" t="s">
        <v>1584</v>
      </c>
      <c r="F272" s="1" t="s">
        <v>1585</v>
      </c>
      <c r="G272" s="18" t="s">
        <v>74</v>
      </c>
      <c r="H272" s="1" t="str">
        <f aca="false">IF(G272="BUG","BUG-"&amp;A272,IF(G272="FUNCTIONAL","FUNCTIONAL-"&amp;A272,""))</f>
        <v/>
      </c>
      <c r="I272" s="18" t="s">
        <v>65</v>
      </c>
    </row>
    <row r="273" customFormat="false" ht="15" hidden="false" customHeight="true" outlineLevel="0" collapsed="false">
      <c r="A273" s="1" t="s">
        <v>1586</v>
      </c>
      <c r="B273" s="1" t="s">
        <v>1568</v>
      </c>
      <c r="C273" s="1" t="s">
        <v>1587</v>
      </c>
      <c r="D273" s="1" t="s">
        <v>1583</v>
      </c>
      <c r="E273" s="1" t="s">
        <v>1588</v>
      </c>
      <c r="F273" s="1" t="s">
        <v>1589</v>
      </c>
      <c r="G273" s="18" t="s">
        <v>74</v>
      </c>
      <c r="H273" s="1" t="str">
        <f aca="false">IF(G273="BUG","BUG-"&amp;A273,IF(G273="FUNCTIONAL","FUNCTIONAL-"&amp;A273,""))</f>
        <v/>
      </c>
      <c r="I273" s="18" t="s">
        <v>56</v>
      </c>
    </row>
    <row r="274" customFormat="false" ht="15" hidden="false" customHeight="true" outlineLevel="0" collapsed="false">
      <c r="A274" s="1" t="s">
        <v>1590</v>
      </c>
      <c r="B274" s="1" t="s">
        <v>1591</v>
      </c>
      <c r="C274" s="1" t="s">
        <v>1592</v>
      </c>
      <c r="D274" s="1" t="s">
        <v>1155</v>
      </c>
      <c r="E274" s="1" t="s">
        <v>1593</v>
      </c>
      <c r="F274" s="1" t="s">
        <v>1594</v>
      </c>
      <c r="G274" s="18" t="s">
        <v>74</v>
      </c>
      <c r="H274" s="1" t="str">
        <f aca="false">IF(G274="BUG","BUG-"&amp;A274,IF(G274="FUNCTIONAL","FUNCTIONAL-"&amp;A274,""))</f>
        <v/>
      </c>
      <c r="I274" s="18" t="s">
        <v>42</v>
      </c>
    </row>
    <row r="275" customFormat="false" ht="15" hidden="false" customHeight="true" outlineLevel="0" collapsed="false">
      <c r="A275" s="1" t="s">
        <v>1595</v>
      </c>
      <c r="B275" s="1" t="s">
        <v>1591</v>
      </c>
      <c r="C275" s="1" t="s">
        <v>1596</v>
      </c>
      <c r="D275" s="1" t="s">
        <v>1597</v>
      </c>
      <c r="E275" s="1" t="s">
        <v>1593</v>
      </c>
      <c r="F275" s="1" t="s">
        <v>1598</v>
      </c>
      <c r="G275" s="18" t="s">
        <v>74</v>
      </c>
      <c r="H275" s="1" t="str">
        <f aca="false">IF(G275="BUG","BUG-"&amp;A275,IF(G275="FUNCTIONAL","FUNCTIONAL-"&amp;A275,""))</f>
        <v/>
      </c>
      <c r="I275" s="18" t="s">
        <v>56</v>
      </c>
    </row>
    <row r="276" customFormat="false" ht="15" hidden="false" customHeight="true" outlineLevel="0" collapsed="false">
      <c r="A276" s="1" t="s">
        <v>1599</v>
      </c>
      <c r="B276" s="1" t="s">
        <v>1591</v>
      </c>
      <c r="C276" s="1" t="s">
        <v>1600</v>
      </c>
      <c r="D276" s="1" t="s">
        <v>1601</v>
      </c>
      <c r="E276" s="1" t="s">
        <v>1602</v>
      </c>
      <c r="F276" s="1" t="s">
        <v>1603</v>
      </c>
      <c r="G276" s="18" t="s">
        <v>74</v>
      </c>
      <c r="H276" s="1" t="str">
        <f aca="false">IF(G276="BUG","BUG-"&amp;A276,IF(G276="FUNCTIONAL","FUNCTIONAL-"&amp;A276,""))</f>
        <v/>
      </c>
      <c r="I276" s="18" t="s">
        <v>42</v>
      </c>
    </row>
    <row r="277" customFormat="false" ht="15" hidden="false" customHeight="true" outlineLevel="0" collapsed="false">
      <c r="A277" s="1" t="s">
        <v>1604</v>
      </c>
      <c r="B277" s="1" t="s">
        <v>1591</v>
      </c>
      <c r="C277" s="1" t="s">
        <v>1605</v>
      </c>
      <c r="D277" s="1" t="s">
        <v>1606</v>
      </c>
      <c r="E277" s="1" t="s">
        <v>1607</v>
      </c>
      <c r="F277" s="1" t="s">
        <v>1608</v>
      </c>
      <c r="G277" s="18" t="s">
        <v>74</v>
      </c>
      <c r="H277" s="1" t="str">
        <f aca="false">IF(G277="BUG","BUG-"&amp;A277,IF(G277="FUNCTIONAL","FUNCTIONAL-"&amp;A277,""))</f>
        <v/>
      </c>
      <c r="I277" s="18" t="s">
        <v>65</v>
      </c>
    </row>
    <row r="278" customFormat="false" ht="15" hidden="false" customHeight="true" outlineLevel="0" collapsed="false">
      <c r="A278" s="1" t="s">
        <v>1609</v>
      </c>
      <c r="B278" s="1" t="s">
        <v>1610</v>
      </c>
      <c r="C278" s="1" t="s">
        <v>1611</v>
      </c>
      <c r="D278" s="1" t="s">
        <v>1612</v>
      </c>
      <c r="E278" s="1" t="s">
        <v>1613</v>
      </c>
      <c r="F278" s="1" t="s">
        <v>1614</v>
      </c>
      <c r="G278" s="18" t="s">
        <v>74</v>
      </c>
      <c r="H278" s="1" t="str">
        <f aca="false">IF(G278="BUG","BUG-"&amp;A278,IF(G278="FUNCTIONAL","FUNCTIONAL-"&amp;A278,""))</f>
        <v/>
      </c>
      <c r="I278" s="18" t="s">
        <v>42</v>
      </c>
    </row>
    <row r="279" customFormat="false" ht="15" hidden="false" customHeight="true" outlineLevel="0" collapsed="false">
      <c r="A279" s="1" t="s">
        <v>1615</v>
      </c>
      <c r="B279" s="1" t="s">
        <v>1610</v>
      </c>
      <c r="C279" s="1" t="s">
        <v>1616</v>
      </c>
      <c r="D279" s="1" t="s">
        <v>1155</v>
      </c>
      <c r="E279" s="1" t="s">
        <v>1617</v>
      </c>
      <c r="F279" s="1" t="s">
        <v>1618</v>
      </c>
      <c r="G279" s="18" t="s">
        <v>74</v>
      </c>
      <c r="H279" s="1" t="str">
        <f aca="false">IF(G279="BUG","BUG-"&amp;A279,IF(G279="FUNCTIONAL","FUNCTIONAL-"&amp;A279,""))</f>
        <v/>
      </c>
      <c r="I279" s="18" t="s">
        <v>56</v>
      </c>
    </row>
    <row r="280" customFormat="false" ht="15" hidden="false" customHeight="true" outlineLevel="0" collapsed="false">
      <c r="A280" s="1" t="s">
        <v>1619</v>
      </c>
      <c r="B280" s="1" t="s">
        <v>1610</v>
      </c>
      <c r="C280" s="1" t="s">
        <v>1620</v>
      </c>
      <c r="D280" s="1" t="s">
        <v>1155</v>
      </c>
      <c r="E280" s="1" t="s">
        <v>1621</v>
      </c>
      <c r="F280" s="1" t="s">
        <v>1622</v>
      </c>
      <c r="G280" s="18" t="s">
        <v>74</v>
      </c>
      <c r="H280" s="1" t="str">
        <f aca="false">IF(G280="BUG","BUG-"&amp;A280,IF(G280="FUNCTIONAL","FUNCTIONAL-"&amp;A280,""))</f>
        <v/>
      </c>
      <c r="I280" s="18" t="s">
        <v>56</v>
      </c>
    </row>
    <row r="281" customFormat="false" ht="15" hidden="false" customHeight="true" outlineLevel="0" collapsed="false">
      <c r="A281" s="1" t="s">
        <v>1623</v>
      </c>
      <c r="B281" s="1" t="s">
        <v>1610</v>
      </c>
      <c r="C281" s="1" t="s">
        <v>1624</v>
      </c>
      <c r="D281" s="1" t="s">
        <v>1155</v>
      </c>
      <c r="E281" s="1" t="s">
        <v>1625</v>
      </c>
      <c r="F281" s="1" t="s">
        <v>1626</v>
      </c>
      <c r="G281" s="18" t="s">
        <v>74</v>
      </c>
      <c r="H281" s="1" t="str">
        <f aca="false">IF(G281="BUG","BUG-"&amp;A281,IF(G281="FUNCTIONAL","FUNCTIONAL-"&amp;A281,""))</f>
        <v/>
      </c>
      <c r="I281" s="18" t="s">
        <v>56</v>
      </c>
    </row>
    <row r="282" customFormat="false" ht="15" hidden="false" customHeight="true" outlineLevel="0" collapsed="false">
      <c r="A282" s="1" t="s">
        <v>1627</v>
      </c>
      <c r="B282" s="1" t="s">
        <v>1610</v>
      </c>
      <c r="C282" s="1" t="s">
        <v>1628</v>
      </c>
      <c r="D282" s="1" t="s">
        <v>1155</v>
      </c>
      <c r="E282" s="1" t="s">
        <v>1629</v>
      </c>
      <c r="F282" s="1" t="s">
        <v>1630</v>
      </c>
      <c r="G282" s="18" t="s">
        <v>74</v>
      </c>
      <c r="H282" s="1" t="str">
        <f aca="false">IF(G282="BUG","BUG-"&amp;A282,IF(G282="FUNCTIONAL","FUNCTIONAL-"&amp;A282,""))</f>
        <v/>
      </c>
      <c r="I282" s="18" t="s">
        <v>42</v>
      </c>
    </row>
    <row r="283" customFormat="false" ht="15" hidden="false" customHeight="true" outlineLevel="0" collapsed="false">
      <c r="A283" s="1" t="s">
        <v>1631</v>
      </c>
      <c r="B283" s="1" t="s">
        <v>1610</v>
      </c>
      <c r="C283" s="1" t="s">
        <v>1632</v>
      </c>
      <c r="D283" s="1" t="s">
        <v>1155</v>
      </c>
      <c r="E283" s="1" t="s">
        <v>1633</v>
      </c>
      <c r="F283" s="1" t="s">
        <v>1634</v>
      </c>
      <c r="G283" s="18" t="s">
        <v>74</v>
      </c>
      <c r="H283" s="1" t="str">
        <f aca="false">IF(G283="BUG","BUG-"&amp;A283,IF(G283="FUNCTIONAL","FUNCTIONAL-"&amp;A283,""))</f>
        <v/>
      </c>
      <c r="I283" s="18" t="s">
        <v>42</v>
      </c>
    </row>
    <row r="284" customFormat="false" ht="15" hidden="false" customHeight="true" outlineLevel="0" collapsed="false">
      <c r="A284" s="1" t="s">
        <v>1635</v>
      </c>
      <c r="B284" s="1" t="s">
        <v>201</v>
      </c>
      <c r="C284" s="1" t="s">
        <v>1636</v>
      </c>
      <c r="D284" s="1" t="s">
        <v>1637</v>
      </c>
      <c r="E284" s="1" t="s">
        <v>1638</v>
      </c>
      <c r="F284" s="1" t="s">
        <v>1639</v>
      </c>
      <c r="G284" s="18" t="s">
        <v>74</v>
      </c>
      <c r="H284" s="1" t="str">
        <f aca="false">IF(G284="BUG","BUG-"&amp;A284,IF(G284="FUNCTIONAL","FUNCTIONAL-"&amp;A284,""))</f>
        <v/>
      </c>
      <c r="I284" s="18" t="s">
        <v>56</v>
      </c>
      <c r="L284" s="1" t="s">
        <v>1640</v>
      </c>
    </row>
    <row r="285" customFormat="false" ht="15" hidden="false" customHeight="true" outlineLevel="0" collapsed="false">
      <c r="A285" s="1" t="s">
        <v>1641</v>
      </c>
      <c r="B285" s="1" t="s">
        <v>201</v>
      </c>
      <c r="C285" s="1" t="s">
        <v>1642</v>
      </c>
      <c r="D285" s="1" t="s">
        <v>1643</v>
      </c>
      <c r="E285" s="1" t="s">
        <v>1644</v>
      </c>
      <c r="F285" s="1" t="s">
        <v>1645</v>
      </c>
      <c r="G285" s="18" t="s">
        <v>74</v>
      </c>
      <c r="H285" s="1" t="str">
        <f aca="false">IF(G285="BUG","BUG-"&amp;A285,IF(G285="FUNCTIONAL","FUNCTIONAL-"&amp;A285,""))</f>
        <v/>
      </c>
      <c r="I285" s="18" t="s">
        <v>56</v>
      </c>
      <c r="L285" s="1" t="s">
        <v>1646</v>
      </c>
    </row>
    <row r="286" customFormat="false" ht="15" hidden="false" customHeight="true" outlineLevel="0" collapsed="false">
      <c r="A286" s="1" t="s">
        <v>1647</v>
      </c>
      <c r="B286" s="1" t="s">
        <v>472</v>
      </c>
      <c r="C286" s="1" t="s">
        <v>1648</v>
      </c>
      <c r="D286" s="1" t="s">
        <v>1649</v>
      </c>
      <c r="E286" s="1" t="s">
        <v>1650</v>
      </c>
      <c r="F286" s="1" t="s">
        <v>1651</v>
      </c>
      <c r="G286" s="18" t="s">
        <v>74</v>
      </c>
      <c r="H286" s="1" t="str">
        <f aca="false">IF(G286="BUG","BUG-"&amp;A286,IF(G286="FUNCTIONAL","FUNCTIONAL-"&amp;A286,""))</f>
        <v/>
      </c>
      <c r="I286" s="18" t="s">
        <v>42</v>
      </c>
    </row>
    <row r="287" customFormat="false" ht="15" hidden="false" customHeight="true" outlineLevel="0" collapsed="false">
      <c r="A287" s="1" t="s">
        <v>1652</v>
      </c>
      <c r="B287" s="1" t="s">
        <v>507</v>
      </c>
      <c r="C287" s="1" t="s">
        <v>1653</v>
      </c>
      <c r="D287" s="1" t="s">
        <v>509</v>
      </c>
      <c r="E287" s="1" t="s">
        <v>1654</v>
      </c>
      <c r="F287" s="1" t="s">
        <v>1655</v>
      </c>
      <c r="G287" s="18" t="s">
        <v>74</v>
      </c>
      <c r="H287" s="1" t="str">
        <f aca="false">IF(G287="BUG","BUG-"&amp;A287,IF(G287="FUNCTIONAL","FUNCTIONAL-"&amp;A287,""))</f>
        <v/>
      </c>
      <c r="I287" s="18" t="s">
        <v>56</v>
      </c>
    </row>
    <row r="288" customFormat="false" ht="15" hidden="false" customHeight="true" outlineLevel="0" collapsed="false">
      <c r="A288" s="1" t="s">
        <v>1656</v>
      </c>
      <c r="B288" s="1" t="s">
        <v>472</v>
      </c>
      <c r="C288" s="1" t="s">
        <v>1657</v>
      </c>
      <c r="D288" s="1" t="s">
        <v>1649</v>
      </c>
      <c r="E288" s="1" t="s">
        <v>1658</v>
      </c>
      <c r="F288" s="1" t="s">
        <v>1659</v>
      </c>
      <c r="G288" s="18" t="s">
        <v>74</v>
      </c>
      <c r="H288" s="1" t="str">
        <f aca="false">IF(G288="BUG","BUG-"&amp;A288,IF(G288="FUNCTIONAL","FUNCTIONAL-"&amp;A288,""))</f>
        <v/>
      </c>
      <c r="I288" s="18" t="s">
        <v>42</v>
      </c>
    </row>
    <row r="289" customFormat="false" ht="15" hidden="false" customHeight="true" outlineLevel="0" collapsed="false">
      <c r="A289" s="1" t="s">
        <v>1660</v>
      </c>
      <c r="B289" s="1" t="s">
        <v>1661</v>
      </c>
      <c r="C289" s="1" t="s">
        <v>1662</v>
      </c>
      <c r="D289" s="1" t="s">
        <v>1663</v>
      </c>
      <c r="E289" s="1" t="s">
        <v>1664</v>
      </c>
      <c r="F289" s="1" t="s">
        <v>1665</v>
      </c>
      <c r="G289" s="18" t="s">
        <v>74</v>
      </c>
      <c r="H289" s="1" t="str">
        <f aca="false">IF(G289="BUG","BUG-"&amp;A289,IF(G289="FUNCTIONAL","FUNCTIONAL-"&amp;A289,""))</f>
        <v/>
      </c>
      <c r="I289" s="18" t="s">
        <v>42</v>
      </c>
      <c r="L289" s="1" t="s">
        <v>1666</v>
      </c>
    </row>
    <row r="290" customFormat="false" ht="15" hidden="false" customHeight="true" outlineLevel="0" collapsed="false">
      <c r="A290" s="1" t="s">
        <v>1667</v>
      </c>
      <c r="B290" s="1" t="s">
        <v>201</v>
      </c>
      <c r="C290" s="1" t="s">
        <v>1668</v>
      </c>
      <c r="D290" s="1" t="s">
        <v>1669</v>
      </c>
      <c r="E290" s="1" t="s">
        <v>1670</v>
      </c>
      <c r="F290" s="1" t="s">
        <v>1671</v>
      </c>
      <c r="G290" s="18" t="s">
        <v>74</v>
      </c>
      <c r="H290" s="1" t="str">
        <f aca="false">IF(G290="BUG","BUG-"&amp;A290,IF(G290="FUNCTIONAL","FUNCTIONAL-"&amp;A290,""))</f>
        <v/>
      </c>
      <c r="I290" s="18" t="s">
        <v>56</v>
      </c>
      <c r="L290" s="1" t="s">
        <v>1672</v>
      </c>
    </row>
    <row r="291" customFormat="false" ht="15" hidden="false" customHeight="true" outlineLevel="0" collapsed="false">
      <c r="A291" s="1" t="s">
        <v>1673</v>
      </c>
      <c r="B291" s="1" t="s">
        <v>1661</v>
      </c>
      <c r="C291" s="1" t="s">
        <v>1674</v>
      </c>
      <c r="D291" s="1" t="s">
        <v>1675</v>
      </c>
      <c r="E291" s="1" t="s">
        <v>1676</v>
      </c>
      <c r="F291" s="1" t="s">
        <v>1677</v>
      </c>
      <c r="G291" s="18" t="s">
        <v>74</v>
      </c>
      <c r="H291" s="1" t="str">
        <f aca="false">IF(G291="BUG","BUG-"&amp;A291,IF(G291="FUNCTIONAL","FUNCTIONAL-"&amp;A291,""))</f>
        <v/>
      </c>
      <c r="I291" s="18" t="s">
        <v>56</v>
      </c>
      <c r="L291" s="1" t="s">
        <v>1678</v>
      </c>
    </row>
    <row r="292" customFormat="false" ht="15" hidden="false" customHeight="true" outlineLevel="0" collapsed="false">
      <c r="A292" s="1" t="s">
        <v>1679</v>
      </c>
      <c r="B292" s="1" t="s">
        <v>1218</v>
      </c>
      <c r="C292" s="1" t="s">
        <v>1680</v>
      </c>
      <c r="D292" s="1" t="s">
        <v>1155</v>
      </c>
      <c r="E292" s="1" t="s">
        <v>1681</v>
      </c>
      <c r="F292" s="1" t="s">
        <v>1682</v>
      </c>
      <c r="G292" s="1" t="s">
        <v>74</v>
      </c>
      <c r="H292" s="1" t="str">
        <f aca="false">IF(G292="BUG","BUG-"&amp;A292,IF(G292="FUNCTIONAL","FUNCTIONAL-"&amp;A292,""))</f>
        <v/>
      </c>
      <c r="I292" s="1" t="s">
        <v>56</v>
      </c>
      <c r="L292" s="1" t="s">
        <v>1683</v>
      </c>
    </row>
    <row r="293" customFormat="false" ht="15" hidden="false" customHeight="true" outlineLevel="0" collapsed="false">
      <c r="A293" s="1" t="s">
        <v>1684</v>
      </c>
      <c r="B293" s="1" t="s">
        <v>1685</v>
      </c>
      <c r="C293" s="1" t="s">
        <v>1686</v>
      </c>
      <c r="D293" s="1" t="s">
        <v>1687</v>
      </c>
      <c r="E293" s="1" t="s">
        <v>1688</v>
      </c>
      <c r="F293" s="1" t="s">
        <v>1689</v>
      </c>
      <c r="G293" s="1" t="s">
        <v>74</v>
      </c>
      <c r="H293" s="1" t="str">
        <f aca="false">IF(G293="BUG","BUG-"&amp;A293,IF(G293="FUNCTIONAL","FUNCTIONAL-"&amp;A293,""))</f>
        <v/>
      </c>
      <c r="I293" s="1" t="s">
        <v>56</v>
      </c>
      <c r="L293" s="1" t="s">
        <v>1690</v>
      </c>
    </row>
    <row r="294" customFormat="false" ht="15" hidden="false" customHeight="true" outlineLevel="0" collapsed="false">
      <c r="A294" s="1" t="s">
        <v>1691</v>
      </c>
      <c r="B294" s="1" t="s">
        <v>1685</v>
      </c>
      <c r="C294" s="1" t="s">
        <v>1692</v>
      </c>
      <c r="D294" s="1" t="s">
        <v>1693</v>
      </c>
      <c r="E294" s="1" t="s">
        <v>1694</v>
      </c>
      <c r="F294" s="1" t="s">
        <v>1695</v>
      </c>
      <c r="G294" s="1" t="s">
        <v>74</v>
      </c>
      <c r="H294" s="1" t="str">
        <f aca="false">IF(G294="BUG","BUG-"&amp;A294,IF(G294="FUNCTIONAL","FUNCTIONAL-"&amp;A294,""))</f>
        <v/>
      </c>
      <c r="I294" s="1" t="s">
        <v>65</v>
      </c>
      <c r="L294" s="1" t="s">
        <v>1696</v>
      </c>
    </row>
    <row r="295" customFormat="false" ht="15" hidden="false" customHeight="true" outlineLevel="0" collapsed="false">
      <c r="A295" s="1" t="s">
        <v>1697</v>
      </c>
      <c r="B295" s="1" t="s">
        <v>1685</v>
      </c>
      <c r="C295" s="1" t="s">
        <v>1698</v>
      </c>
      <c r="D295" s="1" t="s">
        <v>1693</v>
      </c>
      <c r="E295" s="1" t="s">
        <v>1699</v>
      </c>
      <c r="F295" s="1" t="s">
        <v>1700</v>
      </c>
      <c r="G295" s="1" t="s">
        <v>74</v>
      </c>
      <c r="H295" s="1" t="str">
        <f aca="false">IF(G295="BUG","BUG-"&amp;A295,IF(G295="FUNCTIONAL","FUNCTIONAL-"&amp;A295,""))</f>
        <v/>
      </c>
      <c r="I295" s="1" t="s">
        <v>56</v>
      </c>
      <c r="L295" s="1" t="s">
        <v>1701</v>
      </c>
    </row>
    <row r="296" customFormat="false" ht="15" hidden="false" customHeight="true" outlineLevel="0" collapsed="false">
      <c r="A296" s="1" t="s">
        <v>1702</v>
      </c>
      <c r="B296" s="1" t="s">
        <v>1685</v>
      </c>
      <c r="C296" s="1" t="s">
        <v>1703</v>
      </c>
      <c r="D296" s="1" t="s">
        <v>1704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1669</v>
      </c>
      <c r="E297" s="1" t="s">
        <v>1710</v>
      </c>
      <c r="F297" s="1" t="s">
        <v>1711</v>
      </c>
      <c r="G297" s="1" t="s">
        <v>74</v>
      </c>
      <c r="H297" s="1" t="str">
        <f aca="false">IF(G297="BUG","BUG-"&amp;A297,IF(G297="FUNCTIONAL","FUNCTIONAL-"&amp;A297,""))</f>
        <v/>
      </c>
      <c r="I297" s="1" t="s">
        <v>56</v>
      </c>
      <c r="L297" s="1" t="s">
        <v>1712</v>
      </c>
    </row>
    <row r="298" customFormat="false" ht="15" hidden="false" customHeight="true" outlineLevel="0" collapsed="false">
      <c r="A298" s="1" t="s">
        <v>1713</v>
      </c>
      <c r="B298" s="1" t="s">
        <v>201</v>
      </c>
      <c r="C298" s="1" t="s">
        <v>1714</v>
      </c>
      <c r="D298" s="1" t="s">
        <v>1715</v>
      </c>
      <c r="E298" s="1" t="s">
        <v>1716</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1716</v>
      </c>
      <c r="F299" s="1" t="s">
        <v>1722</v>
      </c>
      <c r="G299" s="1" t="s">
        <v>74</v>
      </c>
      <c r="H299" s="1" t="str">
        <f aca="false">IF(G299="BUG","BUG-"&amp;A299,IF(G299="FUNCTIONAL","FUNCTIONAL-"&amp;A299,""))</f>
        <v/>
      </c>
      <c r="I299" s="1" t="s">
        <v>56</v>
      </c>
      <c r="L299" s="1" t="s">
        <v>1723</v>
      </c>
    </row>
    <row r="300" customFormat="false" ht="15" hidden="false" customHeight="true" outlineLevel="0" collapsed="false">
      <c r="A300" s="1" t="s">
        <v>1724</v>
      </c>
      <c r="B300" s="1" t="s">
        <v>201</v>
      </c>
      <c r="C300" s="1" t="s">
        <v>1725</v>
      </c>
      <c r="D300" s="1" t="s">
        <v>1726</v>
      </c>
      <c r="E300" s="1" t="s">
        <v>1727</v>
      </c>
      <c r="F300" s="1" t="s">
        <v>1728</v>
      </c>
      <c r="G300" s="1" t="s">
        <v>74</v>
      </c>
      <c r="H300" s="1" t="str">
        <f aca="false">IF(G300="BUG","BUG-"&amp;A300,IF(G300="FUNCTIONAL","FUNCTIONAL-"&amp;A300,""))</f>
        <v/>
      </c>
      <c r="I300" s="1" t="s">
        <v>42</v>
      </c>
      <c r="L300" s="1" t="s">
        <v>1729</v>
      </c>
    </row>
    <row r="301" customFormat="false" ht="15" hidden="false" customHeight="true" outlineLevel="0" collapsed="false">
      <c r="A301" s="1" t="s">
        <v>1730</v>
      </c>
      <c r="B301" s="1" t="s">
        <v>472</v>
      </c>
      <c r="C301" s="1" t="s">
        <v>1731</v>
      </c>
      <c r="D301" s="1" t="s">
        <v>1732</v>
      </c>
      <c r="E301" s="1" t="s">
        <v>1733</v>
      </c>
      <c r="F301" s="1" t="s">
        <v>1734</v>
      </c>
      <c r="G301" s="1" t="s">
        <v>74</v>
      </c>
      <c r="H301" s="1" t="str">
        <f aca="false">IF(G301="BUG","BUG-"&amp;A301,IF(G301="FUNCTIONAL","FUNCTIONAL-"&amp;A301,""))</f>
        <v/>
      </c>
      <c r="I301" s="1" t="s">
        <v>42</v>
      </c>
      <c r="L301" s="1" t="s">
        <v>1735</v>
      </c>
    </row>
    <row r="302" customFormat="false" ht="15" hidden="false" customHeight="true" outlineLevel="0" collapsed="false">
      <c r="A302" s="1" t="s">
        <v>1736</v>
      </c>
      <c r="B302" s="1" t="s">
        <v>1255</v>
      </c>
      <c r="C302" s="1" t="s">
        <v>1737</v>
      </c>
      <c r="D302" s="1" t="s">
        <v>1155</v>
      </c>
      <c r="E302" s="1" t="s">
        <v>1257</v>
      </c>
      <c r="F302" s="1" t="s">
        <v>1738</v>
      </c>
      <c r="G302" s="1" t="s">
        <v>74</v>
      </c>
      <c r="H302" s="1" t="str">
        <f aca="false">IF(G302="BUG","BUG-"&amp;A302,IF(G302="FUNCTIONAL","FUNCTIONAL-"&amp;A302,""))</f>
        <v/>
      </c>
      <c r="I302" s="1" t="s">
        <v>56</v>
      </c>
      <c r="L302" s="1" t="s">
        <v>1739</v>
      </c>
    </row>
    <row r="303" customFormat="false" ht="15" hidden="false" customHeight="true" outlineLevel="0" collapsed="false">
      <c r="A303" s="1" t="s">
        <v>1740</v>
      </c>
      <c r="B303" s="1" t="s">
        <v>517</v>
      </c>
      <c r="C303" s="1" t="s">
        <v>1741</v>
      </c>
      <c r="D303" s="1" t="s">
        <v>1051</v>
      </c>
      <c r="E303" s="1" t="s">
        <v>1742</v>
      </c>
      <c r="F303" s="1" t="s">
        <v>1743</v>
      </c>
      <c r="G303" s="1" t="s">
        <v>74</v>
      </c>
      <c r="H303" s="1" t="str">
        <f aca="false">IF(G303="BUG","BUG-"&amp;A303,IF(G303="FUNCTIONAL","FUNCTIONAL-"&amp;A303,""))</f>
        <v/>
      </c>
      <c r="I303" s="1" t="s">
        <v>42</v>
      </c>
      <c r="L303" s="1" t="s">
        <v>1744</v>
      </c>
    </row>
    <row r="304" customFormat="false" ht="15" hidden="false" customHeight="true" outlineLevel="0" collapsed="false">
      <c r="A304" s="1" t="s">
        <v>1745</v>
      </c>
      <c r="B304" s="1" t="s">
        <v>1746</v>
      </c>
      <c r="C304" s="1" t="s">
        <v>1747</v>
      </c>
      <c r="D304" s="1" t="s">
        <v>1748</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1746</v>
      </c>
      <c r="C305" s="1" t="s">
        <v>1753</v>
      </c>
      <c r="D305" s="1" t="s">
        <v>1051</v>
      </c>
      <c r="E305" s="1" t="s">
        <v>1754</v>
      </c>
      <c r="F305" s="1" t="s">
        <v>1755</v>
      </c>
      <c r="G305" s="1" t="s">
        <v>74</v>
      </c>
      <c r="H305" s="1" t="str">
        <f aca="false">IF(G305="BUG","BUG-"&amp;A305,IF(G305="FUNCTIONAL","FUNCTIONAL-"&amp;A305,""))</f>
        <v/>
      </c>
      <c r="I305" s="1" t="s">
        <v>56</v>
      </c>
      <c r="L305" s="1" t="s">
        <v>1756</v>
      </c>
    </row>
    <row r="306" customFormat="false" ht="15" hidden="false" customHeight="true" outlineLevel="0" collapsed="false">
      <c r="A306" s="1" t="s">
        <v>1757</v>
      </c>
      <c r="B306" s="1" t="s">
        <v>1746</v>
      </c>
      <c r="C306" s="1" t="s">
        <v>1758</v>
      </c>
      <c r="D306" s="1" t="s">
        <v>1759</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1746</v>
      </c>
      <c r="C307" s="1" t="s">
        <v>1764</v>
      </c>
      <c r="D307" s="1" t="s">
        <v>61</v>
      </c>
      <c r="E307" s="1" t="s">
        <v>1765</v>
      </c>
      <c r="F307" s="1" t="s">
        <v>1766</v>
      </c>
      <c r="G307" s="1" t="s">
        <v>74</v>
      </c>
      <c r="H307" s="1" t="str">
        <f aca="false">IF(G307="BUG","BUG-"&amp;A307,IF(G307="FUNCTIONAL","FUNCTIONAL-"&amp;A307,""))</f>
        <v/>
      </c>
      <c r="I307" s="1" t="s">
        <v>65</v>
      </c>
      <c r="L307" s="1" t="s">
        <v>1767</v>
      </c>
    </row>
    <row r="308" customFormat="false" ht="15" hidden="false" customHeight="true" outlineLevel="0" collapsed="false">
      <c r="A308" s="1" t="s">
        <v>1768</v>
      </c>
      <c r="B308" s="1" t="s">
        <v>1746</v>
      </c>
      <c r="C308" s="1" t="s">
        <v>1769</v>
      </c>
      <c r="D308" s="1" t="s">
        <v>1770</v>
      </c>
      <c r="E308" s="1" t="s">
        <v>1771</v>
      </c>
      <c r="F308" s="1" t="s">
        <v>1772</v>
      </c>
      <c r="G308" s="1" t="s">
        <v>74</v>
      </c>
      <c r="H308" s="1" t="str">
        <f aca="false">IF(G308="BUG","BUG-"&amp;A308,IF(G308="FUNCTIONAL","FUNCTIONAL-"&amp;A308,""))</f>
        <v/>
      </c>
      <c r="I308" s="1" t="s">
        <v>42</v>
      </c>
      <c r="L308" s="1" t="s">
        <v>1773</v>
      </c>
    </row>
    <row r="309" customFormat="false" ht="15" hidden="false" customHeight="true" outlineLevel="0" collapsed="false">
      <c r="A309" s="1" t="s">
        <v>1774</v>
      </c>
      <c r="B309" s="1" t="s">
        <v>1746</v>
      </c>
      <c r="C309" s="1" t="s">
        <v>1775</v>
      </c>
      <c r="D309" s="1" t="s">
        <v>61</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430</v>
      </c>
      <c r="C310" s="1" t="s">
        <v>1780</v>
      </c>
      <c r="D310" s="1" t="s">
        <v>264</v>
      </c>
      <c r="E310" s="1" t="s">
        <v>1781</v>
      </c>
      <c r="F310" s="1" t="s">
        <v>1782</v>
      </c>
      <c r="G310" s="1" t="s">
        <v>74</v>
      </c>
      <c r="H310" s="1" t="str">
        <f aca="false">IF(G310="BUG","BUG-"&amp;A310,IF(G310="FUNCTIONAL","FUNCTIONAL-"&amp;A310,""))</f>
        <v/>
      </c>
      <c r="I310" s="1" t="s">
        <v>56</v>
      </c>
      <c r="L310" s="1" t="s">
        <v>1783</v>
      </c>
    </row>
    <row r="311" customFormat="false" ht="15" hidden="false" customHeight="true" outlineLevel="0" collapsed="false">
      <c r="A311" s="1" t="s">
        <v>1784</v>
      </c>
      <c r="B311" s="1" t="s">
        <v>1785</v>
      </c>
      <c r="C311" s="1" t="s">
        <v>1786</v>
      </c>
      <c r="D311" s="1" t="s">
        <v>1787</v>
      </c>
      <c r="E311" s="1" t="s">
        <v>1788</v>
      </c>
      <c r="F311" s="1" t="s">
        <v>1789</v>
      </c>
      <c r="G311" s="1" t="s">
        <v>74</v>
      </c>
      <c r="H311" s="1" t="str">
        <f aca="false">IF(G311="BUG","BUG-"&amp;A311,IF(G311="FUNCTIONAL","FUNCTIONAL-"&amp;A311,""))</f>
        <v/>
      </c>
      <c r="I311" s="1" t="s">
        <v>56</v>
      </c>
      <c r="L311" s="1" t="s">
        <v>1790</v>
      </c>
    </row>
    <row r="312" customFormat="false" ht="15" hidden="false" customHeight="true" outlineLevel="0" collapsed="false">
      <c r="A312" s="1" t="s">
        <v>1791</v>
      </c>
      <c r="B312" s="1" t="s">
        <v>114</v>
      </c>
      <c r="C312" s="1" t="s">
        <v>1792</v>
      </c>
      <c r="D312" s="1" t="s">
        <v>1793</v>
      </c>
      <c r="E312" s="1" t="s">
        <v>1794</v>
      </c>
      <c r="F312" s="1" t="s">
        <v>1795</v>
      </c>
      <c r="G312" s="1" t="s">
        <v>74</v>
      </c>
      <c r="H312" s="1" t="str">
        <f aca="false">IF(G312="BUG","BUG-"&amp;A312,IF(G312="FUNCTIONAL","FUNCTIONAL-"&amp;A312,""))</f>
        <v/>
      </c>
      <c r="I312" s="1" t="s">
        <v>56</v>
      </c>
      <c r="L312" s="1" t="s">
        <v>1796</v>
      </c>
    </row>
    <row r="313" customFormat="false" ht="15" hidden="false" customHeight="true" outlineLevel="0" collapsed="false">
      <c r="A313" s="1" t="s">
        <v>1797</v>
      </c>
      <c r="B313" s="1" t="s">
        <v>1798</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1798</v>
      </c>
      <c r="C314" s="1" t="s">
        <v>1804</v>
      </c>
      <c r="D314" s="1" t="s">
        <v>264</v>
      </c>
      <c r="E314" s="1" t="s">
        <v>1805</v>
      </c>
      <c r="F314" s="1" t="s">
        <v>1806</v>
      </c>
      <c r="G314" s="1" t="s">
        <v>74</v>
      </c>
      <c r="H314" s="1" t="str">
        <f aca="false">IF(G314="BUG","BUG-"&amp;A314,IF(G314="FUNCTIONAL","FUNCTIONAL-"&amp;A314,""))</f>
        <v/>
      </c>
      <c r="I314" s="1" t="s">
        <v>56</v>
      </c>
      <c r="L314" s="1" t="s">
        <v>1807</v>
      </c>
    </row>
    <row r="315" customFormat="false" ht="15" hidden="false" customHeight="true" outlineLevel="0" collapsed="false">
      <c r="A315" s="1" t="s">
        <v>1808</v>
      </c>
      <c r="B315" s="1" t="s">
        <v>1218</v>
      </c>
      <c r="C315" s="1" t="s">
        <v>1809</v>
      </c>
      <c r="D315" s="1" t="s">
        <v>1810</v>
      </c>
      <c r="E315" s="1" t="s">
        <v>1811</v>
      </c>
      <c r="F315" s="1" t="s">
        <v>1812</v>
      </c>
      <c r="G315" s="1" t="s">
        <v>74</v>
      </c>
      <c r="H315" s="1" t="str">
        <f aca="false">IF(G315="BUG","BUG-"&amp;A315,IF(G315="FUNCTIONAL","FUNCTIONAL-"&amp;A315,""))</f>
        <v/>
      </c>
    </row>
    <row r="316" customFormat="false" ht="15" hidden="false" customHeight="true" outlineLevel="0" collapsed="false">
      <c r="A316" s="1" t="s">
        <v>1813</v>
      </c>
      <c r="B316" s="1" t="s">
        <v>1814</v>
      </c>
      <c r="C316" s="1" t="s">
        <v>1815</v>
      </c>
      <c r="D316" s="1" t="s">
        <v>1816</v>
      </c>
      <c r="E316" s="1" t="s">
        <v>1817</v>
      </c>
      <c r="F316" s="1" t="s">
        <v>1818</v>
      </c>
      <c r="G316" s="1" t="s">
        <v>74</v>
      </c>
      <c r="H316" s="1" t="str">
        <f aca="false">IF(G316="BUG","BUG-"&amp;A316,IF(G316="FUNCTIONAL","FUNCTIONAL-"&amp;A316,""))</f>
        <v/>
      </c>
    </row>
    <row r="317" customFormat="false" ht="15" hidden="false" customHeight="true" outlineLevel="0" collapsed="false">
      <c r="A317" s="1" t="s">
        <v>1819</v>
      </c>
      <c r="B317" s="1" t="s">
        <v>1820</v>
      </c>
      <c r="C317" s="1" t="s">
        <v>1821</v>
      </c>
      <c r="D317" s="1" t="s">
        <v>1822</v>
      </c>
      <c r="E317" s="1" t="s">
        <v>1823</v>
      </c>
      <c r="F317" s="1" t="s">
        <v>1824</v>
      </c>
      <c r="G317" s="1" t="s">
        <v>74</v>
      </c>
      <c r="H317" s="1" t="str">
        <f aca="false">IF(G317="BUG","BUG-"&amp;A317,IF(G317="FUNCTIONAL","FUNCTIONAL-"&amp;A317,""))</f>
        <v/>
      </c>
    </row>
    <row r="318" customFormat="false" ht="15" hidden="false" customHeight="true" outlineLevel="0" collapsed="false">
      <c r="A318" s="1" t="s">
        <v>1825</v>
      </c>
      <c r="B318" s="1" t="s">
        <v>1826</v>
      </c>
      <c r="C318" s="1" t="s">
        <v>1827</v>
      </c>
      <c r="D318" s="1" t="s">
        <v>1828</v>
      </c>
      <c r="E318" s="1" t="s">
        <v>1829</v>
      </c>
      <c r="F318" s="1" t="s">
        <v>1830</v>
      </c>
      <c r="G318" s="1" t="s">
        <v>74</v>
      </c>
      <c r="H318" s="1" t="str">
        <f aca="false">IF(G318="BUG","BUG-"&amp;A318,IF(G318="FUNCTIONAL","FUNCTIONAL-"&amp;A318,""))</f>
        <v/>
      </c>
    </row>
    <row r="319" customFormat="false" ht="15" hidden="false" customHeight="true" outlineLevel="0" collapsed="false">
      <c r="A319" s="1" t="s">
        <v>1831</v>
      </c>
      <c r="B319" s="1" t="s">
        <v>1832</v>
      </c>
      <c r="C319" s="1" t="s">
        <v>1833</v>
      </c>
      <c r="D319" s="1" t="s">
        <v>1834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264</v>
      </c>
      <c r="E322" s="1" t="s">
        <v>1850</v>
      </c>
      <c r="F322" s="1" t="s">
        <v>1851</v>
      </c>
      <c r="G322" s="1" t="s">
        <v>74</v>
      </c>
      <c r="H322" s="1" t="str">
        <f aca="false">IF(G322="BUG","BUG-"&amp;A322,IF(G322="FUNCTIONAL","FUNCTIONAL-"&amp;A322,""))</f>
        <v/>
      </c>
    </row>
    <row r="323" customFormat="false" ht="15" hidden="false" customHeight="true" outlineLevel="0" collapsed="false">
      <c r="A323" s="1" t="s">
        <v>1852</v>
      </c>
      <c r="B323" s="1" t="s">
        <v>1853</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1853</v>
      </c>
      <c r="C324" s="1" t="s">
        <v>1859</v>
      </c>
      <c r="D324" s="1" t="s">
        <v>1860</v>
      </c>
      <c r="E324" s="1" t="s">
        <v>1861</v>
      </c>
      <c r="F324" s="1" t="s">
        <v>1862</v>
      </c>
      <c r="G324" s="1" t="s">
        <v>74</v>
      </c>
      <c r="H324" s="1" t="str">
        <f aca="false">IF(G324="BUG","BUG-"&amp;A324,IF(G324="FUNCTIONAL","FUNCTIONAL-"&amp;A324,""))</f>
        <v/>
      </c>
    </row>
    <row r="325" customFormat="false" ht="15" hidden="false" customHeight="true" outlineLevel="0" collapsed="false">
      <c r="A325" s="1" t="s">
        <v>1863</v>
      </c>
      <c r="B325" s="1" t="s">
        <v>1853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264</v>
      </c>
      <c r="E326" s="1" t="s">
        <v>1870</v>
      </c>
      <c r="F326" s="1" t="s">
        <v>1871</v>
      </c>
      <c r="G326" s="1" t="s">
        <v>74</v>
      </c>
      <c r="H326" s="1" t="str">
        <f aca="false">IF(G326="BUG","BUG-"&amp;A326,IF(G326="FUNCTIONAL","FUNCTIONAL-"&amp;A326,""))</f>
        <v/>
      </c>
    </row>
    <row r="327" customFormat="false" ht="15" hidden="false" customHeight="true" outlineLevel="0" collapsed="false">
      <c r="A327" s="1" t="s">
        <v>1872</v>
      </c>
      <c r="B327" s="1" t="s">
        <v>1873</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1873</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1873</v>
      </c>
      <c r="C329" s="1" t="s">
        <v>1884</v>
      </c>
      <c r="D329" s="1" t="s">
        <v>1885</v>
      </c>
      <c r="E329" s="1" t="s">
        <v>1886</v>
      </c>
      <c r="F329" s="1" t="s">
        <v>1887</v>
      </c>
      <c r="G329" s="1" t="s">
        <v>74</v>
      </c>
      <c r="H329" s="1" t="str">
        <f aca="false">IF(G329="BUG","BUG-"&amp;A329,IF(G329="FUNCTIONAL","FUNCTIONAL-"&amp;A329,""))</f>
        <v/>
      </c>
    </row>
    <row r="330" customFormat="false" ht="15" hidden="false" customHeight="true" outlineLevel="0" collapsed="false">
      <c r="A330" s="1" t="s">
        <v>1888</v>
      </c>
      <c r="B330" s="1" t="s">
        <v>1889</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1889</v>
      </c>
      <c r="C331" s="1" t="s">
        <v>1895</v>
      </c>
      <c r="D331" s="1" t="s">
        <v>1896</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1900</v>
      </c>
      <c r="C332" s="1" t="s">
        <v>1901</v>
      </c>
      <c r="D332" s="1" t="s">
        <v>264</v>
      </c>
      <c r="E332" s="1" t="s">
        <v>1902</v>
      </c>
      <c r="F332" s="1" t="s">
        <v>1903</v>
      </c>
      <c r="G332" s="1" t="s">
        <v>74</v>
      </c>
      <c r="H332" s="1" t="str">
        <f aca="false">IF(G332="BUG","BUG-"&amp;A332,IF(G332="FUNCTIONAL","FUNCTIONAL-"&amp;A332,""))</f>
        <v/>
      </c>
    </row>
    <row r="333" customFormat="false" ht="15" hidden="false" customHeight="true" outlineLevel="0" collapsed="false">
      <c r="A333" s="1" t="s">
        <v>1904</v>
      </c>
      <c r="B333" s="1" t="s">
        <v>1900</v>
      </c>
      <c r="C333" s="1" t="s">
        <v>1905</v>
      </c>
      <c r="D333" s="1" t="s">
        <v>264</v>
      </c>
      <c r="E333" s="1" t="s">
        <v>1906</v>
      </c>
      <c r="F333" s="1" t="s">
        <v>1907</v>
      </c>
      <c r="G333" s="1" t="s">
        <v>74</v>
      </c>
      <c r="H333" s="1" t="str">
        <f aca="false">IF(G333="BUG","BUG-"&amp;A333,IF(G333="FUNCTIONAL","FUNCTIONAL-"&amp;A333,""))</f>
        <v/>
      </c>
    </row>
    <row r="334" customFormat="false" ht="15" hidden="false" customHeight="true" outlineLevel="0" collapsed="false">
      <c r="A334" s="1" t="s">
        <v>1908</v>
      </c>
      <c r="B334" s="1" t="s">
        <v>1900</v>
      </c>
      <c r="C334" s="1" t="s">
        <v>1909</v>
      </c>
      <c r="D334" s="1" t="s">
        <v>264</v>
      </c>
      <c r="E334" s="1" t="s">
        <v>1910</v>
      </c>
      <c r="F334" s="1" t="s">
        <v>1911</v>
      </c>
      <c r="G334" s="1" t="s">
        <v>74</v>
      </c>
      <c r="H334" s="1" t="str">
        <f aca="false">IF(G334="BUG","BUG-"&amp;A334,IF(G334="FUNCTIONAL","FUNCTIONAL-"&amp;A334,""))</f>
        <v/>
      </c>
    </row>
    <row r="335" customFormat="false" ht="15" hidden="false" customHeight="true" outlineLevel="0" collapsed="false">
      <c r="A335" s="1" t="s">
        <v>1912</v>
      </c>
      <c r="B335" s="1" t="s">
        <v>1900</v>
      </c>
      <c r="C335" s="1" t="s">
        <v>1913</v>
      </c>
      <c r="D335" s="1" t="s">
        <v>264</v>
      </c>
      <c r="E335" s="1" t="s">
        <v>1914</v>
      </c>
      <c r="F335" s="1" t="s">
        <v>1915</v>
      </c>
      <c r="G335" s="1" t="s">
        <v>74</v>
      </c>
      <c r="H335" s="1" t="str">
        <f aca="false">IF(G335="BUG","BUG-"&amp;A335,IF(G335="FUNCTIONAL","FUNCTIONAL-"&amp;A335,""))</f>
        <v/>
      </c>
    </row>
    <row r="336" customFormat="false" ht="15" hidden="false" customHeight="true" outlineLevel="0" collapsed="false">
      <c r="A336" s="1" t="s">
        <v>1916</v>
      </c>
      <c r="B336" s="1" t="s">
        <v>1917</v>
      </c>
      <c r="C336" s="1" t="s">
        <v>1918</v>
      </c>
      <c r="D336" s="1" t="s">
        <v>1919</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1928</v>
      </c>
      <c r="C338" s="1" t="s">
        <v>1929</v>
      </c>
      <c r="D338" s="1" t="s">
        <v>264</v>
      </c>
      <c r="E338" s="1" t="s">
        <v>1930</v>
      </c>
      <c r="F338" s="1" t="s">
        <v>1931</v>
      </c>
      <c r="G338" s="1" t="s">
        <v>74</v>
      </c>
      <c r="H338" s="1" t="str">
        <f aca="false">IF(G338="BUG","BUG-"&amp;A338,IF(G338="FUNCTIONAL","FUNCTIONAL-"&amp;A338,""))</f>
        <v/>
      </c>
    </row>
    <row r="339" customFormat="false" ht="15" hidden="false" customHeight="true" outlineLevel="0" collapsed="false">
      <c r="A339" s="1" t="s">
        <v>1932</v>
      </c>
      <c r="B339" s="1" t="s">
        <v>1928</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 t="s">
        <v>1936</v>
      </c>
      <c r="B340" s="1" t="s">
        <v>1937</v>
      </c>
      <c r="C340" s="1" t="s">
        <v>1938</v>
      </c>
      <c r="D340" s="1" t="s">
        <v>264</v>
      </c>
      <c r="E340" s="1" t="s">
        <v>1939</v>
      </c>
      <c r="F340" s="1" t="s">
        <v>1940</v>
      </c>
      <c r="G340" s="1" t="s">
        <v>74</v>
      </c>
      <c r="H340" s="1" t="str">
        <f aca="false">IF(G340="BUG","BUG-"&amp;A340,IF(G340="FUNCTIONAL","FUNCTIONAL-"&amp;A340,""))</f>
        <v/>
      </c>
    </row>
    <row r="341" customFormat="false" ht="15" hidden="false" customHeight="true" outlineLevel="0" collapsed="false">
      <c r="A341" s="10" t="s">
        <v>1941</v>
      </c>
      <c r="B341" s="10" t="s">
        <v>1942</v>
      </c>
      <c r="C341" s="10" t="s">
        <v>1943</v>
      </c>
      <c r="D341" s="10" t="s">
        <v>61</v>
      </c>
      <c r="E341" s="10" t="s">
        <v>1944</v>
      </c>
      <c r="F341" s="10" t="s">
        <v>1945</v>
      </c>
      <c r="G341" s="10" t="s">
        <v>74</v>
      </c>
      <c r="H341" s="10" t="str">
        <f aca="false">IF(G341="BUG","BUG-"&amp;A341,IF(G341="FUNCTIONAL","FUNCTIONAL-"&amp;A341,""))</f>
        <v/>
      </c>
    </row>
    <row r="342" customFormat="false" ht="15" hidden="false" customHeight="true" outlineLevel="0" collapsed="false">
      <c r="A342" s="10" t="s">
        <v>1946</v>
      </c>
      <c r="B342" s="10" t="s">
        <v>1942</v>
      </c>
      <c r="C342" s="10" t="s">
        <v>1947</v>
      </c>
      <c r="D342" s="10" t="s">
        <v>61</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264</v>
      </c>
      <c r="E343" s="10" t="s">
        <v>1953</v>
      </c>
      <c r="F343" s="10" t="s">
        <v>1954</v>
      </c>
      <c r="G343" s="10" t="s">
        <v>74</v>
      </c>
      <c r="H343" s="10" t="str">
        <f aca="false">IF(G343="BUG","BUG-"&amp;A343,IF(G343="FUNCTIONAL","FUNCTIONAL-"&amp;A343,""))</f>
        <v/>
      </c>
    </row>
    <row r="344" customFormat="false" ht="15" hidden="false" customHeight="true" outlineLevel="0" collapsed="false">
      <c r="A344" s="10" t="s">
        <v>1955</v>
      </c>
      <c r="B344" s="10" t="s">
        <v>1956</v>
      </c>
      <c r="C344" s="10" t="s">
        <v>1957</v>
      </c>
      <c r="D344" s="10" t="s">
        <v>1958</v>
      </c>
      <c r="E344" s="10" t="s">
        <v>1959</v>
      </c>
      <c r="F344" s="10" t="s">
        <v>1960</v>
      </c>
      <c r="G344" s="10" t="s">
        <v>74</v>
      </c>
      <c r="H344" s="10" t="str">
        <f aca="false">IF(G344="BUG","BUG-"&amp;A344,IF(G344="FUNCTIONAL","FUNCTIONAL-"&amp;A344,""))</f>
        <v/>
      </c>
    </row>
    <row r="345" customFormat="false" ht="15" hidden="false" customHeight="true" outlineLevel="0" collapsed="false">
      <c r="A345" s="10" t="s">
        <v>1961</v>
      </c>
      <c r="B345" s="10" t="s">
        <v>1956</v>
      </c>
      <c r="C345" s="10" t="s">
        <v>1962</v>
      </c>
      <c r="D345" s="10" t="s">
        <v>1958</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1956</v>
      </c>
      <c r="C346" s="10" t="s">
        <v>1966</v>
      </c>
      <c r="D346" s="10" t="s">
        <v>1967</v>
      </c>
      <c r="E346" s="10" t="s">
        <v>1968</v>
      </c>
      <c r="F346" s="10" t="s">
        <v>1969</v>
      </c>
      <c r="G346" s="10" t="s">
        <v>74</v>
      </c>
      <c r="H346" s="10" t="str">
        <f aca="false">IF(G346="BUG","BUG-"&amp;A346,IF(G346="FUNCTIONAL","FUNCTIONAL-"&amp;A346,""))</f>
        <v/>
      </c>
    </row>
    <row r="347" customFormat="false" ht="15" hidden="false" customHeight="true" outlineLevel="0" collapsed="false">
      <c r="A347" s="10" t="s">
        <v>1970</v>
      </c>
      <c r="B347" s="10" t="s">
        <v>1956</v>
      </c>
      <c r="C347" s="10" t="s">
        <v>1971</v>
      </c>
      <c r="D347" s="10" t="s">
        <v>1972</v>
      </c>
      <c r="E347" s="10" t="s">
        <v>1973</v>
      </c>
      <c r="F347" s="10" t="s">
        <v>1974</v>
      </c>
      <c r="G347" s="10" t="s">
        <v>74</v>
      </c>
      <c r="H347" s="10" t="str">
        <f aca="false">IF(G347="BUG","BUG-"&amp;A347,IF(G347="FUNCTIONAL","FUNCTIONAL-"&amp;A347,""))</f>
        <v/>
      </c>
      <c r="L347" s="11" t="s">
        <v>1975</v>
      </c>
    </row>
    <row r="348" customFormat="false" ht="15" hidden="false" customHeight="true" outlineLevel="0" collapsed="false">
      <c r="A348" s="10" t="s">
        <v>1976</v>
      </c>
      <c r="B348" s="10" t="s">
        <v>1956</v>
      </c>
      <c r="C348" s="10" t="s">
        <v>1977</v>
      </c>
      <c r="D348" s="10" t="s">
        <v>1958</v>
      </c>
      <c r="E348" s="10" t="s">
        <v>1978</v>
      </c>
      <c r="F348" s="10" t="s">
        <v>1979</v>
      </c>
      <c r="G348" s="10" t="s">
        <v>74</v>
      </c>
      <c r="H348" s="10" t="str">
        <f aca="false">IF(G348="BUG","BUG-"&amp;A348,IF(G348="FUNCTIONAL","FUNCTIONAL-"&amp;A348,""))</f>
        <v/>
      </c>
    </row>
    <row r="349" customFormat="false" ht="15" hidden="false" customHeight="true" outlineLevel="0" collapsed="false">
      <c r="A349" s="10" t="s">
        <v>1980</v>
      </c>
      <c r="B349" s="10" t="s">
        <v>1981</v>
      </c>
      <c r="C349" s="10" t="s">
        <v>1982</v>
      </c>
      <c r="D349" s="10" t="s">
        <v>1983</v>
      </c>
      <c r="E349" s="10" t="s">
        <v>1984</v>
      </c>
      <c r="F349" s="10" t="s">
        <v>1985</v>
      </c>
      <c r="G349" s="10" t="s">
        <v>74</v>
      </c>
      <c r="H349" s="10" t="str">
        <f aca="false">IF(G349="BUG","BUG-"&amp;A349,IF(G349="FUNCTIONAL","FUNCTIONAL-"&amp;A349,""))</f>
        <v/>
      </c>
      <c r="L349" s="11" t="s">
        <v>1986</v>
      </c>
    </row>
    <row r="350" customFormat="false" ht="15" hidden="false" customHeight="true" outlineLevel="0" collapsed="false">
      <c r="A350" s="10" t="s">
        <v>1987</v>
      </c>
      <c r="B350" s="10" t="s">
        <v>1988</v>
      </c>
      <c r="C350" s="10" t="s">
        <v>1989</v>
      </c>
      <c r="D350" s="10" t="s">
        <v>1990</v>
      </c>
      <c r="E350" s="10" t="s">
        <v>1991</v>
      </c>
      <c r="F350" s="10" t="s">
        <v>1992</v>
      </c>
      <c r="G350" s="10" t="s">
        <v>74</v>
      </c>
      <c r="H350" s="10" t="str">
        <f aca="false">IF(G350="BUG","BUG-"&amp;A350,IF(G350="FUNCTIONAL","FUNCTIONAL-"&amp;A350,""))</f>
        <v/>
      </c>
      <c r="L350" s="11" t="s">
        <v>1993</v>
      </c>
    </row>
    <row r="351" customFormat="false" ht="15" hidden="false" customHeight="true" outlineLevel="0" collapsed="false">
      <c r="A351" s="10" t="s">
        <v>1994</v>
      </c>
      <c r="B351" s="10" t="s">
        <v>1995</v>
      </c>
      <c r="C351" s="10" t="s">
        <v>1996</v>
      </c>
      <c r="D351" s="10" t="s">
        <v>1997</v>
      </c>
      <c r="E351" s="10" t="s">
        <v>1998</v>
      </c>
      <c r="F351" s="10" t="s">
        <v>1999</v>
      </c>
      <c r="G351" s="10" t="s">
        <v>74</v>
      </c>
      <c r="H351" s="10" t="str">
        <f aca="false">IF(G351="BUG","BUG-"&amp;A351,IF(G351="FUNCTIONAL","FUNCTIONAL-"&amp;A351,""))</f>
        <v/>
      </c>
      <c r="L351" s="11" t="s">
        <v>2000</v>
      </c>
    </row>
    <row r="352" customFormat="false" ht="15" hidden="false" customHeight="true" outlineLevel="0" collapsed="false">
      <c r="A352" s="10" t="s">
        <v>2001</v>
      </c>
      <c r="B352" s="10" t="s">
        <v>2002</v>
      </c>
      <c r="C352" s="10" t="s">
        <v>2003</v>
      </c>
      <c r="D352" s="10" t="s">
        <v>61</v>
      </c>
      <c r="E352" s="10" t="s">
        <v>2004</v>
      </c>
      <c r="F352" s="10" t="s">
        <v>2005</v>
      </c>
      <c r="G352" s="10" t="s">
        <v>74</v>
      </c>
      <c r="H352" s="10" t="str">
        <f aca="false">IF(G352="BUG","BUG-"&amp;A352,IF(G352="FUNCTIONAL","FUNCTIONAL-"&amp;A352,""))</f>
        <v/>
      </c>
    </row>
    <row r="353" customFormat="false" ht="15" hidden="false" customHeight="true" outlineLevel="0" collapsed="false">
      <c r="A353" s="10" t="s">
        <v>2006</v>
      </c>
      <c r="B353" s="10" t="s">
        <v>2002</v>
      </c>
      <c r="C353" s="10" t="s">
        <v>2007</v>
      </c>
      <c r="D353" s="10" t="s">
        <v>61</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2002</v>
      </c>
      <c r="C354" s="10" t="s">
        <v>2011</v>
      </c>
      <c r="D354" s="10" t="s">
        <v>2012</v>
      </c>
      <c r="E354" s="10" t="s">
        <v>2013</v>
      </c>
      <c r="F354" s="10" t="s">
        <v>2014</v>
      </c>
      <c r="G354" s="10" t="s">
        <v>74</v>
      </c>
      <c r="H354" s="10" t="str">
        <f aca="false">IF(G354="BUG","BUG-"&amp;A354,IF(G354="FUNCTIONAL","FUNCTIONAL-"&amp;A354,""))</f>
        <v/>
      </c>
    </row>
    <row r="355" customFormat="false" ht="15" hidden="false" customHeight="true" outlineLevel="0" collapsed="false">
      <c r="A355" s="10" t="s">
        <v>2015</v>
      </c>
      <c r="B355" s="10" t="s">
        <v>2002</v>
      </c>
      <c r="C355" s="10" t="s">
        <v>2016</v>
      </c>
      <c r="D355" s="10" t="s">
        <v>61</v>
      </c>
      <c r="E355" s="10" t="s">
        <v>2017</v>
      </c>
      <c r="F355" s="10" t="s">
        <v>2018</v>
      </c>
      <c r="G355" s="10" t="s">
        <v>74</v>
      </c>
      <c r="H355" s="10" t="str">
        <f aca="false">IF(G355="BUG","BUG-"&amp;A355,IF(G355="FUNCTIONAL","FUNCTIONAL-"&amp;A355,""))</f>
        <v/>
      </c>
    </row>
    <row r="356" customFormat="false" ht="15" hidden="false" customHeight="true" outlineLevel="0" collapsed="false">
      <c r="A356" s="10" t="s">
        <v>2019</v>
      </c>
      <c r="B356" s="10" t="s">
        <v>2020</v>
      </c>
      <c r="C356" s="10" t="s">
        <v>2021</v>
      </c>
      <c r="D356" s="10" t="s">
        <v>2022</v>
      </c>
      <c r="E356" s="10" t="s">
        <v>2023</v>
      </c>
      <c r="F356" s="10" t="s">
        <v>2024</v>
      </c>
      <c r="G356" s="10" t="s">
        <v>74</v>
      </c>
      <c r="H356" s="10" t="str">
        <f aca="false">IF(G356="BUG","BUG-"&amp;A356,IF(G356="FUNCTIONAL","FUNCTIONAL-"&amp;A356,""))</f>
        <v/>
      </c>
      <c r="L356" s="11" t="s">
        <v>2025</v>
      </c>
    </row>
    <row r="357" customFormat="false" ht="15" hidden="false" customHeight="true" outlineLevel="0" collapsed="false">
      <c r="A357" s="10" t="s">
        <v>2026</v>
      </c>
      <c r="B357" s="10" t="s">
        <v>2027</v>
      </c>
      <c r="C357" s="10" t="s">
        <v>2028</v>
      </c>
      <c r="D357" s="10" t="s">
        <v>2029</v>
      </c>
      <c r="E357" s="10" t="s">
        <v>2030</v>
      </c>
      <c r="F357" s="10" t="s">
        <v>2031</v>
      </c>
      <c r="G357" s="10" t="s">
        <v>74</v>
      </c>
      <c r="H357" s="10" t="str">
        <f aca="false">IF(G357="BUG","BUG-"&amp;A357,IF(G357="FUNCTIONAL","FUNCTIONAL-"&amp;A357,""))</f>
        <v/>
      </c>
      <c r="L357" s="11" t="s">
        <v>2032</v>
      </c>
    </row>
    <row r="358" customFormat="false" ht="15" hidden="false" customHeight="true" outlineLevel="0" collapsed="false">
      <c r="A358" s="10" t="s">
        <v>2033</v>
      </c>
      <c r="B358" s="10" t="s">
        <v>2034</v>
      </c>
      <c r="C358" s="10" t="s">
        <v>2035</v>
      </c>
      <c r="D358" s="10" t="s">
        <v>61</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2034</v>
      </c>
      <c r="C359" s="10" t="s">
        <v>2039</v>
      </c>
      <c r="D359" s="10" t="s">
        <v>2040</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2044</v>
      </c>
      <c r="C360" s="10" t="s">
        <v>2045</v>
      </c>
      <c r="D360" s="10" t="s">
        <v>61</v>
      </c>
      <c r="E360" s="10" t="s">
        <v>2046</v>
      </c>
      <c r="F360" s="10" t="s">
        <v>2047</v>
      </c>
      <c r="G360" s="10" t="s">
        <v>74</v>
      </c>
      <c r="H360" s="10" t="str">
        <f aca="false">IF(G360="BUG","BUG-"&amp;A360,IF(G360="FUNCTIONAL","FUNCTIONAL-"&amp;A360,""))</f>
        <v/>
      </c>
    </row>
    <row r="361" customFormat="false" ht="15" hidden="false" customHeight="true" outlineLevel="0" collapsed="false">
      <c r="A361" s="10" t="s">
        <v>2048</v>
      </c>
      <c r="B361" s="10" t="s">
        <v>2044</v>
      </c>
      <c r="C361" s="10" t="s">
        <v>2049</v>
      </c>
      <c r="D361" s="10" t="s">
        <v>61</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2044</v>
      </c>
      <c r="C362" s="10" t="s">
        <v>2053</v>
      </c>
      <c r="D362" s="10" t="s">
        <v>2054</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2058</v>
      </c>
      <c r="C363" s="10" t="s">
        <v>2059</v>
      </c>
      <c r="D363" s="10" t="s">
        <v>61</v>
      </c>
      <c r="E363" s="10" t="s">
        <v>2060</v>
      </c>
      <c r="F363" s="10" t="s">
        <v>2061</v>
      </c>
      <c r="G363" s="10" t="s">
        <v>74</v>
      </c>
      <c r="H363" s="10" t="str">
        <f aca="false">IF(G363="BUG","BUG-"&amp;A363,IF(G363="FUNCTIONAL","FUNCTIONAL-"&amp;A363,""))</f>
        <v/>
      </c>
    </row>
    <row r="364" customFormat="false" ht="15" hidden="false" customHeight="true" outlineLevel="0" collapsed="false">
      <c r="A364" s="10" t="s">
        <v>2062</v>
      </c>
      <c r="B364" s="10" t="s">
        <v>2058</v>
      </c>
      <c r="C364" s="10" t="s">
        <v>2063</v>
      </c>
      <c r="D364" s="10" t="s">
        <v>61</v>
      </c>
      <c r="E364" s="10" t="s">
        <v>2064</v>
      </c>
      <c r="F364" s="10" t="s">
        <v>2065</v>
      </c>
      <c r="G364" s="10" t="s">
        <v>74</v>
      </c>
      <c r="H364" s="10" t="str">
        <f aca="false">IF(G364="BUG","BUG-"&amp;A364,IF(G364="FUNCTIONAL","FUNCTIONAL-"&amp;A364,""))</f>
        <v/>
      </c>
    </row>
    <row r="365" customFormat="false" ht="15" hidden="false" customHeight="true" outlineLevel="0" collapsed="false">
      <c r="A365" s="10" t="s">
        <v>2066</v>
      </c>
      <c r="B365" s="10" t="s">
        <v>2058</v>
      </c>
      <c r="C365" s="10" t="s">
        <v>2067</v>
      </c>
      <c r="D365" s="10" t="s">
        <v>61</v>
      </c>
      <c r="E365" s="10" t="s">
        <v>2068</v>
      </c>
      <c r="F365" s="10" t="s">
        <v>2069</v>
      </c>
      <c r="G365" s="10" t="s">
        <v>74</v>
      </c>
      <c r="H365" s="10" t="str">
        <f aca="false">IF(G365="BUG","BUG-"&amp;A365,IF(G365="FUNCTIONAL","FUNCTIONAL-"&amp;A365,""))</f>
        <v/>
      </c>
    </row>
    <row r="366" customFormat="false" ht="15" hidden="false" customHeight="true" outlineLevel="0" collapsed="false">
      <c r="A366" s="10" t="s">
        <v>2070</v>
      </c>
      <c r="B366" s="10" t="s">
        <v>2058</v>
      </c>
      <c r="C366" s="10" t="s">
        <v>2071</v>
      </c>
      <c r="D366" s="10" t="s">
        <v>61</v>
      </c>
      <c r="E366" s="10" t="s">
        <v>2072</v>
      </c>
      <c r="F366" s="10" t="s">
        <v>2073</v>
      </c>
      <c r="G366" s="10" t="s">
        <v>74</v>
      </c>
      <c r="H366" s="10" t="str">
        <f aca="false">IF(G366="BUG","BUG-"&amp;A366,IF(G366="FUNCTIONAL","FUNCTIONAL-"&amp;A366,""))</f>
        <v/>
      </c>
    </row>
    <row r="367" customFormat="false" ht="15" hidden="false" customHeight="true" outlineLevel="0" collapsed="false">
      <c r="A367" s="1" t="s">
        <v>2074</v>
      </c>
      <c r="B367" s="1" t="s">
        <v>2075</v>
      </c>
      <c r="C367" s="1" t="s">
        <v>2076</v>
      </c>
      <c r="D367" s="1" t="s">
        <v>2077</v>
      </c>
      <c r="E367" s="1" t="s">
        <v>2078</v>
      </c>
      <c r="F367" s="1" t="s">
        <v>2079</v>
      </c>
      <c r="G367" s="1" t="s">
        <v>74</v>
      </c>
      <c r="H367" s="1" t="str">
        <f aca="false">IF(G367="BUG","BUG-"&amp;A367,IF(G367="FUNCTIONAL","FUNCTIONAL-"&amp;A367,""))</f>
        <v/>
      </c>
    </row>
    <row r="368" customFormat="false" ht="15" hidden="false" customHeight="true" outlineLevel="0" collapsed="false">
      <c r="A368" s="1" t="s">
        <v>2080</v>
      </c>
      <c r="B368" s="1" t="s">
        <v>2081</v>
      </c>
      <c r="C368" s="1" t="s">
        <v>2082</v>
      </c>
      <c r="D368" s="1" t="s">
        <v>2083</v>
      </c>
      <c r="E368" s="1" t="s">
        <v>2084</v>
      </c>
      <c r="F368" s="1" t="s">
        <v>2085</v>
      </c>
      <c r="G368" s="1" t="s">
        <v>74</v>
      </c>
      <c r="H368" s="1" t="str">
        <f aca="false">IF(G368="BUG","BUG-"&amp;A368,IF(G368="FUNCTIONAL","FUNCTIONAL-"&amp;A368,""))</f>
        <v/>
      </c>
    </row>
    <row r="369" customFormat="false" ht="15" hidden="false" customHeight="true" outlineLevel="0" collapsed="false">
      <c r="A369" s="1" t="s">
        <v>2086</v>
      </c>
      <c r="B369" s="1" t="s">
        <v>2087</v>
      </c>
      <c r="C369" s="1" t="s">
        <v>2088</v>
      </c>
      <c r="D369" s="1" t="s">
        <v>2089</v>
      </c>
      <c r="E369" s="1" t="s">
        <v>2090</v>
      </c>
      <c r="F369" s="1" t="s">
        <v>2091</v>
      </c>
      <c r="G369" s="1" t="s">
        <v>2092</v>
      </c>
      <c r="H369" s="1" t="str">
        <f aca="false">IF(G369="BUG","BUG-"&amp;A369,IF(G369="FUNCTIONAL","FUNCTIONAL-"&amp;A369,""))</f>
        <v/>
      </c>
    </row>
    <row r="370" customFormat="false" ht="15" hidden="false" customHeight="true" outlineLevel="0" collapsed="false">
      <c r="A370" s="1" t="s">
        <v>2093</v>
      </c>
      <c r="B370" s="1" t="s">
        <v>2094</v>
      </c>
      <c r="C370" s="1" t="s">
        <v>2095</v>
      </c>
      <c r="D370" s="1" t="s">
        <v>2096</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61</v>
      </c>
      <c r="E373" s="1" t="s">
        <v>2112</v>
      </c>
      <c r="F373" s="1" t="s">
        <v>2113</v>
      </c>
      <c r="G373" s="1" t="s">
        <v>74</v>
      </c>
      <c r="H373" s="1" t="str">
        <f aca="false">IF(G373="BUG","BUG-"&amp;A373,IF(G373="FUNCTIONAL","FUNCTIONAL-"&amp;A373,""))</f>
        <v/>
      </c>
    </row>
    <row r="374" customFormat="false" ht="15" hidden="false" customHeight="true" outlineLevel="0" collapsed="false">
      <c r="A374" s="1" t="s">
        <v>2114</v>
      </c>
      <c r="B374" s="1" t="s">
        <v>2115</v>
      </c>
      <c r="C374" s="1" t="s">
        <v>2116</v>
      </c>
      <c r="D374" s="1" t="s">
        <v>2117</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2121</v>
      </c>
      <c r="C375" s="1" t="s">
        <v>2122</v>
      </c>
      <c r="D375" s="1" t="s">
        <v>61</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2121</v>
      </c>
      <c r="C376" s="1" t="s">
        <v>2126</v>
      </c>
      <c r="D376" s="1" t="s">
        <v>2127</v>
      </c>
      <c r="E376" s="1" t="s">
        <v>2128</v>
      </c>
      <c r="F376" s="1" t="s">
        <v>2129</v>
      </c>
      <c r="G376" s="1" t="s">
        <v>74</v>
      </c>
      <c r="H376" s="1" t="str">
        <f aca="false">IF(G376="BUG","BUG-"&amp;A376,IF(G376="FUNCTIONAL","FUNCTIONAL-"&amp;A376,""))</f>
        <v/>
      </c>
    </row>
    <row r="377" customFormat="false" ht="15" hidden="false" customHeight="true" outlineLevel="0" collapsed="false">
      <c r="A377" s="1" t="s">
        <v>2130</v>
      </c>
      <c r="B377" s="1" t="s">
        <v>2121</v>
      </c>
      <c r="C377" s="1" t="s">
        <v>2131</v>
      </c>
      <c r="D377" s="1" t="s">
        <v>61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2121</v>
      </c>
      <c r="C378" s="1" t="s">
        <v>2135</v>
      </c>
      <c r="D378" s="1" t="s">
        <v>2136</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2140</v>
      </c>
      <c r="C379" s="1" t="s">
        <v>2141</v>
      </c>
      <c r="D379" s="1" t="s">
        <v>2136</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2140</v>
      </c>
      <c r="C380" s="1" t="s">
        <v>2145</v>
      </c>
      <c r="D380" s="1" t="s">
        <v>2146</v>
      </c>
      <c r="E380" s="1" t="s">
        <v>2147</v>
      </c>
      <c r="F380" s="1" t="s">
        <v>2148</v>
      </c>
      <c r="G380" s="1" t="s">
        <v>74</v>
      </c>
      <c r="H380" s="1" t="str">
        <f aca="false">IF(G380="BUG","BUG-"&amp;A380,IF(G380="FUNCTIONAL","FUNCTIONAL-"&amp;A380,""))</f>
        <v/>
      </c>
    </row>
    <row r="381" customFormat="false" ht="15" hidden="false" customHeight="true" outlineLevel="0" collapsed="false">
      <c r="A381" s="1" t="s">
        <v>2149</v>
      </c>
      <c r="B381" s="1" t="s">
        <v>2150</v>
      </c>
      <c r="C381" s="1" t="s">
        <v>2151</v>
      </c>
      <c r="D381" s="1" t="s">
        <v>2152</v>
      </c>
      <c r="E381" s="1" t="s">
        <v>2153</v>
      </c>
      <c r="F381" s="1" t="s">
        <v>2154</v>
      </c>
      <c r="G381" s="1" t="s">
        <v>74</v>
      </c>
      <c r="H381" s="1" t="str">
        <f aca="false">IF(G381="BUG","BUG-"&amp;A381,IF(G381="FUNCTIONAL","FUNCTIONAL-"&amp;A381,""))</f>
        <v/>
      </c>
      <c r="I381" s="1" t="s">
        <v>42</v>
      </c>
    </row>
    <row r="382" customFormat="false" ht="15" hidden="false" customHeight="true" outlineLevel="0" collapsed="false">
      <c r="A382" s="1" t="s">
        <v>2155</v>
      </c>
      <c r="B382" s="1" t="s">
        <v>2150</v>
      </c>
      <c r="C382" s="1" t="s">
        <v>2156</v>
      </c>
      <c r="D382" s="1" t="s">
        <v>2152</v>
      </c>
      <c r="E382" s="1" t="s">
        <v>2157</v>
      </c>
      <c r="F382" s="1" t="s">
        <v>2158</v>
      </c>
      <c r="G382" s="1" t="s">
        <v>74</v>
      </c>
      <c r="H382" s="1" t="str">
        <f aca="false">IF(G382="BUG","BUG-"&amp;A382,IF(G382="FUNCTIONAL","FUNCTIONAL-"&amp;A382,""))</f>
        <v/>
      </c>
      <c r="I382" s="1" t="s">
        <v>42</v>
      </c>
    </row>
    <row r="383" customFormat="false" ht="15" hidden="false" customHeight="true" outlineLevel="0" collapsed="false">
      <c r="A383" s="1" t="s">
        <v>2159</v>
      </c>
      <c r="B383" s="1" t="s">
        <v>2150</v>
      </c>
      <c r="C383" s="1" t="s">
        <v>2160</v>
      </c>
      <c r="D383" s="1" t="s">
        <v>2152</v>
      </c>
      <c r="E383" s="1" t="s">
        <v>2161</v>
      </c>
      <c r="F383" s="1" t="s">
        <v>2162</v>
      </c>
      <c r="G383" s="1" t="s">
        <v>74</v>
      </c>
      <c r="H383" s="1" t="str">
        <f aca="false">IF(G383="BUG","BUG-"&amp;A383,IF(G383="FUNCTIONAL","FUNCTIONAL-"&amp;A383,""))</f>
        <v/>
      </c>
      <c r="I383" s="1" t="s">
        <v>42</v>
      </c>
    </row>
    <row r="384" customFormat="false" ht="15" hidden="false" customHeight="true" outlineLevel="0" collapsed="false">
      <c r="A384" s="1" t="s">
        <v>2163</v>
      </c>
      <c r="B384" s="1" t="s">
        <v>2150</v>
      </c>
      <c r="C384" s="1" t="s">
        <v>2164</v>
      </c>
      <c r="D384" s="1" t="s">
        <v>2165</v>
      </c>
      <c r="E384" s="1" t="s">
        <v>2166</v>
      </c>
      <c r="F384" s="1" t="s">
        <v>2167</v>
      </c>
      <c r="G384" s="1" t="s">
        <v>2168</v>
      </c>
      <c r="H384" s="1" t="str">
        <f aca="false">IF(G384="BUG","BUG-"&amp;A384,IF(G384="FUNCTIONAL","FUNCTIONAL-"&amp;A384,""))</f>
        <v/>
      </c>
      <c r="I384" s="1" t="s">
        <v>65</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56</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42</v>
      </c>
    </row>
    <row r="387" customFormat="false" ht="15" hidden="false" customHeight="true" outlineLevel="0" collapsed="false">
      <c r="A387" s="1" t="s">
        <v>2179</v>
      </c>
      <c r="B387" s="1" t="s">
        <v>2180</v>
      </c>
      <c r="C387" s="1" t="s">
        <v>2181</v>
      </c>
      <c r="D387" s="1" t="s">
        <v>61</v>
      </c>
      <c r="E387" s="1" t="s">
        <v>2182</v>
      </c>
      <c r="F387" s="1" t="s">
        <v>2183</v>
      </c>
      <c r="G387" s="1" t="s">
        <v>74</v>
      </c>
      <c r="H387" s="1" t="str">
        <f aca="false">IF(G387="BUG","BUG-"&amp;A387,IF(G387="FUNCTIONAL","FUNCTIONAL-"&amp;A387,""))</f>
        <v/>
      </c>
      <c r="I387" s="1" t="s">
        <v>65</v>
      </c>
    </row>
    <row r="388" customFormat="false" ht="15" hidden="false" customHeight="true" outlineLevel="0" collapsed="false">
      <c r="A388" s="1" t="s">
        <v>2184</v>
      </c>
      <c r="B388" s="1" t="s">
        <v>2180</v>
      </c>
      <c r="C388" s="1" t="s">
        <v>2185</v>
      </c>
      <c r="D388" s="1" t="s">
        <v>61</v>
      </c>
      <c r="E388" s="1" t="s">
        <v>2186</v>
      </c>
      <c r="F388" s="1" t="s">
        <v>2187</v>
      </c>
      <c r="G388" s="1" t="s">
        <v>74</v>
      </c>
      <c r="H388" s="1" t="str">
        <f aca="false">IF(G388="BUG","BUG-"&amp;A388,IF(G388="FUNCTIONAL","FUNCTIONAL-"&amp;A388,""))</f>
        <v/>
      </c>
      <c r="I388" s="1" t="s">
        <v>65</v>
      </c>
    </row>
    <row r="389" customFormat="false" ht="15" hidden="false" customHeight="true" outlineLevel="0" collapsed="false">
      <c r="A389" s="1" t="s">
        <v>2188</v>
      </c>
      <c r="B389" s="1" t="s">
        <v>2180</v>
      </c>
      <c r="C389" s="1" t="s">
        <v>2189</v>
      </c>
      <c r="D389" s="1" t="s">
        <v>61</v>
      </c>
      <c r="E389" s="1" t="s">
        <v>2190</v>
      </c>
      <c r="F389" s="1" t="s">
        <v>2191</v>
      </c>
      <c r="G389" s="1" t="s">
        <v>74</v>
      </c>
      <c r="H389" s="1" t="str">
        <f aca="false">IF(G389="BUG","BUG-"&amp;A389,IF(G389="FUNCTIONAL","FUNCTIONAL-"&amp;A389,""))</f>
        <v/>
      </c>
      <c r="I389" s="1" t="s">
        <v>65</v>
      </c>
    </row>
    <row r="390" customFormat="false" ht="15" hidden="false" customHeight="true" outlineLevel="0" collapsed="false">
      <c r="A390" s="1" t="s">
        <v>2192</v>
      </c>
      <c r="B390" s="1" t="s">
        <v>2180</v>
      </c>
      <c r="C390" s="1" t="s">
        <v>2193</v>
      </c>
      <c r="D390" s="1" t="s">
        <v>61</v>
      </c>
      <c r="E390" s="1" t="s">
        <v>2194</v>
      </c>
      <c r="F390" s="1" t="s">
        <v>2195</v>
      </c>
      <c r="G390" s="1" t="s">
        <v>74</v>
      </c>
      <c r="H390" s="1" t="str">
        <f aca="false">IF(G390="BUG","BUG-"&amp;A390,IF(G390="FUNCTIONAL","FUNCTIONAL-"&amp;A390,""))</f>
        <v/>
      </c>
      <c r="I390" s="1" t="s">
        <v>65</v>
      </c>
    </row>
    <row r="391" customFormat="false" ht="15" hidden="false" customHeight="true" outlineLevel="0" collapsed="false">
      <c r="A391" s="1" t="s">
        <v>2196</v>
      </c>
      <c r="B391" s="1" t="s">
        <v>2197</v>
      </c>
      <c r="C391" s="1" t="s">
        <v>2198</v>
      </c>
      <c r="D391" s="1" t="s">
        <v>2199</v>
      </c>
      <c r="E391" s="1" t="s">
        <v>2200</v>
      </c>
      <c r="F391" s="1" t="s">
        <v>2201</v>
      </c>
      <c r="G391" s="1" t="s">
        <v>74</v>
      </c>
      <c r="H391" s="1" t="str">
        <f aca="false">IF(G391="BUG","BUG-"&amp;A391,IF(G391="FUNCTIONAL","FUNCTIONAL-"&amp;A391,""))</f>
        <v/>
      </c>
    </row>
    <row r="392" customFormat="false" ht="15" hidden="false" customHeight="true" outlineLevel="0" collapsed="false">
      <c r="A392" s="1" t="s">
        <v>2202</v>
      </c>
      <c r="B392" s="1" t="s">
        <v>2203</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2203</v>
      </c>
      <c r="C393" s="1" t="s">
        <v>2209</v>
      </c>
      <c r="D393" s="1" t="s">
        <v>2210</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264</v>
      </c>
      <c r="E394" s="1" t="s">
        <v>2216</v>
      </c>
      <c r="F394" s="1" t="s">
        <v>2217</v>
      </c>
      <c r="G394" s="1" t="s">
        <v>74</v>
      </c>
      <c r="H394" s="1" t="str">
        <f aca="false">IF(G394="BUG","BUG-"&amp;A394,IF(G394="FUNCTIONAL","FUNCTIONAL-"&amp;A394,""))</f>
        <v/>
      </c>
    </row>
    <row r="395" customFormat="false" ht="15" hidden="false" customHeight="true" outlineLevel="0" collapsed="false">
      <c r="A395" s="1" t="s">
        <v>2218</v>
      </c>
      <c r="B395" s="1" t="s">
        <v>2219</v>
      </c>
      <c r="C395" s="1" t="s">
        <v>2220</v>
      </c>
      <c r="D395" s="1" t="s">
        <v>2221</v>
      </c>
      <c r="E395" s="1" t="s">
        <v>2222</v>
      </c>
      <c r="F395" s="1" t="s">
        <v>2223</v>
      </c>
      <c r="G395" s="1" t="s">
        <v>74</v>
      </c>
      <c r="H395" s="1" t="str">
        <f aca="false">IF(G395="BUG","BUG-"&amp;A395,IF(G395="FUNCTIONAL","FUNCTIONAL-"&amp;A395,""))</f>
        <v/>
      </c>
    </row>
    <row r="396" customFormat="false" ht="15" hidden="false" customHeight="true" outlineLevel="0" collapsed="false">
      <c r="A396" s="1" t="s">
        <v>2224</v>
      </c>
      <c r="B396" s="1" t="s">
        <v>2225</v>
      </c>
      <c r="C396" s="1" t="s">
        <v>2226</v>
      </c>
      <c r="D396" s="1" t="s">
        <v>1770</v>
      </c>
      <c r="E396" s="1" t="s">
        <v>2227</v>
      </c>
      <c r="F396" s="1" t="s">
        <v>2228</v>
      </c>
      <c r="G396" s="1" t="s">
        <v>41</v>
      </c>
      <c r="H396" s="1" t="str">
        <f aca="false">IF(G396="BUG","BUG-"&amp;A396,IF(G396="FUNCTIONAL","FUNCTIONAL-"&amp;A396,""))</f>
        <v/>
      </c>
    </row>
    <row r="397" customFormat="false" ht="15" hidden="false" customHeight="true" outlineLevel="0" collapsed="false">
      <c r="A397" s="10" t="s">
        <v>2229</v>
      </c>
      <c r="B397" s="10" t="s">
        <v>2230</v>
      </c>
      <c r="C397" s="10" t="s">
        <v>2231</v>
      </c>
      <c r="D397" s="10" t="s">
        <v>2232</v>
      </c>
      <c r="E397" s="10" t="s">
        <v>2233</v>
      </c>
      <c r="F397" s="10" t="s">
        <v>2234</v>
      </c>
      <c r="G397" s="10" t="s">
        <v>41</v>
      </c>
      <c r="H397" s="10" t="str">
        <f aca="false">IF(G397="BUG","BUG-"&amp;A397,IF(G397="FUNCTIONAL","FUNCTIONAL-"&amp;A397,""))</f>
        <v/>
      </c>
      <c r="I397" s="10" t="s">
        <v>42</v>
      </c>
      <c r="K397" s="11" t="s">
        <v>652</v>
      </c>
      <c r="L397" s="11" t="s">
        <v>2235</v>
      </c>
    </row>
    <row r="398" customFormat="false" ht="15" hidden="false" customHeight="true" outlineLevel="0" collapsed="false">
      <c r="A398" s="10" t="s">
        <v>2236</v>
      </c>
      <c r="B398" s="10" t="s">
        <v>2230</v>
      </c>
      <c r="C398" s="10" t="s">
        <v>2237</v>
      </c>
      <c r="D398" s="10" t="s">
        <v>2238</v>
      </c>
      <c r="E398" s="10" t="s">
        <v>2239</v>
      </c>
      <c r="F398" s="10" t="s">
        <v>2240</v>
      </c>
      <c r="G398" s="10" t="s">
        <v>41</v>
      </c>
      <c r="H398" s="10" t="str">
        <f aca="false">IF(G398="BUG","BUG-"&amp;A398,IF(G398="FUNCTIONAL","FUNCTIONAL-"&amp;A398,""))</f>
        <v/>
      </c>
      <c r="I398" s="10" t="s">
        <v>42</v>
      </c>
      <c r="K398" s="11" t="s">
        <v>198</v>
      </c>
      <c r="L398" s="11" t="s">
        <v>2241</v>
      </c>
    </row>
    <row r="399" customFormat="false" ht="15" hidden="false" customHeight="true" outlineLevel="0" collapsed="false">
      <c r="A399" s="10" t="s">
        <v>2242</v>
      </c>
      <c r="B399" s="10" t="s">
        <v>2230</v>
      </c>
      <c r="C399" s="10" t="s">
        <v>2243</v>
      </c>
      <c r="D399" s="10" t="s">
        <v>2244</v>
      </c>
      <c r="E399" s="10" t="s">
        <v>2245</v>
      </c>
      <c r="F399" s="10" t="s">
        <v>2246</v>
      </c>
      <c r="G399" s="10" t="s">
        <v>41</v>
      </c>
      <c r="H399" s="10" t="str">
        <f aca="false">IF(G399="BUG","BUG-"&amp;A399,IF(G399="FUNCTIONAL","FUNCTIONAL-"&amp;A399,""))</f>
        <v/>
      </c>
      <c r="I399" s="10" t="s">
        <v>42</v>
      </c>
      <c r="K399" s="11" t="s">
        <v>198</v>
      </c>
      <c r="L399" s="11" t="s">
        <v>2247</v>
      </c>
    </row>
    <row r="400" customFormat="false" ht="15" hidden="false" customHeight="true" outlineLevel="0" collapsed="false">
      <c r="A400" s="10" t="s">
        <v>2248</v>
      </c>
      <c r="B400" s="10" t="s">
        <v>2230</v>
      </c>
      <c r="C400" s="10" t="s">
        <v>2249</v>
      </c>
      <c r="D400" s="10" t="s">
        <v>2250</v>
      </c>
      <c r="E400" s="10" t="s">
        <v>2251</v>
      </c>
      <c r="F400" s="10" t="s">
        <v>2252</v>
      </c>
      <c r="G400" s="10" t="s">
        <v>41</v>
      </c>
      <c r="H400" s="10" t="str">
        <f aca="false">IF(G400="BUG","BUG-"&amp;A400,IF(G400="FUNCTIONAL","FUNCTIONAL-"&amp;A400,""))</f>
        <v/>
      </c>
      <c r="I400" s="10" t="s">
        <v>56</v>
      </c>
      <c r="L400" s="11" t="s">
        <v>2253</v>
      </c>
    </row>
    <row r="401" customFormat="false" ht="15" hidden="false" customHeight="true" outlineLevel="0" collapsed="false">
      <c r="A401" s="10" t="s">
        <v>2254</v>
      </c>
      <c r="B401" s="10" t="s">
        <v>2230</v>
      </c>
      <c r="C401" s="10" t="s">
        <v>2255</v>
      </c>
      <c r="D401" s="10" t="s">
        <v>2256</v>
      </c>
      <c r="E401" s="10" t="s">
        <v>2257</v>
      </c>
      <c r="F401" s="10" t="s">
        <v>2258</v>
      </c>
      <c r="G401" s="10" t="s">
        <v>2259</v>
      </c>
      <c r="H401" s="10" t="str">
        <f aca="false">IF(G401="BUG","BUG-"&amp;A401,IF(G401="FUNCTIONAL","FUNCTIONAL-"&amp;A401,""))</f>
        <v/>
      </c>
      <c r="I401" s="10" t="s">
        <v>56</v>
      </c>
      <c r="L401" s="11" t="s">
        <v>2260</v>
      </c>
    </row>
    <row r="402" customFormat="false" ht="15" hidden="false" customHeight="true" outlineLevel="0" collapsed="false">
      <c r="A402" s="10" t="s">
        <v>2261</v>
      </c>
      <c r="B402" s="10" t="s">
        <v>2230</v>
      </c>
      <c r="C402" s="10" t="s">
        <v>2262</v>
      </c>
      <c r="D402" s="10" t="s">
        <v>2263</v>
      </c>
      <c r="E402" s="10" t="s">
        <v>2264</v>
      </c>
      <c r="F402" s="10" t="s">
        <v>2265</v>
      </c>
      <c r="G402" s="10" t="s">
        <v>2259</v>
      </c>
      <c r="H402" s="10" t="str">
        <f aca="false">IF(G402="BUG","BUG-"&amp;A402,IF(G402="FUNCTIONAL","FUNCTIONAL-"&amp;A402,""))</f>
        <v/>
      </c>
      <c r="I402" s="10" t="s">
        <v>65</v>
      </c>
      <c r="L402" s="11" t="s">
        <v>2266</v>
      </c>
    </row>
    <row r="403" customFormat="false" ht="15" hidden="false" customHeight="true" outlineLevel="0" collapsed="false">
      <c r="A403" s="10" t="s">
        <v>2267</v>
      </c>
      <c r="B403" s="10" t="s">
        <v>2268</v>
      </c>
      <c r="C403" s="10" t="s">
        <v>2269</v>
      </c>
      <c r="D403" s="10" t="s">
        <v>2238</v>
      </c>
      <c r="E403" s="10" t="s">
        <v>2270</v>
      </c>
      <c r="F403" s="10" t="s">
        <v>2271</v>
      </c>
      <c r="G403" s="10" t="s">
        <v>74</v>
      </c>
      <c r="H403" s="10" t="str">
        <f aca="false">IF(G403="BUG","BUG-"&amp;A403,IF(G403="FUNCTIONAL","FUNCTIONAL-"&amp;A403,""))</f>
        <v/>
      </c>
      <c r="I403" s="10" t="s">
        <v>42</v>
      </c>
      <c r="L403" s="11" t="s">
        <v>2272</v>
      </c>
    </row>
    <row r="404" customFormat="false" ht="15" hidden="false" customHeight="true" outlineLevel="0" collapsed="false">
      <c r="A404" s="10" t="s">
        <v>2273</v>
      </c>
      <c r="B404" s="10" t="s">
        <v>2268</v>
      </c>
      <c r="C404" s="10" t="s">
        <v>2274</v>
      </c>
      <c r="D404" s="10" t="s">
        <v>2244</v>
      </c>
      <c r="E404" s="10" t="s">
        <v>2275</v>
      </c>
      <c r="F404" s="10" t="s">
        <v>2246</v>
      </c>
      <c r="G404" s="10" t="s">
        <v>74</v>
      </c>
      <c r="H404" s="10" t="str">
        <f aca="false">IF(G404="BUG","BUG-"&amp;A404,IF(G404="FUNCTIONAL","FUNCTIONAL-"&amp;A404,""))</f>
        <v/>
      </c>
      <c r="I404" s="10" t="s">
        <v>42</v>
      </c>
      <c r="L404" s="11" t="s">
        <v>2276</v>
      </c>
    </row>
    <row r="405" customFormat="false" ht="15" hidden="false" customHeight="true" outlineLevel="0" collapsed="false">
      <c r="A405" s="10" t="s">
        <v>2277</v>
      </c>
      <c r="B405" s="10" t="s">
        <v>2268</v>
      </c>
      <c r="C405" s="10" t="s">
        <v>2278</v>
      </c>
      <c r="D405" s="10" t="s">
        <v>2279</v>
      </c>
      <c r="E405" s="10" t="s">
        <v>2280</v>
      </c>
      <c r="F405" s="10" t="s">
        <v>2281</v>
      </c>
      <c r="G405" s="10" t="s">
        <v>41</v>
      </c>
      <c r="H405" s="10" t="str">
        <f aca="false">IF(G405="BUG","BUG-"&amp;A405,IF(G405="FUNCTIONAL","FUNCTIONAL-"&amp;A405,""))</f>
        <v/>
      </c>
      <c r="I405" s="10" t="s">
        <v>42</v>
      </c>
      <c r="L405" s="11" t="s">
        <v>2282</v>
      </c>
    </row>
    <row r="406" customFormat="false" ht="15" hidden="false" customHeight="true" outlineLevel="0" collapsed="false">
      <c r="A406" s="10" t="s">
        <v>2283</v>
      </c>
      <c r="B406" s="10" t="s">
        <v>2268</v>
      </c>
      <c r="C406" s="10" t="s">
        <v>2284</v>
      </c>
      <c r="D406" s="10" t="s">
        <v>2285</v>
      </c>
      <c r="E406" s="10" t="s">
        <v>2286</v>
      </c>
      <c r="F406" s="10" t="s">
        <v>2287</v>
      </c>
      <c r="G406" s="10" t="s">
        <v>2288</v>
      </c>
      <c r="H406" s="10" t="str">
        <f aca="false">IF(G406="BUG","BUG-"&amp;A406,IF(G406="FUNCTIONAL","FUNCTIONAL-"&amp;A406,""))</f>
        <v/>
      </c>
      <c r="I406" s="10" t="s">
        <v>56</v>
      </c>
      <c r="L406" s="11" t="s">
        <v>2289</v>
      </c>
    </row>
    <row r="407" customFormat="false" ht="15" hidden="false" customHeight="true" outlineLevel="0" collapsed="false">
      <c r="A407" s="10" t="s">
        <v>2290</v>
      </c>
      <c r="B407" s="10" t="s">
        <v>2268</v>
      </c>
      <c r="C407" s="10" t="s">
        <v>2291</v>
      </c>
      <c r="D407" s="10" t="s">
        <v>2292</v>
      </c>
      <c r="E407" s="10" t="s">
        <v>2293</v>
      </c>
      <c r="F407" s="10" t="s">
        <v>2294</v>
      </c>
      <c r="G407" s="10" t="s">
        <v>41</v>
      </c>
      <c r="H407" s="10" t="str">
        <f aca="false">IF(G407="BUG","BUG-"&amp;A407,IF(G407="FUNCTIONAL","FUNCTIONAL-"&amp;A407,""))</f>
        <v/>
      </c>
      <c r="I407" s="10" t="s">
        <v>42</v>
      </c>
      <c r="L407" s="11" t="s">
        <v>2295</v>
      </c>
    </row>
    <row r="408" customFormat="false" ht="15" hidden="false" customHeight="true" outlineLevel="0" collapsed="false">
      <c r="A408" s="10" t="s">
        <v>2296</v>
      </c>
      <c r="B408" s="10" t="s">
        <v>2297</v>
      </c>
      <c r="C408" s="10" t="s">
        <v>2298</v>
      </c>
      <c r="D408" s="10" t="s">
        <v>2299</v>
      </c>
      <c r="E408" s="10" t="s">
        <v>2300</v>
      </c>
      <c r="F408" s="10" t="s">
        <v>2301</v>
      </c>
      <c r="G408" s="10" t="s">
        <v>41</v>
      </c>
      <c r="H408" s="10" t="str">
        <f aca="false">IF(G408="BUG","BUG-"&amp;A408,IF(G408="FUNCTIONAL","FUNCTIONAL-"&amp;A408,""))</f>
        <v/>
      </c>
      <c r="I408" s="10" t="s">
        <v>65</v>
      </c>
      <c r="L408" s="11" t="s">
        <v>2302</v>
      </c>
    </row>
    <row r="409" customFormat="false" ht="15" hidden="false" customHeight="true" outlineLevel="0" collapsed="false">
      <c r="A409" s="1" t="s">
        <v>2303</v>
      </c>
      <c r="B409" s="1" t="s">
        <v>2304</v>
      </c>
      <c r="C409" s="1" t="s">
        <v>2305</v>
      </c>
      <c r="D409" s="1" t="s">
        <v>2306</v>
      </c>
      <c r="E409" s="1" t="s">
        <v>2307</v>
      </c>
      <c r="F409" s="1" t="s">
        <v>2308</v>
      </c>
      <c r="G409" s="1" t="s">
        <v>41</v>
      </c>
      <c r="H409" s="1" t="str">
        <f aca="false">IF(G409="BUG","BUG-"&amp;A409,IF(G409="FUNCTIONAL","FUNCTIONAL-"&amp;A409,""))</f>
        <v/>
      </c>
      <c r="I409" s="1" t="s">
        <v>42</v>
      </c>
      <c r="L409" s="1" t="s">
        <v>2309</v>
      </c>
    </row>
    <row r="410" customFormat="false" ht="15" hidden="false" customHeight="true" outlineLevel="0" collapsed="false">
      <c r="A410" s="1" t="s">
        <v>2310</v>
      </c>
      <c r="B410" s="1" t="s">
        <v>2304</v>
      </c>
      <c r="C410" s="1" t="s">
        <v>2311</v>
      </c>
      <c r="D410" s="1" t="s">
        <v>2312</v>
      </c>
      <c r="E410" s="1" t="s">
        <v>2313</v>
      </c>
      <c r="F410" s="1" t="s">
        <v>2314</v>
      </c>
      <c r="G410" s="1" t="s">
        <v>41</v>
      </c>
      <c r="H410" s="1" t="str">
        <f aca="false">IF(G410="BUG","BUG-"&amp;A410,IF(G410="FUNCTIONAL","FUNCTIONAL-"&amp;A410,""))</f>
        <v/>
      </c>
      <c r="I410" s="1" t="s">
        <v>56</v>
      </c>
      <c r="L410" s="1" t="s">
        <v>2315</v>
      </c>
    </row>
    <row r="411" customFormat="false" ht="15" hidden="false" customHeight="true" outlineLevel="0" collapsed="false">
      <c r="A411" s="1" t="s">
        <v>2316</v>
      </c>
      <c r="B411" s="1" t="s">
        <v>2304</v>
      </c>
      <c r="C411" s="1" t="s">
        <v>2317</v>
      </c>
      <c r="D411" s="1" t="s">
        <v>2318</v>
      </c>
      <c r="E411" s="1" t="s">
        <v>2319</v>
      </c>
      <c r="F411" s="1" t="s">
        <v>2320</v>
      </c>
      <c r="G411" s="1" t="s">
        <v>74</v>
      </c>
      <c r="H411" s="1" t="str">
        <f aca="false">IF(G411="BUG","BUG-"&amp;A411,IF(G411="FUNCTIONAL","FUNCTIONAL-"&amp;A411,""))</f>
        <v/>
      </c>
      <c r="I411" s="1" t="s">
        <v>56</v>
      </c>
      <c r="L411" s="1" t="s">
        <v>2321</v>
      </c>
    </row>
    <row r="412" customFormat="false" ht="15" hidden="false" customHeight="true" outlineLevel="0" collapsed="false">
      <c r="A412" s="1" t="s">
        <v>2322</v>
      </c>
      <c r="B412" s="1" t="s">
        <v>2323</v>
      </c>
      <c r="C412" s="1" t="s">
        <v>2324</v>
      </c>
      <c r="D412" s="1" t="s">
        <v>2325</v>
      </c>
      <c r="E412" s="1" t="s">
        <v>2326</v>
      </c>
      <c r="F412" s="1" t="s">
        <v>2327</v>
      </c>
      <c r="G412" s="1" t="s">
        <v>41</v>
      </c>
      <c r="H412" s="1" t="str">
        <f aca="false">IF(G412="BUG","BUG-"&amp;A412,IF(G412="FUNCTIONAL","FUNCTIONAL-"&amp;A412,""))</f>
        <v/>
      </c>
      <c r="I412" s="1" t="s">
        <v>42</v>
      </c>
      <c r="L412" s="1" t="s">
        <v>2328</v>
      </c>
    </row>
    <row r="413" customFormat="false" ht="15" hidden="false" customHeight="true" outlineLevel="0" collapsed="false">
      <c r="A413" s="1" t="s">
        <v>2329</v>
      </c>
      <c r="B413" s="1" t="s">
        <v>2330</v>
      </c>
      <c r="C413" s="1" t="s">
        <v>2331</v>
      </c>
      <c r="D413" s="1" t="s">
        <v>2332</v>
      </c>
      <c r="E413" s="1" t="s">
        <v>2333</v>
      </c>
      <c r="F413" s="1" t="s">
        <v>2334</v>
      </c>
      <c r="G413" s="1" t="s">
        <v>2335</v>
      </c>
      <c r="H413" s="1" t="str">
        <f aca="false">IF(G413="BUG","BUG-"&amp;A413,IF(G413="FUNCTIONAL","FUNCTIONAL-"&amp;A413,""))</f>
        <v/>
      </c>
      <c r="I413" s="1" t="s">
        <v>56</v>
      </c>
      <c r="L413" s="1" t="s">
        <v>2336</v>
      </c>
    </row>
    <row r="414" customFormat="false" ht="15" hidden="false" customHeight="true" outlineLevel="0" collapsed="false">
      <c r="A414" s="1" t="s">
        <v>2337</v>
      </c>
      <c r="B414" s="1" t="s">
        <v>2304</v>
      </c>
      <c r="C414" s="1" t="s">
        <v>2338</v>
      </c>
      <c r="D414" s="1" t="s">
        <v>1184</v>
      </c>
      <c r="E414" s="1" t="s">
        <v>2339</v>
      </c>
      <c r="F414" s="1" t="s">
        <v>2340</v>
      </c>
      <c r="G414" s="1" t="s">
        <v>74</v>
      </c>
      <c r="H414" s="1" t="str">
        <f aca="false">IF(G414="BUG","BUG-"&amp;A414,IF(G414="FUNCTIONAL","FUNCTIONAL-"&amp;A414,""))</f>
        <v/>
      </c>
      <c r="I414" s="1" t="s">
        <v>65</v>
      </c>
      <c r="L414" s="1" t="s">
        <v>2341</v>
      </c>
    </row>
    <row r="415" customFormat="false" ht="15" hidden="false" customHeight="true" outlineLevel="0" collapsed="false">
      <c r="A415" s="1" t="s">
        <v>2342</v>
      </c>
      <c r="B415" s="1" t="s">
        <v>2304</v>
      </c>
      <c r="C415" s="1" t="s">
        <v>2343</v>
      </c>
      <c r="D415" s="1" t="s">
        <v>1184</v>
      </c>
      <c r="E415" s="1" t="s">
        <v>2344</v>
      </c>
      <c r="F415" s="1" t="s">
        <v>2340</v>
      </c>
      <c r="G415" s="1" t="s">
        <v>74</v>
      </c>
      <c r="H415" s="1" t="str">
        <f aca="false">IF(G415="BUG","BUG-"&amp;A415,IF(G415="FUNCTIONAL","FUNCTIONAL-"&amp;A415,""))</f>
        <v/>
      </c>
      <c r="I415" s="1" t="s">
        <v>65</v>
      </c>
      <c r="L415" s="1" t="s">
        <v>2345</v>
      </c>
    </row>
    <row r="416" customFormat="false" ht="15" hidden="false" customHeight="true" outlineLevel="0" collapsed="false">
      <c r="A416" s="1" t="s">
        <v>2346</v>
      </c>
      <c r="B416" s="1" t="s">
        <v>2347</v>
      </c>
      <c r="C416" s="1" t="s">
        <v>2348</v>
      </c>
      <c r="D416" s="1" t="s">
        <v>2349</v>
      </c>
      <c r="E416" s="1" t="s">
        <v>2350</v>
      </c>
      <c r="F416" s="1" t="s">
        <v>2351</v>
      </c>
      <c r="G416" s="1" t="s">
        <v>74</v>
      </c>
      <c r="H416" s="1" t="str">
        <f aca="false">IF(G416="BUG","BUG-"&amp;A416,IF(G416="FUNCTIONAL","FUNCTIONAL-"&amp;A416,""))</f>
        <v/>
      </c>
      <c r="I416" s="1" t="s">
        <v>56</v>
      </c>
      <c r="L416" s="1" t="s">
        <v>2352</v>
      </c>
    </row>
    <row r="417" customFormat="false" ht="15" hidden="false" customHeight="true" outlineLevel="0" collapsed="false">
      <c r="A417" s="1" t="s">
        <v>2353</v>
      </c>
      <c r="B417" s="1" t="s">
        <v>2354</v>
      </c>
      <c r="C417" s="1" t="s">
        <v>2355</v>
      </c>
      <c r="D417" s="1" t="s">
        <v>2356</v>
      </c>
      <c r="E417" s="1" t="s">
        <v>2357</v>
      </c>
      <c r="F417" s="1" t="s">
        <v>2358</v>
      </c>
      <c r="G417" s="1" t="s">
        <v>74</v>
      </c>
      <c r="H417" s="1" t="str">
        <f aca="false">IF(G417="BUG","BUG-"&amp;A417,IF(G417="FUNCTIONAL","FUNCTIONAL-"&amp;A417,""))</f>
        <v/>
      </c>
      <c r="I417" s="1" t="s">
        <v>65</v>
      </c>
      <c r="L417" s="1" t="s">
        <v>2359</v>
      </c>
    </row>
    <row r="418" customFormat="false" ht="15" hidden="false" customHeight="true" outlineLevel="0" collapsed="false">
      <c r="A418" s="1" t="s">
        <v>2360</v>
      </c>
      <c r="B418" s="1" t="s">
        <v>2354</v>
      </c>
      <c r="C418" s="1" t="s">
        <v>2361</v>
      </c>
      <c r="D418" s="1" t="s">
        <v>2356</v>
      </c>
      <c r="E418" s="1" t="s">
        <v>2362</v>
      </c>
      <c r="F418" s="1" t="s">
        <v>2363</v>
      </c>
      <c r="G418" s="1" t="s">
        <v>74</v>
      </c>
      <c r="H418" s="1" t="str">
        <f aca="false">IF(G418="BUG","BUG-"&amp;A418,IF(G418="FUNCTIONAL","FUNCTIONAL-"&amp;A418,""))</f>
        <v/>
      </c>
      <c r="I418" s="1" t="s">
        <v>65</v>
      </c>
      <c r="L418" s="1" t="s">
        <v>2364</v>
      </c>
    </row>
    <row r="419" customFormat="false" ht="15" hidden="false" customHeight="true" outlineLevel="0" collapsed="false">
      <c r="A419" s="1" t="s">
        <v>2365</v>
      </c>
      <c r="B419" s="1" t="s">
        <v>2366</v>
      </c>
      <c r="C419" s="1" t="s">
        <v>2367</v>
      </c>
      <c r="D419" s="1" t="s">
        <v>2368</v>
      </c>
      <c r="E419" s="1" t="s">
        <v>2369</v>
      </c>
      <c r="F419" s="1" t="s">
        <v>2370</v>
      </c>
      <c r="G419" s="1" t="s">
        <v>74</v>
      </c>
      <c r="H419" s="1" t="str">
        <f aca="false">IF(G419="BUG","BUG-"&amp;A419,IF(G419="FUNCTIONAL","FUNCTIONAL-"&amp;A419,""))</f>
        <v/>
      </c>
      <c r="I419" s="1" t="s">
        <v>56</v>
      </c>
      <c r="L419" s="1" t="s">
        <v>2371</v>
      </c>
    </row>
    <row r="420" customFormat="false" ht="15" hidden="false" customHeight="true" outlineLevel="0" collapsed="false">
      <c r="A420" s="1" t="s">
        <v>2372</v>
      </c>
      <c r="B420" s="1" t="s">
        <v>2366</v>
      </c>
      <c r="C420" s="1" t="s">
        <v>2373</v>
      </c>
      <c r="D420" s="1" t="s">
        <v>2374</v>
      </c>
      <c r="E420" s="1" t="s">
        <v>2375</v>
      </c>
      <c r="F420" s="1" t="s">
        <v>2376</v>
      </c>
      <c r="G420" s="1" t="s">
        <v>74</v>
      </c>
      <c r="H420" s="1" t="str">
        <f aca="false">IF(G420="BUG","BUG-"&amp;A420,IF(G420="FUNCTIONAL","FUNCTIONAL-"&amp;A420,""))</f>
        <v/>
      </c>
      <c r="I420" s="1" t="s">
        <v>56</v>
      </c>
      <c r="L420" s="1" t="s">
        <v>2377</v>
      </c>
    </row>
    <row r="421" customFormat="false" ht="15" hidden="false" customHeight="true" outlineLevel="0" collapsed="false">
      <c r="A421" s="1" t="s">
        <v>2378</v>
      </c>
      <c r="B421" s="1" t="s">
        <v>2379</v>
      </c>
      <c r="C421" s="1" t="s">
        <v>2380</v>
      </c>
      <c r="D421" s="1" t="s">
        <v>2381</v>
      </c>
      <c r="E421" s="1" t="s">
        <v>2382</v>
      </c>
      <c r="F421" s="1" t="s">
        <v>2383</v>
      </c>
      <c r="G421" s="1" t="s">
        <v>74</v>
      </c>
      <c r="H421" s="1" t="str">
        <f aca="false">IF(G421="BUG","BUG-"&amp;A421,IF(G421="FUNCTIONAL","FUNCTIONAL-"&amp;A421,""))</f>
        <v/>
      </c>
      <c r="I421" s="1" t="s">
        <v>56</v>
      </c>
      <c r="L421" s="1" t="s">
        <v>2384</v>
      </c>
    </row>
    <row r="422" customFormat="false" ht="15" hidden="false" customHeight="true" outlineLevel="0" collapsed="false">
      <c r="A422" s="1" t="s">
        <v>2385</v>
      </c>
      <c r="B422" s="1" t="s">
        <v>2386</v>
      </c>
      <c r="C422" s="1" t="s">
        <v>2387</v>
      </c>
      <c r="D422" s="1" t="s">
        <v>2381</v>
      </c>
      <c r="E422" s="1" t="s">
        <v>2388</v>
      </c>
      <c r="F422" s="1" t="s">
        <v>2389</v>
      </c>
      <c r="G422" s="1" t="s">
        <v>74</v>
      </c>
      <c r="H422" s="1" t="str">
        <f aca="false">IF(G422="BUG","BUG-"&amp;A422,IF(G422="FUNCTIONAL","FUNCTIONAL-"&amp;A422,""))</f>
        <v/>
      </c>
      <c r="I422" s="1" t="s">
        <v>65</v>
      </c>
      <c r="L422" s="1" t="s">
        <v>2390</v>
      </c>
    </row>
    <row r="423" customFormat="false" ht="15" hidden="false" customHeight="true" outlineLevel="0" collapsed="false">
      <c r="A423" s="1" t="s">
        <v>2391</v>
      </c>
      <c r="B423" s="1" t="s">
        <v>2392</v>
      </c>
      <c r="C423" s="1" t="s">
        <v>2393</v>
      </c>
      <c r="D423" s="1" t="s">
        <v>2394</v>
      </c>
      <c r="E423" s="1" t="s">
        <v>2395</v>
      </c>
      <c r="F423" s="1" t="s">
        <v>2396</v>
      </c>
      <c r="G423" s="1" t="s">
        <v>74</v>
      </c>
      <c r="H423" s="1" t="str">
        <f aca="false">IF(G423="BUG","BUG-"&amp;A423,IF(G423="FUNCTIONAL","FUNCTIONAL-"&amp;A423,""))</f>
        <v/>
      </c>
      <c r="I423" s="1" t="s">
        <v>56</v>
      </c>
      <c r="L423" s="1" t="s">
        <v>2397</v>
      </c>
    </row>
    <row r="424" customFormat="false" ht="15" hidden="false" customHeight="true" outlineLevel="0" collapsed="false">
      <c r="A424" s="1" t="s">
        <v>2398</v>
      </c>
      <c r="B424" s="1" t="s">
        <v>2399</v>
      </c>
      <c r="C424" s="1" t="s">
        <v>2400</v>
      </c>
      <c r="D424" s="1" t="s">
        <v>2394</v>
      </c>
      <c r="E424" s="1" t="s">
        <v>2401</v>
      </c>
      <c r="F424" s="1" t="s">
        <v>2402</v>
      </c>
      <c r="G424" s="1" t="s">
        <v>74</v>
      </c>
      <c r="H424" s="1" t="str">
        <f aca="false">IF(G424="BUG","BUG-"&amp;A424,IF(G424="FUNCTIONAL","FUNCTIONAL-"&amp;A424,""))</f>
        <v/>
      </c>
      <c r="I424" s="1" t="s">
        <v>65</v>
      </c>
      <c r="L424" s="1" t="s">
        <v>2403</v>
      </c>
    </row>
    <row r="425" customFormat="false" ht="15" hidden="false" customHeight="true" outlineLevel="0" collapsed="false">
      <c r="A425" s="1" t="s">
        <v>2404</v>
      </c>
      <c r="B425" s="1" t="s">
        <v>2405</v>
      </c>
      <c r="C425" s="1" t="s">
        <v>2406</v>
      </c>
      <c r="D425" s="1" t="s">
        <v>2394</v>
      </c>
      <c r="E425" s="1" t="s">
        <v>2407</v>
      </c>
      <c r="F425" s="1" t="s">
        <v>2408</v>
      </c>
      <c r="G425" s="1" t="s">
        <v>74</v>
      </c>
      <c r="H425" s="1" t="str">
        <f aca="false">IF(G425="BUG","BUG-"&amp;A425,IF(G425="FUNCTIONAL","FUNCTIONAL-"&amp;A425,""))</f>
        <v/>
      </c>
      <c r="I425" s="1" t="s">
        <v>56</v>
      </c>
      <c r="L425" s="1" t="s">
        <v>2409</v>
      </c>
    </row>
    <row r="426" customFormat="false" ht="15" hidden="false" customHeight="true" outlineLevel="0" collapsed="false">
      <c r="A426" s="1" t="s">
        <v>2410</v>
      </c>
      <c r="B426" s="1" t="s">
        <v>2411</v>
      </c>
      <c r="C426" s="1" t="s">
        <v>2412</v>
      </c>
      <c r="D426" s="1" t="s">
        <v>2381</v>
      </c>
      <c r="E426" s="1" t="s">
        <v>2413</v>
      </c>
      <c r="F426" s="1" t="s">
        <v>2414</v>
      </c>
      <c r="G426" s="1" t="s">
        <v>74</v>
      </c>
      <c r="H426" s="1" t="str">
        <f aca="false">IF(G426="BUG","BUG-"&amp;A426,IF(G426="FUNCTIONAL","FUNCTIONAL-"&amp;A426,""))</f>
        <v/>
      </c>
      <c r="I426" s="1" t="s">
        <v>56</v>
      </c>
      <c r="L426" s="1" t="s">
        <v>2415</v>
      </c>
    </row>
    <row r="427" customFormat="false" ht="15" hidden="false" customHeight="true" outlineLevel="0" collapsed="false">
      <c r="A427" s="1" t="s">
        <v>2416</v>
      </c>
      <c r="B427" s="1" t="s">
        <v>2417</v>
      </c>
      <c r="C427" s="1" t="s">
        <v>2418</v>
      </c>
      <c r="D427" s="1" t="s">
        <v>2419</v>
      </c>
      <c r="E427" s="1" t="s">
        <v>2420</v>
      </c>
      <c r="F427" s="1" t="s">
        <v>2421</v>
      </c>
      <c r="G427" s="1" t="s">
        <v>74</v>
      </c>
      <c r="H427" s="1" t="str">
        <f aca="false">IF(G427="BUG","BUG-"&amp;A427,IF(G427="FUNCTIONAL","FUNCTIONAL-"&amp;A427,""))</f>
        <v/>
      </c>
      <c r="I427" s="1" t="s">
        <v>42</v>
      </c>
      <c r="L427" s="1" t="s">
        <v>2422</v>
      </c>
    </row>
    <row r="428" customFormat="false" ht="15" hidden="false" customHeight="true" outlineLevel="0" collapsed="false">
      <c r="A428" s="1" t="s">
        <v>2423</v>
      </c>
      <c r="B428" s="1" t="s">
        <v>2424</v>
      </c>
      <c r="C428" s="1" t="s">
        <v>2425</v>
      </c>
      <c r="D428" s="1" t="s">
        <v>2426</v>
      </c>
      <c r="E428" s="1" t="s">
        <v>2427</v>
      </c>
      <c r="F428" s="1" t="s">
        <v>2428</v>
      </c>
      <c r="G428" s="1" t="s">
        <v>74</v>
      </c>
      <c r="H428" s="1" t="str">
        <f aca="false">IF(G428="BUG","BUG-"&amp;A428,IF(G428="FUNCTIONAL","FUNCTIONAL-"&amp;A428,""))</f>
        <v/>
      </c>
      <c r="I428" s="1" t="s">
        <v>42</v>
      </c>
      <c r="L428" s="1" t="s">
        <v>2429</v>
      </c>
    </row>
    <row r="429" customFormat="false" ht="15" hidden="false" customHeight="true" outlineLevel="0" collapsed="false">
      <c r="A429" s="1" t="s">
        <v>2430</v>
      </c>
      <c r="B429" s="1" t="s">
        <v>2431</v>
      </c>
      <c r="C429" s="1" t="s">
        <v>2432</v>
      </c>
      <c r="D429" s="1" t="s">
        <v>2433</v>
      </c>
      <c r="E429" s="1" t="s">
        <v>2434</v>
      </c>
      <c r="F429" s="1" t="s">
        <v>2435</v>
      </c>
      <c r="G429" s="1" t="s">
        <v>74</v>
      </c>
      <c r="H429" s="1" t="str">
        <f aca="false">IF(G429="BUG","BUG-"&amp;A429,IF(G429="FUNCTIONAL","FUNCTIONAL-"&amp;A429,""))</f>
        <v/>
      </c>
      <c r="I429" s="1" t="s">
        <v>56</v>
      </c>
      <c r="L429" s="1" t="s">
        <v>2436</v>
      </c>
    </row>
    <row r="430" customFormat="false" ht="15" hidden="false" customHeight="true" outlineLevel="0" collapsed="false">
      <c r="A430" s="1" t="s">
        <v>2437</v>
      </c>
      <c r="B430" s="1" t="s">
        <v>2438</v>
      </c>
      <c r="C430" s="1" t="s">
        <v>2439</v>
      </c>
      <c r="D430" s="1" t="s">
        <v>2440</v>
      </c>
      <c r="E430" s="1" t="s">
        <v>2441</v>
      </c>
      <c r="F430" s="1" t="s">
        <v>2442</v>
      </c>
      <c r="G430" s="1" t="s">
        <v>74</v>
      </c>
      <c r="H430" s="1" t="str">
        <f aca="false">IF(G430="BUG","BUG-"&amp;A430,IF(G430="FUNCTIONAL","FUNCTIONAL-"&amp;A430,""))</f>
        <v/>
      </c>
      <c r="I430" s="1" t="s">
        <v>56</v>
      </c>
      <c r="L430" s="1" t="s">
        <v>2443</v>
      </c>
    </row>
    <row r="431" customFormat="false" ht="15" hidden="false" customHeight="true" outlineLevel="0" collapsed="false">
      <c r="A431" s="1" t="s">
        <v>2444</v>
      </c>
      <c r="B431" s="1" t="s">
        <v>2445</v>
      </c>
      <c r="C431" s="1" t="s">
        <v>2446</v>
      </c>
      <c r="D431" s="1" t="s">
        <v>2447</v>
      </c>
      <c r="E431" s="1" t="s">
        <v>2448</v>
      </c>
      <c r="F431" s="1" t="s">
        <v>2449</v>
      </c>
      <c r="G431" s="1" t="s">
        <v>74</v>
      </c>
      <c r="H431" s="1" t="str">
        <f aca="false">IF(G431="BUG","BUG-"&amp;A431,IF(G431="FUNCTIONAL","FUNCTIONAL-"&amp;A431,""))</f>
        <v/>
      </c>
      <c r="I431" s="1" t="s">
        <v>42</v>
      </c>
      <c r="L431" s="1" t="s">
        <v>2450</v>
      </c>
    </row>
    <row r="432" customFormat="false" ht="15" hidden="false" customHeight="true" outlineLevel="0" collapsed="false">
      <c r="A432" s="1" t="s">
        <v>2451</v>
      </c>
      <c r="B432" s="1" t="s">
        <v>2452</v>
      </c>
      <c r="C432" s="1" t="s">
        <v>2453</v>
      </c>
      <c r="D432" s="1" t="s">
        <v>2454</v>
      </c>
      <c r="E432" s="1" t="s">
        <v>2455</v>
      </c>
      <c r="F432" s="1" t="s">
        <v>2456</v>
      </c>
      <c r="G432" s="1" t="s">
        <v>74</v>
      </c>
      <c r="H432" s="1" t="str">
        <f aca="false">IF(G432="BUG","BUG-"&amp;A432,IF(G432="FUNCTIONAL","FUNCTIONAL-"&amp;A432,""))</f>
        <v/>
      </c>
      <c r="I432" s="1" t="s">
        <v>56</v>
      </c>
      <c r="L432" s="1" t="s">
        <v>2457</v>
      </c>
    </row>
    <row r="433" customFormat="false" ht="15" hidden="false" customHeight="true" outlineLevel="0" collapsed="false">
      <c r="A433" s="1" t="s">
        <v>2458</v>
      </c>
      <c r="B433" s="1" t="s">
        <v>2459</v>
      </c>
      <c r="C433" s="1" t="s">
        <v>2460</v>
      </c>
      <c r="D433" s="1" t="s">
        <v>2461</v>
      </c>
      <c r="E433" s="1" t="s">
        <v>2462</v>
      </c>
      <c r="F433" s="1" t="s">
        <v>2463</v>
      </c>
      <c r="G433" s="1" t="s">
        <v>74</v>
      </c>
      <c r="H433" s="1" t="str">
        <f aca="false">IF(G433="BUG","BUG-"&amp;A433,IF(G433="FUNCTIONAL","FUNCTIONAL-"&amp;A433,""))</f>
        <v/>
      </c>
      <c r="I433" s="1" t="s">
        <v>42</v>
      </c>
      <c r="L433" s="1" t="s">
        <v>2464</v>
      </c>
    </row>
    <row r="434" customFormat="false" ht="15" hidden="false" customHeight="true" outlineLevel="0" collapsed="false">
      <c r="A434" s="1" t="s">
        <v>2465</v>
      </c>
      <c r="B434" s="1" t="s">
        <v>2466</v>
      </c>
      <c r="C434" s="1" t="s">
        <v>2467</v>
      </c>
      <c r="D434" s="1" t="s">
        <v>2468</v>
      </c>
      <c r="E434" s="1" t="s">
        <v>2469</v>
      </c>
      <c r="F434" s="1" t="s">
        <v>2470</v>
      </c>
      <c r="G434" s="1" t="s">
        <v>74</v>
      </c>
      <c r="H434" s="1" t="str">
        <f aca="false">IF(G434="BUG","BUG-"&amp;A434,IF(G434="FUNCTIONAL","FUNCTIONAL-"&amp;A434,""))</f>
        <v/>
      </c>
      <c r="I434" s="1" t="s">
        <v>56</v>
      </c>
      <c r="L434" s="1" t="s">
        <v>2471</v>
      </c>
    </row>
    <row r="435" customFormat="false" ht="15" hidden="false" customHeight="true" outlineLevel="0" collapsed="false">
      <c r="A435" s="1" t="s">
        <v>2472</v>
      </c>
      <c r="B435" s="1" t="s">
        <v>2473</v>
      </c>
      <c r="C435" s="1" t="s">
        <v>2474</v>
      </c>
      <c r="D435" s="1" t="s">
        <v>2475</v>
      </c>
      <c r="E435" s="1" t="s">
        <v>2476</v>
      </c>
      <c r="F435" s="1" t="s">
        <v>2477</v>
      </c>
      <c r="G435" s="1" t="s">
        <v>74</v>
      </c>
      <c r="H435" s="1" t="str">
        <f aca="false">IF(G435="BUG","BUG-"&amp;A435,IF(G435="FUNCTIONAL","FUNCTIONAL-"&amp;A435,""))</f>
        <v/>
      </c>
      <c r="I435" s="1" t="s">
        <v>42</v>
      </c>
      <c r="L435" s="1" t="s">
        <v>2478</v>
      </c>
    </row>
    <row r="436" customFormat="false" ht="15" hidden="false" customHeight="true" outlineLevel="0" collapsed="false">
      <c r="A436" s="1" t="s">
        <v>2479</v>
      </c>
      <c r="B436" s="1" t="s">
        <v>2480</v>
      </c>
      <c r="C436" s="1" t="s">
        <v>2481</v>
      </c>
      <c r="D436" s="1" t="s">
        <v>1184</v>
      </c>
      <c r="E436" s="1" t="s">
        <v>2482</v>
      </c>
      <c r="F436" s="1" t="s">
        <v>2483</v>
      </c>
      <c r="G436" s="1" t="s">
        <v>74</v>
      </c>
      <c r="H436" s="1" t="str">
        <f aca="false">IF(G436="BUG","BUG-"&amp;A436,IF(G436="FUNCTIONAL","FUNCTIONAL-"&amp;A436,""))</f>
        <v/>
      </c>
      <c r="I436" s="1" t="s">
        <v>65</v>
      </c>
      <c r="L436" s="1" t="s">
        <v>2484</v>
      </c>
    </row>
    <row r="437" customFormat="false" ht="15" hidden="false" customHeight="true" outlineLevel="0" collapsed="false">
      <c r="A437" s="10" t="s">
        <v>2485</v>
      </c>
      <c r="B437" s="10" t="s">
        <v>2486</v>
      </c>
      <c r="C437" s="10" t="s">
        <v>2487</v>
      </c>
      <c r="D437" s="10" t="s">
        <v>2488</v>
      </c>
      <c r="E437" s="10" t="s">
        <v>2489</v>
      </c>
      <c r="F437" s="10" t="s">
        <v>2490</v>
      </c>
      <c r="G437" s="10" t="s">
        <v>74</v>
      </c>
      <c r="H437" s="10" t="str">
        <f aca="false">IF(G437="BUG","BUG-"&amp;A437,IF(G437="FUNCTIONAL","FUNCTIONAL-"&amp;A437,""))</f>
        <v/>
      </c>
      <c r="I437" s="10" t="s">
        <v>42</v>
      </c>
      <c r="L437" s="11" t="s">
        <v>2491</v>
      </c>
    </row>
    <row r="438" customFormat="false" ht="15" hidden="false" customHeight="true" outlineLevel="0" collapsed="false">
      <c r="A438" s="10" t="s">
        <v>2492</v>
      </c>
      <c r="B438" s="10" t="s">
        <v>2493</v>
      </c>
      <c r="C438" s="10" t="s">
        <v>2494</v>
      </c>
      <c r="D438" s="10" t="s">
        <v>2495</v>
      </c>
      <c r="E438" s="10" t="s">
        <v>2496</v>
      </c>
      <c r="F438" s="10" t="s">
        <v>2497</v>
      </c>
      <c r="G438" s="10" t="s">
        <v>74</v>
      </c>
      <c r="H438" s="10" t="str">
        <f aca="false">IF(G438="BUG","BUG-"&amp;A438,IF(G438="FUNCTIONAL","FUNCTIONAL-"&amp;A438,""))</f>
        <v/>
      </c>
      <c r="I438" s="10" t="s">
        <v>42</v>
      </c>
      <c r="L438" s="11" t="s">
        <v>2498</v>
      </c>
    </row>
    <row r="439" customFormat="false" ht="15" hidden="false" customHeight="true" outlineLevel="0" collapsed="false">
      <c r="A439" s="10" t="s">
        <v>2499</v>
      </c>
      <c r="B439" s="10" t="s">
        <v>2500</v>
      </c>
      <c r="C439" s="10" t="s">
        <v>2501</v>
      </c>
      <c r="D439" s="10" t="s">
        <v>2502</v>
      </c>
      <c r="E439" s="10" t="s">
        <v>2503</v>
      </c>
      <c r="F439" s="10" t="s">
        <v>2504</v>
      </c>
      <c r="G439" s="10" t="s">
        <v>74</v>
      </c>
      <c r="H439" s="10" t="str">
        <f aca="false">IF(G439="BUG","BUG-"&amp;A439,IF(G439="FUNCTIONAL","FUNCTIONAL-"&amp;A439,""))</f>
        <v/>
      </c>
      <c r="I439" s="10" t="s">
        <v>42</v>
      </c>
      <c r="L439" s="11" t="s">
        <v>2505</v>
      </c>
    </row>
    <row r="440" customFormat="false" ht="15" hidden="false" customHeight="true" outlineLevel="0" collapsed="false">
      <c r="A440" s="10" t="s">
        <v>2506</v>
      </c>
      <c r="B440" s="10" t="s">
        <v>2507</v>
      </c>
      <c r="C440" s="10" t="s">
        <v>2508</v>
      </c>
      <c r="D440" s="10" t="s">
        <v>2509</v>
      </c>
      <c r="E440" s="10" t="s">
        <v>2510</v>
      </c>
      <c r="F440" s="10" t="s">
        <v>2511</v>
      </c>
      <c r="G440" s="10" t="s">
        <v>74</v>
      </c>
      <c r="H440" s="10" t="str">
        <f aca="false">IF(G440="BUG","BUG-"&amp;A440,IF(G440="FUNCTIONAL","FUNCTIONAL-"&amp;A440,""))</f>
        <v/>
      </c>
      <c r="I440" s="10" t="s">
        <v>56</v>
      </c>
      <c r="L440" s="11" t="s">
        <v>2512</v>
      </c>
    </row>
    <row r="441" customFormat="false" ht="15" hidden="false" customHeight="true" outlineLevel="0" collapsed="false">
      <c r="A441" s="10" t="s">
        <v>2513</v>
      </c>
      <c r="B441" s="10" t="s">
        <v>2514</v>
      </c>
      <c r="C441" s="10" t="s">
        <v>2515</v>
      </c>
      <c r="D441" s="10" t="s">
        <v>2516</v>
      </c>
      <c r="E441" s="10" t="s">
        <v>2517</v>
      </c>
      <c r="F441" s="10" t="s">
        <v>2518</v>
      </c>
      <c r="G441" s="10" t="s">
        <v>74</v>
      </c>
      <c r="H441" s="10" t="str">
        <f aca="false">IF(G441="BUG","BUG-"&amp;A441,IF(G441="FUNCTIONAL","FUNCTIONAL-"&amp;A441,""))</f>
        <v/>
      </c>
      <c r="I441" s="10" t="s">
        <v>42</v>
      </c>
      <c r="L441" s="11" t="s">
        <v>2519</v>
      </c>
    </row>
    <row r="442" customFormat="false" ht="15" hidden="false" customHeight="true" outlineLevel="0" collapsed="false">
      <c r="A442" s="10" t="s">
        <v>2520</v>
      </c>
      <c r="B442" s="10" t="s">
        <v>2521</v>
      </c>
      <c r="C442" s="10" t="s">
        <v>2522</v>
      </c>
      <c r="D442" s="10" t="s">
        <v>2523</v>
      </c>
      <c r="E442" s="10" t="s">
        <v>2524</v>
      </c>
      <c r="F442" s="10" t="s">
        <v>2525</v>
      </c>
      <c r="G442" s="10" t="s">
        <v>74</v>
      </c>
      <c r="H442" s="10" t="str">
        <f aca="false">IF(G442="BUG","BUG-"&amp;A442,IF(G442="FUNCTIONAL","FUNCTIONAL-"&amp;A442,""))</f>
        <v/>
      </c>
      <c r="I442" s="10" t="s">
        <v>56</v>
      </c>
      <c r="L442" s="11" t="s">
        <v>2526</v>
      </c>
    </row>
    <row r="443" customFormat="false" ht="15" hidden="false" customHeight="true" outlineLevel="0" collapsed="false">
      <c r="A443" s="10" t="s">
        <v>2527</v>
      </c>
      <c r="B443" s="10" t="s">
        <v>2528</v>
      </c>
      <c r="C443" s="10" t="s">
        <v>2529</v>
      </c>
      <c r="D443" s="10" t="s">
        <v>2530</v>
      </c>
      <c r="E443" s="10" t="s">
        <v>2531</v>
      </c>
      <c r="F443" s="10" t="s">
        <v>2532</v>
      </c>
      <c r="G443" s="10" t="s">
        <v>74</v>
      </c>
      <c r="H443" s="10" t="str">
        <f aca="false">IF(G443="BUG","BUG-"&amp;A443,IF(G443="FUNCTIONAL","FUNCTIONAL-"&amp;A443,""))</f>
        <v/>
      </c>
      <c r="I443" s="10" t="s">
        <v>56</v>
      </c>
      <c r="L443" s="11" t="s">
        <v>2533</v>
      </c>
    </row>
    <row r="444" customFormat="false" ht="15" hidden="false" customHeight="true" outlineLevel="0" collapsed="false">
      <c r="A444" s="10" t="s">
        <v>2534</v>
      </c>
      <c r="B444" s="10" t="s">
        <v>2354</v>
      </c>
      <c r="C444" s="10" t="s">
        <v>2535</v>
      </c>
      <c r="D444" s="10" t="s">
        <v>2536</v>
      </c>
      <c r="E444" s="10" t="s">
        <v>2537</v>
      </c>
      <c r="F444" s="10" t="s">
        <v>2538</v>
      </c>
      <c r="G444" s="10" t="s">
        <v>74</v>
      </c>
      <c r="H444" s="10" t="str">
        <f aca="false">IF(G444="BUG","BUG-"&amp;A444,IF(G444="FUNCTIONAL","FUNCTIONAL-"&amp;A444,""))</f>
        <v/>
      </c>
      <c r="I444" s="10" t="s">
        <v>65</v>
      </c>
      <c r="L444" s="11" t="s">
        <v>2539</v>
      </c>
    </row>
    <row r="445" customFormat="false" ht="15" hidden="false" customHeight="true" outlineLevel="0" collapsed="false">
      <c r="A445" s="10" t="s">
        <v>2540</v>
      </c>
      <c r="B445" s="10" t="s">
        <v>2354</v>
      </c>
      <c r="C445" s="10" t="s">
        <v>2541</v>
      </c>
      <c r="D445" s="10" t="s">
        <v>2542</v>
      </c>
      <c r="E445" s="10" t="s">
        <v>2543</v>
      </c>
      <c r="F445" s="10" t="s">
        <v>2544</v>
      </c>
      <c r="G445" s="10" t="s">
        <v>74</v>
      </c>
      <c r="H445" s="10" t="str">
        <f aca="false">IF(G445="BUG","BUG-"&amp;A445,IF(G445="FUNCTIONAL","FUNCTIONAL-"&amp;A445,""))</f>
        <v/>
      </c>
      <c r="I445" s="10" t="s">
        <v>56</v>
      </c>
      <c r="L445" s="11" t="s">
        <v>2545</v>
      </c>
    </row>
    <row r="446" customFormat="false" ht="15" hidden="false" customHeight="true" outlineLevel="0" collapsed="false">
      <c r="A446" s="10" t="s">
        <v>2546</v>
      </c>
      <c r="B446" s="10" t="s">
        <v>2547</v>
      </c>
      <c r="C446" s="10" t="s">
        <v>2548</v>
      </c>
      <c r="D446" s="10" t="s">
        <v>2549</v>
      </c>
      <c r="E446" s="10" t="s">
        <v>2550</v>
      </c>
      <c r="F446" s="10" t="s">
        <v>2551</v>
      </c>
      <c r="G446" s="10" t="s">
        <v>2552</v>
      </c>
      <c r="H446" s="10" t="str">
        <f aca="false">IF(G446="BUG","BUG-"&amp;A446,IF(G446="FUNCTIONAL","FUNCTIONAL-"&amp;A446,""))</f>
        <v/>
      </c>
      <c r="I446" s="10" t="s">
        <v>56</v>
      </c>
      <c r="L446" s="11" t="s">
        <v>2553</v>
      </c>
    </row>
    <row r="447" customFormat="false" ht="15" hidden="false" customHeight="true" outlineLevel="0" collapsed="false">
      <c r="A447" s="10" t="s">
        <v>2554</v>
      </c>
      <c r="B447" s="10" t="s">
        <v>2354</v>
      </c>
      <c r="C447" s="10" t="s">
        <v>2555</v>
      </c>
      <c r="D447" s="10" t="s">
        <v>2556</v>
      </c>
      <c r="E447" s="10" t="s">
        <v>2557</v>
      </c>
      <c r="F447" s="10" t="s">
        <v>2558</v>
      </c>
      <c r="G447" s="10" t="s">
        <v>74</v>
      </c>
      <c r="H447" s="10" t="str">
        <f aca="false">IF(G447="BUG","BUG-"&amp;A447,IF(G447="FUNCTIONAL","FUNCTIONAL-"&amp;A447,""))</f>
        <v/>
      </c>
      <c r="I447" s="10" t="s">
        <v>42</v>
      </c>
      <c r="L447" s="11" t="s">
        <v>2559</v>
      </c>
    </row>
    <row r="448" customFormat="false" ht="15" hidden="false" customHeight="true" outlineLevel="0" collapsed="false">
      <c r="A448" s="10" t="s">
        <v>2560</v>
      </c>
      <c r="B448" s="10" t="s">
        <v>2354</v>
      </c>
      <c r="C448" s="10" t="s">
        <v>2561</v>
      </c>
      <c r="D448" s="10" t="s">
        <v>2562</v>
      </c>
      <c r="E448" s="10" t="s">
        <v>2563</v>
      </c>
      <c r="F448" s="10" t="s">
        <v>2564</v>
      </c>
      <c r="G448" s="10" t="s">
        <v>74</v>
      </c>
      <c r="H448" s="10" t="str">
        <f aca="false">IF(G448="BUG","BUG-"&amp;A448,IF(G448="FUNCTIONAL","FUNCTIONAL-"&amp;A448,""))</f>
        <v/>
      </c>
      <c r="I448" s="10" t="s">
        <v>42</v>
      </c>
      <c r="L448" s="11" t="s">
        <v>2565</v>
      </c>
    </row>
    <row r="449" customFormat="false" ht="15" hidden="false" customHeight="true" outlineLevel="0" collapsed="false">
      <c r="A449" s="10" t="s">
        <v>2566</v>
      </c>
      <c r="B449" s="10" t="s">
        <v>2354</v>
      </c>
      <c r="C449" s="10" t="s">
        <v>2567</v>
      </c>
      <c r="D449" s="10" t="s">
        <v>2568</v>
      </c>
      <c r="E449" s="10" t="s">
        <v>2569</v>
      </c>
      <c r="F449" s="10" t="s">
        <v>2570</v>
      </c>
      <c r="G449" s="10" t="s">
        <v>74</v>
      </c>
      <c r="H449" s="10" t="str">
        <f aca="false">IF(G449="BUG","BUG-"&amp;A449,IF(G449="FUNCTIONAL","FUNCTIONAL-"&amp;A449,""))</f>
        <v/>
      </c>
      <c r="I449" s="10" t="s">
        <v>42</v>
      </c>
      <c r="L449" s="11" t="s">
        <v>2571</v>
      </c>
    </row>
    <row r="450" customFormat="false" ht="15" hidden="false" customHeight="true" outlineLevel="0" collapsed="false">
      <c r="A450" s="10" t="s">
        <v>2572</v>
      </c>
      <c r="B450" s="10" t="s">
        <v>2547</v>
      </c>
      <c r="C450" s="10" t="s">
        <v>2573</v>
      </c>
      <c r="D450" s="10" t="s">
        <v>2574</v>
      </c>
      <c r="E450" s="10" t="s">
        <v>2550</v>
      </c>
      <c r="F450" s="10" t="s">
        <v>2575</v>
      </c>
      <c r="G450" s="10" t="s">
        <v>2552</v>
      </c>
      <c r="H450" s="10" t="str">
        <f aca="false">IF(G445="BUG","BUG-"&amp;A445,IF(G445="FUNCTIONAL","FUNCTIONAL-"&amp;A445,""))</f>
        <v/>
      </c>
      <c r="I450" s="10" t="s">
        <v>65</v>
      </c>
      <c r="L450" s="11" t="s">
        <v>2576</v>
      </c>
    </row>
    <row r="451" customFormat="false" ht="15" hidden="false" customHeight="true" outlineLevel="0" collapsed="false">
      <c r="A451" s="10" t="s">
        <v>2577</v>
      </c>
      <c r="B451" s="10" t="s">
        <v>2578</v>
      </c>
      <c r="C451" s="10" t="s">
        <v>2579</v>
      </c>
      <c r="D451" s="10" t="s">
        <v>2580</v>
      </c>
      <c r="E451" s="10" t="s">
        <v>2581</v>
      </c>
      <c r="F451" s="10" t="s">
        <v>2582</v>
      </c>
      <c r="G451" s="10" t="s">
        <v>74</v>
      </c>
      <c r="H451" s="10" t="str">
        <f aca="false">IF(G446="BUG","BUG-"&amp;A446,IF(G446="FUNCTIONAL","FUNCTIONAL-"&amp;A446,""))</f>
        <v/>
      </c>
      <c r="I451" s="10" t="s">
        <v>65</v>
      </c>
      <c r="L451" s="11" t="s">
        <v>2583</v>
      </c>
    </row>
    <row r="452" customFormat="false" ht="15" hidden="false" customHeight="true" outlineLevel="0" collapsed="false">
      <c r="A452" s="10" t="s">
        <v>2584</v>
      </c>
      <c r="B452" s="10" t="s">
        <v>2354</v>
      </c>
      <c r="C452" s="10" t="s">
        <v>2585</v>
      </c>
      <c r="D452" s="10" t="s">
        <v>2586</v>
      </c>
      <c r="E452" s="10" t="s">
        <v>2587</v>
      </c>
      <c r="F452" s="10" t="s">
        <v>2588</v>
      </c>
      <c r="G452" s="10" t="s">
        <v>74</v>
      </c>
      <c r="H452" s="10" t="str">
        <f aca="false">IF(G452="BUG","BUG-"&amp;A452,IF(G452="FUNCTIONAL","FUNCTIONAL-"&amp;A452,""))</f>
        <v/>
      </c>
      <c r="I452" s="10" t="s">
        <v>56</v>
      </c>
      <c r="L452" s="11" t="s">
        <v>2589</v>
      </c>
    </row>
    <row r="453" customFormat="false" ht="15" hidden="false" customHeight="true" outlineLevel="0" collapsed="false">
      <c r="A453" s="10" t="s">
        <v>2590</v>
      </c>
      <c r="B453" s="10" t="s">
        <v>2354</v>
      </c>
      <c r="C453" s="10" t="s">
        <v>2591</v>
      </c>
      <c r="D453" s="10" t="s">
        <v>2549</v>
      </c>
      <c r="E453" s="10" t="s">
        <v>2592</v>
      </c>
      <c r="F453" s="10" t="s">
        <v>2593</v>
      </c>
      <c r="G453" s="10" t="s">
        <v>2552</v>
      </c>
      <c r="H453" s="10" t="str">
        <f aca="false">IF(G453="BUG","BUG-"&amp;A453,IF(G453="FUNCTIONAL","FUNCTIONAL-"&amp;A453,""))</f>
        <v/>
      </c>
      <c r="I453" s="10" t="s">
        <v>56</v>
      </c>
      <c r="L453" s="11" t="s">
        <v>2594</v>
      </c>
    </row>
    <row r="454" customFormat="false" ht="15" hidden="false" customHeight="true" outlineLevel="0" collapsed="false">
      <c r="A454" s="10" t="s">
        <v>2595</v>
      </c>
      <c r="B454" s="10" t="s">
        <v>2354</v>
      </c>
      <c r="C454" s="10" t="s">
        <v>2596</v>
      </c>
      <c r="D454" s="10" t="s">
        <v>2597</v>
      </c>
      <c r="E454" s="10" t="s">
        <v>2598</v>
      </c>
      <c r="F454" s="10" t="s">
        <v>2599</v>
      </c>
      <c r="G454" s="10" t="s">
        <v>74</v>
      </c>
      <c r="H454" s="10" t="str">
        <f aca="false">IF(G454="BUG","BUG-"&amp;A454,IF(G454="FUNCTIONAL","FUNCTIONAL-"&amp;A454,""))</f>
        <v/>
      </c>
      <c r="I454" s="10" t="s">
        <v>56</v>
      </c>
      <c r="L454" s="11" t="s">
        <v>2600</v>
      </c>
    </row>
    <row r="455" customFormat="false" ht="15" hidden="false" customHeight="true" outlineLevel="0" collapsed="false">
      <c r="A455" s="10" t="s">
        <v>2601</v>
      </c>
      <c r="B455" s="10" t="s">
        <v>2602</v>
      </c>
      <c r="C455" s="10" t="s">
        <v>2603</v>
      </c>
      <c r="D455" s="10" t="s">
        <v>2604</v>
      </c>
      <c r="E455" s="10" t="s">
        <v>2605</v>
      </c>
      <c r="F455" s="10" t="s">
        <v>2606</v>
      </c>
      <c r="G455" s="10" t="s">
        <v>2552</v>
      </c>
      <c r="H455" s="10" t="str">
        <f aca="false">IF(G455="BUG","BUG-"&amp;A455,IF(G455="FUNCTIONAL","FUNCTIONAL-"&amp;A455,""))</f>
        <v/>
      </c>
      <c r="I455" s="10" t="s">
        <v>65</v>
      </c>
      <c r="L455" s="11" t="s">
        <v>2607</v>
      </c>
    </row>
    <row r="456" customFormat="false" ht="15" hidden="false" customHeight="true" outlineLevel="0" collapsed="false">
      <c r="A456" s="10" t="s">
        <v>2608</v>
      </c>
      <c r="B456" s="10" t="s">
        <v>2354</v>
      </c>
      <c r="C456" s="10" t="s">
        <v>2609</v>
      </c>
      <c r="D456" s="10" t="s">
        <v>2610</v>
      </c>
      <c r="E456" s="10" t="s">
        <v>2611</v>
      </c>
      <c r="F456" s="10" t="s">
        <v>2612</v>
      </c>
      <c r="G456" s="10" t="s">
        <v>74</v>
      </c>
      <c r="H456" s="10" t="str">
        <f aca="false">IF(G456="BUG","BUG-"&amp;A456,IF(G456="FUNCTIONAL","FUNCTIONAL-"&amp;A456,""))</f>
        <v/>
      </c>
      <c r="I456" s="10" t="s">
        <v>56</v>
      </c>
      <c r="L456" s="11" t="s">
        <v>2613</v>
      </c>
    </row>
    <row r="457" customFormat="false" ht="15" hidden="false" customHeight="true" outlineLevel="0" collapsed="false">
      <c r="A457" s="10" t="s">
        <v>2614</v>
      </c>
      <c r="B457" s="10" t="s">
        <v>2615</v>
      </c>
      <c r="C457" s="10" t="s">
        <v>2616</v>
      </c>
      <c r="D457" s="10" t="s">
        <v>2617</v>
      </c>
      <c r="E457" s="10" t="s">
        <v>2618</v>
      </c>
      <c r="F457" s="10" t="s">
        <v>2619</v>
      </c>
      <c r="H457" s="10" t="str">
        <f aca="false">IF(G457="BUG","BUG-"&amp;A457,IF(G457="FUNCTIONAL","FUNCTIONAL-"&amp;A457,""))</f>
        <v/>
      </c>
      <c r="I457" s="10" t="s">
        <v>56</v>
      </c>
      <c r="L457" s="11" t="s">
        <v>2620</v>
      </c>
    </row>
    <row r="458" customFormat="false" ht="15" hidden="false" customHeight="true" outlineLevel="0" collapsed="false">
      <c r="A458" s="10" t="s">
        <v>2621</v>
      </c>
      <c r="B458" s="10" t="s">
        <v>2622</v>
      </c>
      <c r="C458" s="10" t="s">
        <v>2623</v>
      </c>
      <c r="D458" s="10" t="s">
        <v>2624</v>
      </c>
      <c r="E458" s="10" t="s">
        <v>2625</v>
      </c>
      <c r="F458" s="10" t="s">
        <v>2626</v>
      </c>
      <c r="H458" s="10" t="str">
        <f aca="false">IF(G458="BUG","BUG-"&amp;A458,IF(G458="FUNCTIONAL","FUNCTIONAL-"&amp;A458,""))</f>
        <v/>
      </c>
      <c r="I458" s="10" t="s">
        <v>65</v>
      </c>
      <c r="L458" s="11" t="s">
        <v>2627</v>
      </c>
    </row>
    <row r="459" customFormat="false" ht="15" hidden="false" customHeight="true" outlineLevel="0" collapsed="false">
      <c r="A459" s="10" t="s">
        <v>2628</v>
      </c>
      <c r="B459" s="10" t="s">
        <v>2629</v>
      </c>
      <c r="C459" s="10" t="s">
        <v>2630</v>
      </c>
      <c r="D459" s="10" t="s">
        <v>2631</v>
      </c>
      <c r="E459" s="10" t="s">
        <v>2632</v>
      </c>
      <c r="F459" s="10" t="s">
        <v>2633</v>
      </c>
      <c r="G459" s="10" t="s">
        <v>74</v>
      </c>
      <c r="H459" s="10" t="str">
        <f aca="false">IF(G459="BUG","BUG-"&amp;A459,IF(G459="FUNCTIONAL","FUNCTIONAL-"&amp;A459,""))</f>
        <v/>
      </c>
      <c r="I459" s="10" t="s">
        <v>42</v>
      </c>
      <c r="L459" s="11" t="s">
        <v>2634</v>
      </c>
    </row>
    <row r="460" customFormat="false" ht="15" hidden="false" customHeight="true" outlineLevel="0" collapsed="false">
      <c r="A460" s="10" t="s">
        <v>2635</v>
      </c>
      <c r="B460" s="10" t="s">
        <v>2629</v>
      </c>
      <c r="C460" s="10" t="s">
        <v>2636</v>
      </c>
      <c r="D460" s="10" t="s">
        <v>2631</v>
      </c>
      <c r="E460" s="10" t="s">
        <v>2637</v>
      </c>
      <c r="F460" s="10" t="s">
        <v>2638</v>
      </c>
      <c r="G460" s="10" t="s">
        <v>74</v>
      </c>
      <c r="H460" s="10" t="str">
        <f aca="false">IF(G460="BUG","BUG-"&amp;A460,IF(G460="FUNCTIONAL","FUNCTIONAL-"&amp;A460,""))</f>
        <v/>
      </c>
      <c r="I460" s="10" t="s">
        <v>65</v>
      </c>
      <c r="L460" s="11" t="s">
        <v>2639</v>
      </c>
    </row>
    <row r="461" customFormat="false" ht="15" hidden="false" customHeight="true" outlineLevel="0" collapsed="false">
      <c r="A461" s="10" t="s">
        <v>2640</v>
      </c>
      <c r="B461" s="10" t="s">
        <v>2629</v>
      </c>
      <c r="C461" s="10" t="s">
        <v>2641</v>
      </c>
      <c r="D461" s="10" t="s">
        <v>2631</v>
      </c>
      <c r="E461" s="10" t="s">
        <v>2642</v>
      </c>
      <c r="F461" s="10" t="s">
        <v>2643</v>
      </c>
      <c r="G461" s="10" t="s">
        <v>74</v>
      </c>
      <c r="H461" s="10" t="str">
        <f aca="false">IF(G461="BUG","BUG-"&amp;A461,IF(G461="FUNCTIONAL","FUNCTIONAL-"&amp;A461,""))</f>
        <v/>
      </c>
      <c r="I461" s="10" t="s">
        <v>65</v>
      </c>
      <c r="L461" s="11" t="s">
        <v>2644</v>
      </c>
    </row>
    <row r="462" customFormat="false" ht="15" hidden="false" customHeight="true" outlineLevel="0" collapsed="false">
      <c r="A462" s="10" t="s">
        <v>2506</v>
      </c>
      <c r="B462" s="10" t="s">
        <v>2645</v>
      </c>
      <c r="C462" s="10" t="s">
        <v>2646</v>
      </c>
      <c r="D462" s="10" t="s">
        <v>2647</v>
      </c>
      <c r="E462" s="10" t="s">
        <v>2648</v>
      </c>
      <c r="F462" s="10" t="s">
        <v>2649</v>
      </c>
      <c r="H462" s="10" t="str">
        <f aca="false">IF(G462="BUG","BUG-"&amp;A462,IF(G462="FUNCTIONAL","FUNCTIONAL-"&amp;A462,""))</f>
        <v/>
      </c>
      <c r="I462" s="10" t="s">
        <v>42</v>
      </c>
      <c r="L462" s="11" t="s">
        <v>2650</v>
      </c>
    </row>
    <row r="463" customFormat="false" ht="15" hidden="false" customHeight="true" outlineLevel="0" collapsed="false">
      <c r="A463" s="10" t="s">
        <v>2513</v>
      </c>
      <c r="B463" s="10" t="s">
        <v>2645</v>
      </c>
      <c r="C463" s="10" t="s">
        <v>2651</v>
      </c>
      <c r="D463" s="10" t="s">
        <v>2652</v>
      </c>
      <c r="E463" s="10" t="s">
        <v>2653</v>
      </c>
      <c r="F463" s="10" t="s">
        <v>2654</v>
      </c>
      <c r="H463" s="10" t="str">
        <f aca="false">IF(G463="BUG","BUG-"&amp;A463,IF(G463="FUNCTIONAL","FUNCTIONAL-"&amp;A463,""))</f>
        <v/>
      </c>
      <c r="I463" s="10" t="s">
        <v>56</v>
      </c>
      <c r="L463" s="11" t="s">
        <v>2655</v>
      </c>
    </row>
    <row r="464" customFormat="false" ht="15" hidden="false" customHeight="true" outlineLevel="0" collapsed="false">
      <c r="A464" s="10" t="s">
        <v>2520</v>
      </c>
      <c r="B464" s="10" t="s">
        <v>2656</v>
      </c>
      <c r="C464" s="10" t="s">
        <v>2657</v>
      </c>
      <c r="D464" s="10" t="s">
        <v>2658</v>
      </c>
      <c r="E464" s="10" t="s">
        <v>2659</v>
      </c>
      <c r="F464" s="10" t="s">
        <v>2660</v>
      </c>
      <c r="G464" s="10" t="s">
        <v>2552</v>
      </c>
      <c r="H464" s="10" t="str">
        <f aca="false">IF(G464="BUG","BUG-"&amp;A464,IF(G464="FUNCTIONAL","FUNCTIONAL-"&amp;A464,""))</f>
        <v/>
      </c>
      <c r="I464" s="10" t="s">
        <v>56</v>
      </c>
      <c r="L464" s="11" t="s">
        <v>2661</v>
      </c>
    </row>
    <row r="465" customFormat="false" ht="15" hidden="false" customHeight="true" outlineLevel="0" collapsed="false">
      <c r="A465" s="10" t="s">
        <v>2527</v>
      </c>
      <c r="B465" s="10" t="s">
        <v>2656</v>
      </c>
      <c r="C465" s="10" t="s">
        <v>2662</v>
      </c>
      <c r="D465" s="10" t="s">
        <v>2658</v>
      </c>
      <c r="E465" s="10" t="s">
        <v>2663</v>
      </c>
      <c r="F465" s="10" t="s">
        <v>2664</v>
      </c>
      <c r="G465" s="10" t="s">
        <v>2552</v>
      </c>
      <c r="H465" s="10" t="str">
        <f aca="false">IF(G465="BUG","BUG-"&amp;A465,IF(G465="FUNCTIONAL","FUNCTIONAL-"&amp;A465,""))</f>
        <v/>
      </c>
      <c r="I465" s="10" t="s">
        <v>56</v>
      </c>
      <c r="L465" s="11" t="s">
        <v>2665</v>
      </c>
    </row>
    <row r="466" customFormat="false" ht="15" hidden="false" customHeight="true" outlineLevel="0" collapsed="false">
      <c r="A466" s="10" t="s">
        <v>1332</v>
      </c>
      <c r="B466" s="10" t="s">
        <v>2656</v>
      </c>
      <c r="C466" s="10" t="s">
        <v>2666</v>
      </c>
      <c r="D466" s="10" t="s">
        <v>2658</v>
      </c>
      <c r="E466" s="10" t="s">
        <v>2667</v>
      </c>
      <c r="F466" s="10" t="s">
        <v>2668</v>
      </c>
      <c r="G466" s="10" t="s">
        <v>2552</v>
      </c>
      <c r="H466" s="10" t="str">
        <f aca="false">IF(G466="BUG","BUG-"&amp;A466,IF(G466="FUNCTIONAL","FUNCTIONAL-"&amp;A466,""))</f>
        <v/>
      </c>
      <c r="I466" s="10" t="s">
        <v>65</v>
      </c>
      <c r="L466" s="11" t="s">
        <v>2669</v>
      </c>
    </row>
    <row r="467" customFormat="false" ht="15" hidden="false" customHeight="true" outlineLevel="0" collapsed="false">
      <c r="A467" s="10" t="s">
        <v>2540</v>
      </c>
      <c r="B467" s="10" t="s">
        <v>2656</v>
      </c>
      <c r="C467" s="10" t="s">
        <v>2670</v>
      </c>
      <c r="D467" s="10" t="s">
        <v>2671</v>
      </c>
      <c r="E467" s="10" t="s">
        <v>2672</v>
      </c>
      <c r="F467" s="10" t="s">
        <v>2673</v>
      </c>
      <c r="H467" s="10" t="str">
        <f aca="false">IF(G467="BUG","BUG-"&amp;A467,IF(G467="FUNCTIONAL","FUNCTIONAL-"&amp;A467,""))</f>
        <v/>
      </c>
      <c r="I467" s="10" t="s">
        <v>42</v>
      </c>
      <c r="L467" s="11" t="s">
        <v>2674</v>
      </c>
    </row>
    <row r="468" customFormat="false" ht="15" hidden="false" customHeight="true" outlineLevel="0" collapsed="false">
      <c r="A468" s="10" t="s">
        <v>2675</v>
      </c>
      <c r="B468" s="10" t="s">
        <v>2676</v>
      </c>
      <c r="C468" s="10" t="s">
        <v>2677</v>
      </c>
      <c r="D468" s="10" t="s">
        <v>2678</v>
      </c>
      <c r="E468" s="10" t="s">
        <v>2679</v>
      </c>
      <c r="F468" s="10" t="s">
        <v>2680</v>
      </c>
      <c r="G468" s="10" t="s">
        <v>2552</v>
      </c>
      <c r="H468" s="10" t="str">
        <f aca="false">IF(G468="BUG","BUG-"&amp;A468,IF(G468="FUNCTIONAL","FUNCTIONAL-"&amp;A468,""))</f>
        <v/>
      </c>
      <c r="I468" s="10" t="s">
        <v>42</v>
      </c>
      <c r="J468" s="10" t="s">
        <v>2681</v>
      </c>
      <c r="L468" s="11" t="s">
        <v>2682</v>
      </c>
    </row>
    <row r="469" customFormat="false" ht="15" hidden="false" customHeight="true" outlineLevel="0" collapsed="false">
      <c r="A469" s="10" t="s">
        <v>2683</v>
      </c>
      <c r="B469" s="10" t="s">
        <v>2676</v>
      </c>
      <c r="C469" s="10" t="s">
        <v>2684</v>
      </c>
      <c r="D469" s="10" t="s">
        <v>2685</v>
      </c>
      <c r="E469" s="10" t="s">
        <v>2686</v>
      </c>
      <c r="F469" s="10" t="s">
        <v>2687</v>
      </c>
      <c r="G469" s="10" t="s">
        <v>2552</v>
      </c>
      <c r="H469" s="10" t="str">
        <f aca="false">IF(G469="BUG","BUG-"&amp;A469,IF(G469="FUNCTIONAL","FUNCTIONAL-"&amp;A469,""))</f>
        <v/>
      </c>
      <c r="I469" s="10" t="s">
        <v>42</v>
      </c>
      <c r="J469" s="10" t="s">
        <v>2681</v>
      </c>
      <c r="L469" s="11" t="s">
        <v>2688</v>
      </c>
    </row>
    <row r="470" customFormat="false" ht="15" hidden="false" customHeight="true" outlineLevel="0" collapsed="false">
      <c r="A470" s="10" t="s">
        <v>2689</v>
      </c>
      <c r="B470" s="10" t="s">
        <v>2676</v>
      </c>
      <c r="C470" s="10" t="s">
        <v>2690</v>
      </c>
      <c r="D470" s="10" t="s">
        <v>2685</v>
      </c>
      <c r="E470" s="10" t="s">
        <v>2691</v>
      </c>
      <c r="F470" s="10" t="s">
        <v>2692</v>
      </c>
      <c r="G470" s="10" t="s">
        <v>2552</v>
      </c>
      <c r="H470" s="10" t="str">
        <f aca="false">IF(G470="BUG","BUG-"&amp;A470,IF(G470="FUNCTIONAL","FUNCTIONAL-"&amp;A470,""))</f>
        <v/>
      </c>
      <c r="I470" s="10" t="s">
        <v>42</v>
      </c>
      <c r="J470" s="10" t="s">
        <v>2681</v>
      </c>
      <c r="L470" s="11" t="s">
        <v>2693</v>
      </c>
    </row>
    <row r="471" customFormat="false" ht="15" hidden="false" customHeight="true" outlineLevel="0" collapsed="false">
      <c r="A471" s="10" t="s">
        <v>2694</v>
      </c>
      <c r="B471" s="10" t="s">
        <v>2676</v>
      </c>
      <c r="C471" s="10" t="s">
        <v>2695</v>
      </c>
      <c r="D471" s="10" t="s">
        <v>2685</v>
      </c>
      <c r="E471" s="10" t="s">
        <v>2696</v>
      </c>
      <c r="F471" s="10" t="s">
        <v>2697</v>
      </c>
      <c r="G471" s="10" t="s">
        <v>2552</v>
      </c>
      <c r="H471" s="10" t="str">
        <f aca="false">IF(G471="BUG","BUG-"&amp;A471,IF(G471="FUNCTIONAL","FUNCTIONAL-"&amp;A471,""))</f>
        <v/>
      </c>
      <c r="I471" s="10" t="s">
        <v>56</v>
      </c>
      <c r="J471" s="10" t="s">
        <v>2681</v>
      </c>
      <c r="L471" s="11" t="s">
        <v>2698</v>
      </c>
    </row>
    <row r="472" customFormat="false" ht="15" hidden="false" customHeight="true" outlineLevel="0" collapsed="false">
      <c r="A472" s="10" t="s">
        <v>2699</v>
      </c>
      <c r="B472" s="10" t="s">
        <v>2676</v>
      </c>
      <c r="C472" s="10" t="s">
        <v>2700</v>
      </c>
      <c r="D472" s="10" t="s">
        <v>2685</v>
      </c>
      <c r="E472" s="10" t="s">
        <v>2701</v>
      </c>
      <c r="F472" s="10" t="s">
        <v>2702</v>
      </c>
      <c r="G472" s="10" t="s">
        <v>2552</v>
      </c>
      <c r="H472" s="10" t="str">
        <f aca="false">IF(G472="BUG","BUG-"&amp;A472,IF(G472="FUNCTIONAL","FUNCTIONAL-"&amp;A472,""))</f>
        <v/>
      </c>
      <c r="I472" s="10" t="s">
        <v>42</v>
      </c>
      <c r="J472" s="10" t="s">
        <v>2681</v>
      </c>
      <c r="L472" s="11" t="s">
        <v>2703</v>
      </c>
    </row>
    <row r="473" customFormat="false" ht="15" hidden="false" customHeight="true" outlineLevel="0" collapsed="false">
      <c r="A473" s="10" t="s">
        <v>2704</v>
      </c>
      <c r="B473" s="10" t="s">
        <v>2676</v>
      </c>
      <c r="C473" s="10" t="s">
        <v>2705</v>
      </c>
      <c r="D473" s="10" t="s">
        <v>2685</v>
      </c>
      <c r="E473" s="10" t="s">
        <v>2706</v>
      </c>
      <c r="F473" s="10" t="s">
        <v>2707</v>
      </c>
      <c r="G473" s="10" t="s">
        <v>2552</v>
      </c>
      <c r="H473" s="10" t="str">
        <f aca="false">IF(G473="BUG","BUG-"&amp;A473,IF(G473="FUNCTIONAL","FUNCTIONAL-"&amp;A473,""))</f>
        <v/>
      </c>
      <c r="I473" s="10" t="s">
        <v>56</v>
      </c>
      <c r="J473" s="10" t="s">
        <v>2681</v>
      </c>
      <c r="L473" s="11" t="s">
        <v>2708</v>
      </c>
    </row>
    <row r="474" customFormat="false" ht="15" hidden="false" customHeight="true" outlineLevel="0" collapsed="false">
      <c r="A474" s="10" t="s">
        <v>2709</v>
      </c>
      <c r="B474" s="10" t="s">
        <v>2676</v>
      </c>
      <c r="C474" s="10" t="s">
        <v>2710</v>
      </c>
      <c r="D474" s="10" t="s">
        <v>2685</v>
      </c>
      <c r="E474" s="10" t="s">
        <v>2711</v>
      </c>
      <c r="F474" s="10" t="s">
        <v>2712</v>
      </c>
      <c r="G474" s="10" t="s">
        <v>2552</v>
      </c>
      <c r="H474" s="10" t="str">
        <f aca="false">IF(G474="BUG","BUG-"&amp;A474,IF(G474="FUNCTIONAL","FUNCTIONAL-"&amp;A474,""))</f>
        <v/>
      </c>
      <c r="I474" s="10" t="s">
        <v>42</v>
      </c>
      <c r="J474" s="10" t="s">
        <v>2681</v>
      </c>
      <c r="L474" s="11" t="s">
        <v>2713</v>
      </c>
    </row>
    <row r="475" customFormat="false" ht="15" hidden="false" customHeight="true" outlineLevel="0" collapsed="false">
      <c r="A475" s="10" t="s">
        <v>2714</v>
      </c>
      <c r="B475" s="10" t="s">
        <v>2676</v>
      </c>
      <c r="C475" s="10" t="s">
        <v>2715</v>
      </c>
      <c r="D475" s="10" t="s">
        <v>2685</v>
      </c>
      <c r="E475" s="10" t="s">
        <v>2716</v>
      </c>
      <c r="F475" s="10" t="s">
        <v>2717</v>
      </c>
      <c r="G475" s="10" t="s">
        <v>2552</v>
      </c>
      <c r="H475" s="10" t="str">
        <f aca="false">IF(G475="BUG","BUG-"&amp;A475,IF(G475="FUNCTIONAL","FUNCTIONAL-"&amp;A475,""))</f>
        <v/>
      </c>
      <c r="I475" s="10" t="s">
        <v>56</v>
      </c>
      <c r="J475" s="10" t="s">
        <v>2681</v>
      </c>
      <c r="L475" s="11" t="s">
        <v>2718</v>
      </c>
    </row>
    <row r="476" customFormat="false" ht="15" hidden="false" customHeight="true" outlineLevel="0" collapsed="false">
      <c r="A476" s="10" t="s">
        <v>2719</v>
      </c>
      <c r="B476" s="10" t="s">
        <v>2676</v>
      </c>
      <c r="C476" s="10" t="s">
        <v>2720</v>
      </c>
      <c r="D476" s="10" t="s">
        <v>2721</v>
      </c>
      <c r="E476" s="10" t="s">
        <v>2722</v>
      </c>
      <c r="F476" s="10" t="s">
        <v>2723</v>
      </c>
      <c r="G476" s="10" t="s">
        <v>2552</v>
      </c>
      <c r="H476" s="10" t="str">
        <f aca="false">IF(G476="BUG","BUG-"&amp;A476,IF(G476="FUNCTIONAL","FUNCTIONAL-"&amp;A476,""))</f>
        <v/>
      </c>
      <c r="I476" s="10" t="s">
        <v>42</v>
      </c>
      <c r="J476" s="10" t="s">
        <v>2681</v>
      </c>
      <c r="L476" s="11" t="s">
        <v>2724</v>
      </c>
    </row>
    <row r="477" customFormat="false" ht="15" hidden="false" customHeight="true" outlineLevel="0" collapsed="false">
      <c r="A477" s="10" t="s">
        <v>2725</v>
      </c>
      <c r="B477" s="10" t="s">
        <v>2676</v>
      </c>
      <c r="C477" s="10" t="s">
        <v>2726</v>
      </c>
      <c r="D477" s="10" t="s">
        <v>2727</v>
      </c>
      <c r="E477" s="10" t="s">
        <v>2728</v>
      </c>
      <c r="F477" s="10" t="s">
        <v>2729</v>
      </c>
      <c r="G477" s="10" t="s">
        <v>2552</v>
      </c>
      <c r="H477" s="10" t="str">
        <f aca="false">IF(G477="BUG","BUG-"&amp;A477,IF(G477="FUNCTIONAL","FUNCTIONAL-"&amp;A477,""))</f>
        <v/>
      </c>
      <c r="I477" s="10" t="s">
        <v>42</v>
      </c>
      <c r="J477" s="10" t="s">
        <v>2681</v>
      </c>
      <c r="L477" s="11" t="s">
        <v>2730</v>
      </c>
    </row>
    <row r="478" customFormat="false" ht="15" hidden="false" customHeight="true" outlineLevel="0" collapsed="false">
      <c r="A478" s="10" t="s">
        <v>2731</v>
      </c>
      <c r="B478" s="10" t="s">
        <v>2676</v>
      </c>
      <c r="C478" s="10" t="s">
        <v>2732</v>
      </c>
      <c r="D478" s="10" t="s">
        <v>2727</v>
      </c>
      <c r="E478" s="10" t="s">
        <v>2733</v>
      </c>
      <c r="F478" s="10" t="s">
        <v>2734</v>
      </c>
      <c r="G478" s="10" t="s">
        <v>2552</v>
      </c>
      <c r="H478" s="10" t="str">
        <f aca="false">IF(G478="BUG","BUG-"&amp;A478,IF(G478="FUNCTIONAL","FUNCTIONAL-"&amp;A478,""))</f>
        <v/>
      </c>
      <c r="I478" s="10" t="s">
        <v>56</v>
      </c>
      <c r="J478" s="10" t="s">
        <v>2681</v>
      </c>
      <c r="L478" s="11" t="s">
        <v>2735</v>
      </c>
    </row>
    <row r="479" customFormat="false" ht="15" hidden="false" customHeight="true" outlineLevel="0" collapsed="false">
      <c r="A479" s="10" t="s">
        <v>2736</v>
      </c>
      <c r="B479" s="10" t="s">
        <v>2737</v>
      </c>
      <c r="C479" s="10" t="s">
        <v>2738</v>
      </c>
      <c r="D479" s="10" t="s">
        <v>2739</v>
      </c>
      <c r="E479" s="10" t="s">
        <v>2740</v>
      </c>
      <c r="F479" s="10" t="s">
        <v>2741</v>
      </c>
      <c r="G479" s="10" t="s">
        <v>55</v>
      </c>
      <c r="H479" s="10" t="str">
        <f aca="false">IF(G479="BUG","BUG-"&amp;A479,IF(G479="FUNCTIONAL","FUNCTIONAL-"&amp;A479,""))</f>
        <v>BUG-TC-N637</v>
      </c>
      <c r="I479" s="10" t="s">
        <v>42</v>
      </c>
      <c r="K479" s="11" t="s">
        <v>2742</v>
      </c>
      <c r="L479" s="11" t="s">
        <v>2743</v>
      </c>
    </row>
    <row r="480" customFormat="false" ht="15" hidden="false" customHeight="true" outlineLevel="0" collapsed="false">
      <c r="A480" s="10" t="s">
        <v>2744</v>
      </c>
      <c r="B480" s="10" t="s">
        <v>2745</v>
      </c>
      <c r="C480" s="10" t="s">
        <v>2746</v>
      </c>
      <c r="D480" s="10" t="s">
        <v>2747</v>
      </c>
      <c r="E480" s="10" t="s">
        <v>2748</v>
      </c>
      <c r="F480" s="10" t="s">
        <v>2749</v>
      </c>
      <c r="G480" s="10" t="s">
        <v>55</v>
      </c>
      <c r="H480" s="10" t="str">
        <f aca="false">IF(G480="BUG","BUG-"&amp;A480,IF(G480="FUNCTIONAL","FUNCTIONAL-"&amp;A480,""))</f>
        <v>BUG-TC-N638</v>
      </c>
      <c r="I480" s="10" t="s">
        <v>56</v>
      </c>
      <c r="K480" s="11" t="s">
        <v>2742</v>
      </c>
      <c r="L480" s="11" t="s">
        <v>2750</v>
      </c>
    </row>
    <row r="481" customFormat="false" ht="15" hidden="false" customHeight="false" outlineLevel="0" collapsed="false">
      <c r="A481" s="19" t="s">
        <v>2751</v>
      </c>
      <c r="B481" s="19" t="s">
        <v>2752</v>
      </c>
      <c r="C481" s="19" t="s">
        <v>2753</v>
      </c>
      <c r="D481" s="19" t="s">
        <v>2754</v>
      </c>
      <c r="E481" s="19" t="s">
        <v>2755</v>
      </c>
      <c r="F481" s="19" t="s">
        <v>2756</v>
      </c>
      <c r="G481" s="19" t="s">
        <v>74</v>
      </c>
      <c r="H481" s="19"/>
      <c r="I481" s="19" t="s">
        <v>42</v>
      </c>
      <c r="J481" s="19"/>
      <c r="K481" s="19"/>
      <c r="L481" s="19" t="s">
        <v>2757</v>
      </c>
    </row>
    <row r="482" customFormat="false" ht="15" hidden="false" customHeight="false" outlineLevel="0" collapsed="false">
      <c r="A482" s="19" t="s">
        <v>2758</v>
      </c>
      <c r="B482" s="19" t="s">
        <v>2752</v>
      </c>
      <c r="C482" s="19" t="s">
        <v>2759</v>
      </c>
      <c r="D482" s="19" t="s">
        <v>2760</v>
      </c>
      <c r="E482" s="19" t="s">
        <v>2761</v>
      </c>
      <c r="F482" s="19" t="s">
        <v>2762</v>
      </c>
      <c r="G482" s="19" t="s">
        <v>74</v>
      </c>
      <c r="H482" s="19"/>
      <c r="I482" s="19" t="s">
        <v>56</v>
      </c>
      <c r="J482" s="19"/>
      <c r="K482" s="19"/>
      <c r="L482" s="19" t="s">
        <v>2763</v>
      </c>
    </row>
    <row r="483" customFormat="false" ht="15" hidden="false" customHeight="false" outlineLevel="0" collapsed="false">
      <c r="A483" s="19" t="s">
        <v>2764</v>
      </c>
      <c r="B483" s="19" t="s">
        <v>2752</v>
      </c>
      <c r="C483" s="19" t="s">
        <v>2765</v>
      </c>
      <c r="D483" s="19" t="s">
        <v>2685</v>
      </c>
      <c r="E483" s="19" t="s">
        <v>2766</v>
      </c>
      <c r="F483" s="19" t="s">
        <v>2767</v>
      </c>
      <c r="G483" s="19" t="s">
        <v>2552</v>
      </c>
      <c r="H483" s="19"/>
      <c r="I483" s="19" t="s">
        <v>65</v>
      </c>
      <c r="J483" s="19"/>
      <c r="K483" s="19"/>
      <c r="L483" s="19" t="s">
        <v>2768</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1" type="list">
      <formula1>"OK,BUG,FUNCTIONAL,ENHANCEMENT,DA TESTARE"</formula1>
      <formula2>0</formula2>
    </dataValidation>
    <dataValidation allowBlank="true" errorStyle="stop" operator="between" showDropDown="false" showErrorMessage="false" showInputMessage="false" sqref="I2:I291"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20" t="s">
        <v>2769</v>
      </c>
    </row>
    <row r="2" customFormat="false" ht="15" hidden="false" customHeight="true" outlineLevel="0" collapsed="false">
      <c r="A2" s="4" t="s">
        <v>32</v>
      </c>
      <c r="B2" s="4" t="s">
        <v>2770</v>
      </c>
      <c r="D2" s="4" t="s">
        <v>27</v>
      </c>
      <c r="E2" s="4" t="s">
        <v>2771</v>
      </c>
    </row>
    <row r="3" customFormat="false" ht="15" hidden="false" customHeight="true" outlineLevel="0" collapsed="false">
      <c r="A3" s="6" t="s">
        <v>41</v>
      </c>
      <c r="B3" s="21" t="n">
        <f aca="false">COUNTIF('Test Case'!G:G,"OK")</f>
        <v>17</v>
      </c>
      <c r="D3" s="6" t="s">
        <v>36</v>
      </c>
      <c r="E3" s="21" t="n">
        <f aca="false">COUNTIF('Test Case'!B:B,"Setup")</f>
        <v>11</v>
      </c>
    </row>
    <row r="4" customFormat="false" ht="15" hidden="false" customHeight="true" outlineLevel="0" collapsed="false">
      <c r="A4" s="6" t="s">
        <v>55</v>
      </c>
      <c r="B4" s="21" t="n">
        <f aca="false">COUNTIF('Test Case'!G:G,"BUG")</f>
        <v>12</v>
      </c>
      <c r="D4" s="6" t="s">
        <v>114</v>
      </c>
      <c r="E4" s="21" t="n">
        <f aca="false">COUNTIF('Test Case'!B:B,"Genitori - Home")</f>
        <v>12</v>
      </c>
    </row>
    <row r="5" customFormat="false" ht="15" hidden="false" customHeight="true" outlineLevel="0" collapsed="false">
      <c r="A5" s="6" t="s">
        <v>64</v>
      </c>
      <c r="B5" s="21" t="n">
        <f aca="false">COUNTIF('Test Case'!G:G,"FUNCTIONAL")</f>
        <v>18</v>
      </c>
      <c r="D5" s="6" t="s">
        <v>144</v>
      </c>
      <c r="E5" s="21" t="n">
        <f aca="false">COUNTIF('Test Case'!B:B,"Genitori - Cerca")</f>
        <v>12</v>
      </c>
    </row>
    <row r="6" customFormat="false" ht="15" hidden="false" customHeight="true" outlineLevel="0" collapsed="false">
      <c r="A6" s="6" t="s">
        <v>74</v>
      </c>
      <c r="B6" s="21" t="n">
        <f aca="false">COUNTIF('Test Case'!G:G,"DA TESTARE")</f>
        <v>344</v>
      </c>
      <c r="D6" s="6" t="s">
        <v>201</v>
      </c>
      <c r="E6" s="21" t="n">
        <f aca="false">COUNTIF('Test Case'!B:B,"Genitori - Attivita")</f>
        <v>16</v>
      </c>
    </row>
    <row r="7" customFormat="false" ht="15" hidden="false" customHeight="true" outlineLevel="0" collapsed="false">
      <c r="A7" s="8" t="s">
        <v>2772</v>
      </c>
      <c r="B7" s="22" t="n">
        <f aca="false">COUNTA('Test Case'!A2:A10000)</f>
        <v>482</v>
      </c>
      <c r="D7" s="6" t="s">
        <v>226</v>
      </c>
      <c r="E7" s="21" t="n">
        <f aca="false">COUNTIF('Test Case'!B:B,"Genitori - Prenotazione")</f>
        <v>17</v>
      </c>
    </row>
    <row r="8" customFormat="false" ht="15" hidden="false" customHeight="true" outlineLevel="0" collapsed="false">
      <c r="D8" s="6" t="s">
        <v>262</v>
      </c>
      <c r="E8" s="21" t="n">
        <f aca="false">COUNTIF('Test Case'!B:B,"Genitori - Gruppi")</f>
        <v>17</v>
      </c>
    </row>
    <row r="9" customFormat="false" ht="15" hidden="false" customHeight="true" outlineLevel="0" collapsed="false">
      <c r="D9" s="6" t="s">
        <v>352</v>
      </c>
      <c r="E9" s="21" t="n">
        <f aca="false">COUNTIF('Test Case'!B:B,"Gestore - Richieste Gruppo")</f>
        <v>4</v>
      </c>
    </row>
    <row r="10" customFormat="false" ht="15" hidden="false" customHeight="true" outlineLevel="0" collapsed="false">
      <c r="D10" s="6" t="s">
        <v>374</v>
      </c>
      <c r="E10" s="21" t="n">
        <f aca="false">COUNTIF('Test Case'!B:B,"Genitori - Accompagnamento")</f>
        <v>8</v>
      </c>
    </row>
    <row r="11" customFormat="false" ht="15" hidden="false" customHeight="true" outlineLevel="0" collapsed="false">
      <c r="D11" s="6" t="s">
        <v>415</v>
      </c>
      <c r="E11" s="21" t="n">
        <f aca="false">COUNTIF('Test Case'!B:B,"Genitori - Calendario")</f>
        <v>2</v>
      </c>
    </row>
    <row r="12" customFormat="false" ht="15" hidden="false" customHeight="true" outlineLevel="0" collapsed="false">
      <c r="D12" s="6" t="s">
        <v>430</v>
      </c>
      <c r="E12" s="21" t="n">
        <f aca="false">COUNTIF('Test Case'!B:B,"Genitori - Profilo")</f>
        <v>23</v>
      </c>
    </row>
    <row r="13" customFormat="false" ht="15" hidden="false" customHeight="true" outlineLevel="0" collapsed="false">
      <c r="D13" s="6" t="s">
        <v>463</v>
      </c>
      <c r="E13" s="21" t="n">
        <f aca="false">COUNTIF('Test Case'!B:B,"Gestore - Dashboard")</f>
        <v>4</v>
      </c>
    </row>
    <row r="14" customFormat="false" ht="15" hidden="false" customHeight="true" outlineLevel="0" collapsed="false">
      <c r="D14" s="6" t="s">
        <v>472</v>
      </c>
      <c r="E14" s="21" t="n">
        <f aca="false">COUNTIF('Test Case'!B:B,"Gestore - Attivita")</f>
        <v>9</v>
      </c>
    </row>
    <row r="15" customFormat="false" ht="15" hidden="false" customHeight="true" outlineLevel="0" collapsed="false">
      <c r="D15" s="6" t="s">
        <v>497</v>
      </c>
      <c r="E15" s="21" t="n">
        <f aca="false">COUNTIF('Test Case'!B:B,"Gestore - Promozioni")</f>
        <v>2</v>
      </c>
    </row>
    <row r="16" customFormat="false" ht="15" hidden="false" customHeight="true" outlineLevel="0" collapsed="false">
      <c r="D16" s="6" t="s">
        <v>507</v>
      </c>
      <c r="E16" s="21" t="n">
        <f aca="false">COUNTIF('Test Case'!B:B,"Gestore - Profilo Centro")</f>
        <v>4</v>
      </c>
    </row>
    <row r="17" customFormat="false" ht="15" hidden="false" customHeight="true" outlineLevel="0" collapsed="false">
      <c r="D17" s="6" t="s">
        <v>517</v>
      </c>
      <c r="E17" s="21" t="n">
        <f aca="false">COUNTIF('Test Case'!B:B,"Admin - Dashboard")</f>
        <v>2</v>
      </c>
    </row>
    <row r="18" customFormat="false" ht="15" hidden="false" customHeight="true" outlineLevel="0" collapsed="false">
      <c r="D18" s="6" t="s">
        <v>525</v>
      </c>
      <c r="E18" s="21" t="n">
        <f aca="false">COUNTIF('Test Case'!B:B,"Admin - Gestione")</f>
        <v>7</v>
      </c>
    </row>
    <row r="19" customFormat="false" ht="15" hidden="false" customHeight="true" outlineLevel="0" collapsed="false">
      <c r="D19" s="6" t="s">
        <v>553</v>
      </c>
      <c r="E19" s="21" t="n">
        <f aca="false">COUNTIF('Test Case'!B:B,"Admin - Richieste Gruppo")</f>
        <v>1</v>
      </c>
    </row>
    <row r="20" customFormat="false" ht="15" hidden="false" customHeight="true" outlineLevel="0" collapsed="false">
      <c r="D20" s="6" t="s">
        <v>560</v>
      </c>
      <c r="E20" s="21" t="n">
        <f aca="false">COUNTIF('Test Case'!B:B,"Admin - Analytics")</f>
        <v>3</v>
      </c>
    </row>
    <row r="21" customFormat="false" ht="15" hidden="false" customHeight="true" outlineLevel="0" collapsed="false">
      <c r="D21" s="6" t="s">
        <v>578</v>
      </c>
      <c r="E21" s="21" t="n">
        <f aca="false">COUNTIF('Test Case'!B:B,"Multi-tenant / PWA")</f>
        <v>7</v>
      </c>
    </row>
    <row r="22" customFormat="false" ht="15" hidden="false" customHeight="true" outlineLevel="0" collapsed="false">
      <c r="D22" s="6" t="s">
        <v>607</v>
      </c>
      <c r="E22" s="21" t="n">
        <f aca="false">COUNTIF('Test Case'!B:B,"Fuori scope attuale")</f>
        <v>3</v>
      </c>
    </row>
    <row r="23" customFormat="false" ht="15" hidden="false" customHeight="true" outlineLevel="0" collapsed="false">
      <c r="D23" s="6" t="s">
        <v>631</v>
      </c>
      <c r="E23" s="21" t="n">
        <f aca="false">COUNTIF('Test Case'!B:B,"Genitori - Home (Planner/Per Bambino)")</f>
        <v>14</v>
      </c>
    </row>
    <row r="24" customFormat="false" ht="15" hidden="false" customHeight="true" outlineLevel="0" collapsed="false">
      <c r="D24" s="6" t="s">
        <v>774</v>
      </c>
      <c r="E24" s="21" t="n">
        <f aca="false">COUNTIF('Test Case'!B:B,"Gestore - Inviti")</f>
        <v>6</v>
      </c>
    </row>
    <row r="25" customFormat="false" ht="15" hidden="false" customHeight="true" outlineLevel="0" collapsed="false">
      <c r="D25" s="6" t="s">
        <v>799</v>
      </c>
      <c r="E25" s="21" t="n">
        <f aca="false">COUNTIF('Test Case'!B:B,"Genitori - Registrazione")</f>
        <v>2</v>
      </c>
    </row>
    <row r="26" customFormat="false" ht="15" hidden="false" customHeight="true" outlineLevel="0" collapsed="false">
      <c r="D26" s="6" t="s">
        <v>978</v>
      </c>
      <c r="E26" s="21" t="n">
        <f aca="false">COUNTIF('Test Case'!B:B,"Gestore - Le mie richieste")</f>
        <v>4</v>
      </c>
    </row>
    <row r="27" customFormat="false" ht="15" hidden="false" customHeight="true" outlineLevel="0" collapsed="false">
      <c r="D27" s="6" t="s">
        <v>991</v>
      </c>
      <c r="E27" s="21"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5</v>
      </c>
    </row>
    <row r="38" customFormat="false" ht="15" hidden="false" customHeight="true" outlineLevel="0" collapsed="false">
      <c r="D38" s="1" t="s">
        <v>1338</v>
      </c>
      <c r="E38" s="1" t="n">
        <f aca="false">COUNTIF('Test Case'!B:B,"NEXTGEN - Community")</f>
        <v>9</v>
      </c>
    </row>
    <row r="39" customFormat="false" ht="15" hidden="false" customHeight="true" outlineLevel="0" collapsed="false">
      <c r="D39" s="1" t="s">
        <v>1685</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2026-08-24T10:42:12Z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