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394"/>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9" min="1" max="1"/>
    <col width="24" customWidth="1" style="39" min="2" max="2"/>
    <col width="36" customWidth="1" style="39" min="3" max="3"/>
    <col width="40.83" customWidth="1" style="39" min="4" max="4"/>
    <col width="60.16" customWidth="1" style="39" min="5" max="5"/>
    <col width="70.16" customWidth="1" style="39" min="6" max="6"/>
    <col width="18" customWidth="1" style="39" min="7" max="7"/>
    <col width="20.51" customWidth="1" style="39" min="8" max="8"/>
    <col width="12.16" customWidth="1" style="39" min="9" max="9"/>
    <col width="18.16" customWidth="1" style="39" min="10" max="10"/>
    <col width="77.66" customWidth="1" style="40" min="11" max="12"/>
    <col width="39" customWidth="1" style="39"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9" t="inlineStr">
        <is>
          <t>TC-252</t>
        </is>
      </c>
      <c r="B340" s="39" t="inlineStr">
        <is>
          <t>Login - Sfondo splash/status-bar (BUGFIX)</t>
        </is>
      </c>
      <c r="C340" s="39" t="inlineStr">
        <is>
          <t>Il meta theme-color e il manifest (tenant famiglia) sono bianchi, non azzurri</t>
        </is>
      </c>
      <c r="D340" s="39" t="inlineStr">
        <is>
          <t>Nessuna</t>
        </is>
      </c>
      <c r="E340" s="39" t="inlineStr">
        <is>
          <t>Apri /auth/login (tenant famiglia), ispeziona &lt;meta name="theme-color"&gt; e /manifest-family.json</t>
        </is>
      </c>
      <c r="F340" s="39"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9" t="inlineStr">
        <is>
          <t>DA TESTARE</t>
        </is>
      </c>
      <c r="H340" s="39">
        <f>IF(G340="BUG","BUG-"&amp;A340,IF(G340="FUNCTIONAL","FUNCTIONAL-"&amp;A340,""))</f>
        <v/>
      </c>
    </row>
    <row r="341" ht="15" customHeight="1" s="23">
      <c r="A341" s="39" t="inlineStr">
        <is>
          <t>TC-253</t>
        </is>
      </c>
      <c r="B341" s="39" t="inlineStr">
        <is>
          <t>Login - Sfondo splash/status-bar (BUGFIX)</t>
        </is>
      </c>
      <c r="C341" s="39" t="inlineStr">
        <is>
          <t>Il manifest del tenant partner e' bianco, non verde</t>
        </is>
      </c>
      <c r="D341" s="39" t="inlineStr">
        <is>
          <t>Nessuna</t>
        </is>
      </c>
      <c r="E341" s="39" t="inlineStr">
        <is>
          <t>Ispeziona /manifest-partner.json (background_color/theme_color)</t>
        </is>
      </c>
      <c r="F341" s="39" t="inlineStr">
        <is>
          <t>Entrambi i campi sono #FFFFFF; prima erano #1FA88E (verde), stesso bug del tenant famiglia. Il tenant admin resta invariato (navy #1A1D2E, corretto)</t>
        </is>
      </c>
      <c r="G341" s="39" t="inlineStr">
        <is>
          <t>DA TESTARE</t>
        </is>
      </c>
      <c r="H341" s="39">
        <f>IF(G341="BUG","BUG-"&amp;A341,IF(G341="FUNCTIONAL","FUNCTIONAL-"&amp;A341,""))</f>
        <v/>
      </c>
    </row>
    <row r="342" ht="15" customHeight="1" s="23">
      <c r="A342" s="39" t="inlineStr">
        <is>
          <t>TC-254</t>
        </is>
      </c>
      <c r="B342" s="39" t="inlineStr">
        <is>
          <t>NEXTGEN - Profilo, back-nav pagine condivise (BUGFIX)</t>
        </is>
      </c>
      <c r="C342" s="39" t="inlineStr">
        <is>
          <t>Da Profilo NEXTGEN, il tasto Indietro dalle pagine condivise (Le presenze, Preferiti, Le mie prenotazioni, Le mie richieste, Sicurezza, Preferenze, Privacy) torna a Profilo NEXTGEN e non al profilo legacy</t>
        </is>
      </c>
      <c r="D342" s="39" t="inlineStr">
        <is>
          <t>Login genitore</t>
        </is>
      </c>
      <c r="E342" s="39" t="inlineStr">
        <is>
          <t>Apri /nextgen/profile, entra in 'Le presenze' (o una delle altre pagine condivise), premi il tasto Indietro dell'header</t>
        </is>
      </c>
      <c r="F342" s="39"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9" t="inlineStr">
        <is>
          <t>DA TESTARE</t>
        </is>
      </c>
      <c r="H342" s="39">
        <f>IF(G342="BUG","BUG-"&amp;A342,IF(G342="FUNCTIONAL","FUNCTIONAL-"&amp;A342,""))</f>
        <v/>
      </c>
    </row>
    <row r="343" ht="15" customHeight="1" s="23">
      <c r="A343" s="39" t="inlineStr">
        <is>
          <t>TC-255</t>
        </is>
      </c>
      <c r="B343" s="39" t="inlineStr">
        <is>
          <t>NEXTGEN - Profilo, Famiglia: invito via email</t>
        </is>
      </c>
      <c r="C343" s="39" t="inlineStr">
        <is>
          <t>Il form 'Invita per email' e' visibile per il creatore/admin della famiglia, in aggiunta al codice manuale</t>
        </is>
      </c>
      <c r="D343" s="39" t="inlineStr">
        <is>
          <t>Login genitore, creatore/admin di una famiglia</t>
        </is>
      </c>
      <c r="E343" s="39" t="inlineStr">
        <is>
          <t>Apri /nextgen/profile -&gt; Famiglia -&gt; Indirizzi/Famiglia, osserva la sezione Famiglia</t>
        </is>
      </c>
      <c r="F343" s="39" t="inlineStr">
        <is>
          <t>E' visibile il form 'Invita per email' (campo email + bottone 'Invia invito') SOPRA il box del codice invito, che resta comunque disponibile come alternativa manuale (scelta di Fabrizio: tenere entrambe le strade)</t>
        </is>
      </c>
      <c r="G343" s="39" t="inlineStr">
        <is>
          <t>DA TESTARE</t>
        </is>
      </c>
      <c r="H343" s="39">
        <f>IF(G343="BUG","BUG-"&amp;A343,IF(G343="FUNCTIONAL","FUNCTIONAL-"&amp;A343,""))</f>
        <v/>
      </c>
    </row>
    <row r="344" ht="15" customHeight="1" s="23">
      <c r="A344" s="39" t="inlineStr">
        <is>
          <t>TC-256</t>
        </is>
      </c>
      <c r="B344" s="39" t="inlineStr">
        <is>
          <t>NEXTGEN - Profilo, Famiglia: invito via email</t>
        </is>
      </c>
      <c r="C344" s="39" t="inlineStr">
        <is>
          <t>Inviare un invito per email crea una riga 'In attesa di risposta' e (se Resend configurato) invia l'email</t>
        </is>
      </c>
      <c r="D344" s="39" t="inlineStr">
        <is>
          <t>Login genitore, creatore/admin di una famiglia</t>
        </is>
      </c>
      <c r="E344" s="39" t="inlineStr">
        <is>
          <t>Compila 'Email dell'altro genitore' con un'email di test, clicca 'Invia invito'</t>
        </is>
      </c>
      <c r="F344" s="39" t="inlineStr">
        <is>
          <t>Toast di conferma ('Invito inviato!' o 'Invito creato' se l'email non e' configurata), l'email compare nella lista 'In attesa di risposta' con lo stato corretto (Email inviata / In attesa)</t>
        </is>
      </c>
      <c r="G344" s="39" t="inlineStr">
        <is>
          <t>DA TESTARE</t>
        </is>
      </c>
      <c r="H344" s="39">
        <f>IF(G344="BUG","BUG-"&amp;A344,IF(G344="FUNCTIONAL","FUNCTIONAL-"&amp;A344,""))</f>
        <v/>
      </c>
    </row>
    <row r="345" ht="15" customHeight="1" s="23">
      <c r="A345" s="39" t="inlineStr">
        <is>
          <t>TC-257</t>
        </is>
      </c>
      <c r="B345" s="39" t="inlineStr">
        <is>
          <t>NEXTGEN - Profilo, Famiglia: invito via email</t>
        </is>
      </c>
      <c r="C345" s="39" t="inlineStr">
        <is>
          <t>Aprire un link di invito con token non valido/scaduto mostra un errore chiaro, non un crash</t>
        </is>
      </c>
      <c r="D345" s="39" t="inlineStr">
        <is>
          <t>Login genitore (qualsiasi)</t>
        </is>
      </c>
      <c r="E345" s="39" t="inlineStr">
        <is>
          <t>Apri /nextgen/planner/famiglia?accept=TOKEN_INESISTENTE</t>
        </is>
      </c>
      <c r="F345" s="39" t="inlineStr">
        <is>
          <t>Compare il messaggio 'Questo invito non e' (piu') valido...' invece di un errore applicativo; il resto della pagina Famiglia funziona normalmente</t>
        </is>
      </c>
      <c r="G345" s="39" t="inlineStr">
        <is>
          <t>DA TESTARE</t>
        </is>
      </c>
      <c r="H345" s="39">
        <f>IF(G345="BUG","BUG-"&amp;A345,IF(G345="FUNCTIONAL","FUNCTIONAL-"&amp;A345,""))</f>
        <v/>
      </c>
    </row>
    <row r="346" ht="15" customHeight="1" s="23">
      <c r="A346" s="39" t="inlineStr">
        <is>
          <t>TC-258</t>
        </is>
      </c>
      <c r="B346" s="39" t="inlineStr">
        <is>
          <t>NEXTGEN - Profilo, Famiglia: invito via email</t>
        </is>
      </c>
      <c r="C346" s="39" t="inlineStr">
        <is>
          <t>Accettare un invito valido (stessa email dell'account loggato) aggiunge l'utente alla famiglia</t>
        </is>
      </c>
      <c r="D346" s="39" t="inlineStr">
        <is>
          <t>Un genitore A ha invitato l'email del genitore B (account reale, non l'unico account di test disponibile); NON automatizzabile con un solo account di test</t>
        </is>
      </c>
      <c r="E346" s="39" t="inlineStr">
        <is>
          <t>Genitore B apre il link ricevuto via email, arriva su /auth/login?next=/nextgen/planner/famiglia%3Faccept%3DTOKEN, effettua login/registrazione con la STESSA email invitata, vede il prompt 'X ti ha invitato...', clicca 'Accetta l'invito'</t>
        </is>
      </c>
      <c r="F346" s="39"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9" t="inlineStr">
        <is>
          <t>DA TESTARE</t>
        </is>
      </c>
      <c r="H346" s="39">
        <f>IF(G346="BUG","BUG-"&amp;A346,IF(G346="FUNCTIONAL","FUNCTIONAL-"&amp;A346,""))</f>
        <v/>
      </c>
      <c r="L346" s="40" t="inlineStr">
        <is>
          <t>Verifica manuale richiesta: ambiente di test ha un solo account genitore promosso</t>
        </is>
      </c>
    </row>
    <row r="347" ht="15" customHeight="1" s="23">
      <c r="A347" s="39" t="inlineStr">
        <is>
          <t>TC-259</t>
        </is>
      </c>
      <c r="B347" s="39" t="inlineStr">
        <is>
          <t>NEXTGEN - Profilo, Famiglia: invito via email</t>
        </is>
      </c>
      <c r="C347" s="39" t="inlineStr">
        <is>
          <t>L'invito mostra un link copiabile (WhatsApp, SMS, ecc.), non solo l'invio email automatico</t>
        </is>
      </c>
      <c r="D347" s="39" t="inlineStr">
        <is>
          <t>Login genitore, creatore/admin di una famiglia</t>
        </is>
      </c>
      <c r="E347" s="39" t="inlineStr">
        <is>
          <t>Invia un invito per email, poi clicca 'Copia link invito (WhatsApp, SMS...)'; ricarica la pagina e clicca 'Copia link' sulla riga dell'invito in 'In attesa di risposta'</t>
        </is>
      </c>
      <c r="F347" s="39" t="inlineStr">
        <is>
          <t>In entrambi i casi il link viene copiato negli appunti (toast 'Link copiato!'); il link porta a /auth/login?next=/nextgen/planner/famiglia%3Faccept%3DTOKEN e mostra il prompt di accettazione</t>
        </is>
      </c>
      <c r="G347" s="39" t="inlineStr">
        <is>
          <t>DA TESTARE</t>
        </is>
      </c>
      <c r="H347" s="39">
        <f>IF(G347="BUG","BUG-"&amp;A347,IF(G347="FUNCTIONAL","FUNCTIONAL-"&amp;A347,""))</f>
        <v/>
      </c>
    </row>
    <row r="348" ht="15" customHeight="1" s="23">
      <c r="A348" s="39" t="inlineStr">
        <is>
          <t>TC-260</t>
        </is>
      </c>
      <c r="B348" s="39" t="inlineStr">
        <is>
          <t>Branding - Icone da SVG vettoriali</t>
        </is>
      </c>
      <c r="C348" s="39" t="inlineStr">
        <is>
          <t>Tutte le icone PWA/favicon/splash/logo inline sono nitide (rigenerate da SVG vettoriali, non piu' da un PNG raster a bassa risoluzione)</t>
        </is>
      </c>
      <c r="D348" s="39" t="inlineStr">
        <is>
          <t>Fabrizio ha fornito TRAMA_PWA_SVG_icons.zip (simbolo colorato/navy/bianco-su-navy, viewBox 600x600)</t>
        </is>
      </c>
      <c r="E348" s="39" t="inlineStr">
        <is>
          <t>Apri /auth/login (genitore/partner/admin), /nextgen/* (icona inline nell'header), e ispeziona manifest-*.json/icon-*.png/apple-touch-icon*.png/favicon.ico</t>
        </is>
      </c>
      <c r="F348" s="39" t="inlineStr">
        <is>
          <t>Icona nitida ad ogni dimensione (192/512/apple-touch/favicon/splash), rispetta la regola di brand (colorata=genitori, navy=gestori/partner, bianca su navy=admin); nessuna sgranatura visibile rispetto al vecchio PNG 345x225</t>
        </is>
      </c>
      <c r="G348" s="39" t="inlineStr">
        <is>
          <t>DA TESTARE</t>
        </is>
      </c>
      <c r="H348" s="39">
        <f>IF(G348="BUG","BUG-"&amp;A348,IF(G348="FUNCTIONAL","FUNCTIONAL-"&amp;A348,""))</f>
        <v/>
      </c>
      <c r="L348" s="40" t="inlineStr">
        <is>
          <t>SVG sorgente salvati in public/brand/svg/ per rigenerazioni future</t>
        </is>
      </c>
    </row>
    <row r="349" ht="15" customHeight="1" s="23">
      <c r="A349" s="39" t="inlineStr">
        <is>
          <t>TC-261</t>
        </is>
      </c>
      <c r="B349" s="39" t="inlineStr">
        <is>
          <t>Branding - Favicon per-tenant</t>
        </is>
      </c>
      <c r="C349" s="39" t="inlineStr">
        <is>
          <t>La favicon nella scheda del browser e' quella corretta per ciascun tenant (colorata=genitori, navy=partner, bianca su navy=admin), non identica per tutti e tre</t>
        </is>
      </c>
      <c r="D349" s="39" t="inlineStr">
        <is>
          <t>Nessuna (bug gia' presente nel deploy live, segnalato da Fabrizio con screenshot delle 3 schede browser identiche)</t>
        </is>
      </c>
      <c r="E349" s="39" t="inlineStr">
        <is>
          <t>Apri in 3 schede diverse: trama.app/auth/login, partner.trama.app/auth/login, admin.trama.app/auth/login; osserva l'icona nella scheda del browser di ciascuna</t>
        </is>
      </c>
      <c r="F349" s="39" t="inlineStr">
        <is>
          <t>Ogni scheda mostra l'icona del proprio tenant (icon-192.png/icon-partner-192.png/icon-admin-192.png), non piu' un'unica favicon.ico generica identica per tutti</t>
        </is>
      </c>
      <c r="G349" s="39" t="inlineStr">
        <is>
          <t>DA TESTARE</t>
        </is>
      </c>
      <c r="H349" s="39">
        <f>IF(G349="BUG","BUG-"&amp;A349,IF(G349="FUNCTIONAL","FUNCTIONAL-"&amp;A349,""))</f>
        <v/>
      </c>
      <c r="L349" s="40"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9" t="inlineStr">
        <is>
          <t>TC-262</t>
        </is>
      </c>
      <c r="B350" s="39" t="inlineStr">
        <is>
          <t>Branding - Icone: ripristino disegno precedente</t>
        </is>
      </c>
      <c r="C350" s="39" t="inlineStr">
        <is>
          <t>Il simbolo dell'icona (mark) e' quello storico, non il nuovo disegno da SVG (Fabrizio: 'l'icona, proprio il disegno, e' quello sbagliato')</t>
        </is>
      </c>
      <c r="D350" s="39" t="inlineStr">
        <is>
          <t>TC-260/TC-261 avevano introdotto un nuovo disegno del mark da TRAMA_PWA_SVG_icons.zip; Fabrizio ha chiesto di ripristinare il disegno precedente pur mantenendo la differenziazione per tenant</t>
        </is>
      </c>
      <c r="E350" s="39" t="inlineStr">
        <is>
          <t>Apri /auth/login (genitore/partner/admin) e /nextgen/* (icona inline nell'header); ispeziona icon-192/512.png, icon-{partner,admin,nextgen}-192/512.png, apple-touch-icon*.png, splash screens, trama-logo-mark*.png</t>
        </is>
      </c>
      <c r="F350" s="39" t="inlineStr">
        <is>
          <t>Il disegno del mark e' quello storico (pre TRAMA_PWA_SVG_icons.zip), non il nuovo; resta pero' corretta la regola di brand (colorata=genitori, navy=gestori/partner, bianca su navy=admin) e la favicon per-tenant (TC-261, non regredita: app/favicon.ico resta rimosso)</t>
        </is>
      </c>
      <c r="G350" s="39" t="inlineStr">
        <is>
          <t>DA TESTARE</t>
        </is>
      </c>
      <c r="H350" s="39">
        <f>IF(G350="BUG","BUG-"&amp;A350,IF(G350="FUNCTIONAL","FUNCTIONAL-"&amp;A350,""))</f>
        <v/>
      </c>
      <c r="L350" s="40"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9" t="inlineStr">
        <is>
          <t>TC-263</t>
        </is>
      </c>
      <c r="B351" s="39" t="inlineStr">
        <is>
          <t>NEXTGEN - Planner Organizzazione, sprint correttivo</t>
        </is>
      </c>
      <c r="C351" s="39" t="inlineStr">
        <is>
          <t>Badge 'Beta' nell'angolo (ribbon) al posto del pill 'NextGen'</t>
        </is>
      </c>
      <c r="D351" s="39" t="inlineStr">
        <is>
          <t>Nessuna</t>
        </is>
      </c>
      <c r="E351" s="39" t="inlineStr">
        <is>
          <t>Apri /nextgen/planner (o qualsiasi pagina NEXTGEN)</t>
        </is>
      </c>
      <c r="F351" s="39" t="inlineStr">
        <is>
          <t>Nell'angolo in alto a destra compare un ribbon diagonale 'Beta'; il vecchio pill nero 'NextGen' non c'e' piu'</t>
        </is>
      </c>
      <c r="G351" s="39" t="inlineStr">
        <is>
          <t>DA TESTARE</t>
        </is>
      </c>
      <c r="H351" s="39">
        <f>IF(G351="BUG","BUG-"&amp;A351,IF(G351="FUNCTIONAL","FUNCTIONAL-"&amp;A351,""))</f>
        <v/>
      </c>
    </row>
    <row r="352" ht="15" customHeight="1" s="23">
      <c r="A352" s="39" t="inlineStr">
        <is>
          <t>TC-264</t>
        </is>
      </c>
      <c r="B352" s="39" t="inlineStr">
        <is>
          <t>NEXTGEN - Planner Organizzazione, sprint correttivo</t>
        </is>
      </c>
      <c r="C352" s="39" t="inlineStr">
        <is>
          <t>'Budget impegnato' non e' piu' duplicato nel tab Organizzazione</t>
        </is>
      </c>
      <c r="D352" s="39" t="inlineStr">
        <is>
          <t>Nessuna</t>
        </is>
      </c>
      <c r="E352" s="39" t="inlineStr">
        <is>
          <t>Apri /nextgen/planner, tab Organizzazione, poi tab Budget</t>
        </is>
      </c>
      <c r="F352" s="39" t="inlineStr">
        <is>
          <t>Il tab Organizzazione non mostra piu' la card 'Budget impegnato' (resta solo nel tab Budget dedicato)</t>
        </is>
      </c>
      <c r="G352" s="39" t="inlineStr">
        <is>
          <t>DA TESTARE</t>
        </is>
      </c>
      <c r="H352" s="39">
        <f>IF(G352="BUG","BUG-"&amp;A352,IF(G352="FUNCTIONAL","FUNCTIONAL-"&amp;A352,""))</f>
        <v/>
      </c>
    </row>
    <row r="353" ht="15" customHeight="1" s="23">
      <c r="A353" s="39" t="inlineStr">
        <is>
          <t>TC-265</t>
        </is>
      </c>
      <c r="B353" s="39" t="inlineStr">
        <is>
          <t>NEXTGEN - Planner Organizzazione, sprint correttivo</t>
        </is>
      </c>
      <c r="C353" s="39" t="inlineStr">
        <is>
          <t>I banner (Promemoria/Missioni) con un'azione mostrano una freccia e portano da qualche parte</t>
        </is>
      </c>
      <c r="D353" s="39" t="inlineStr">
        <is>
          <t>Account con almeno un promemoria/missione azionabile</t>
        </is>
      </c>
      <c r="E353" s="39" t="inlineStr">
        <is>
          <t>Apri /nextgen/planner, osserva i banner in alto, clicca su uno con la freccia</t>
        </is>
      </c>
      <c r="F353" s="39" t="inlineStr">
        <is>
          <t>Il click scorre alla settimana in Timeline, cambia tab (es. Budget) o naviga alla pagina pertinente, senza errori</t>
        </is>
      </c>
      <c r="G353" s="39" t="inlineStr">
        <is>
          <t>DA TESTARE</t>
        </is>
      </c>
      <c r="H353" s="39">
        <f>IF(G353="BUG","BUG-"&amp;A353,IF(G353="FUNCTIONAL","FUNCTIONAL-"&amp;A353,""))</f>
        <v/>
      </c>
    </row>
    <row r="354" ht="15" customHeight="1" s="23">
      <c r="A354" s="39" t="inlineStr">
        <is>
          <t>TC-266</t>
        </is>
      </c>
      <c r="B354" s="39" t="inlineStr">
        <is>
          <t>NEXTGEN - Planner Organizzazione, sprint correttivo</t>
        </is>
      </c>
      <c r="C354" s="39" t="inlineStr">
        <is>
          <t>Sezione 'Promemoria e avvisi' raggiungibile da Profilo, segnata come anteprima</t>
        </is>
      </c>
      <c r="D354" s="39" t="inlineStr">
        <is>
          <t>Nessuna</t>
        </is>
      </c>
      <c r="E354" s="39" t="inlineStr">
        <is>
          <t>Profilo -&gt; 'Promemoria e avvisi'</t>
        </is>
      </c>
      <c r="F354" s="39" t="inlineStr">
        <is>
          <t>Si apre /nextgen/planner/promemoria con badge 'Anteprima', toggle 'Promemoria attivo' funzionante (stato locale, nessun salvataggio reale dichiarato in UI)</t>
        </is>
      </c>
      <c r="G354" s="39" t="inlineStr">
        <is>
          <t>DA TESTARE</t>
        </is>
      </c>
      <c r="H354" s="39">
        <f>IF(G354="BUG","BUG-"&amp;A354,IF(G354="FUNCTIONAL","FUNCTIONAL-"&amp;A354,""))</f>
        <v/>
      </c>
    </row>
    <row r="355" ht="15" customHeight="1" s="23">
      <c r="A355" s="39" t="inlineStr">
        <is>
          <t>TC-267</t>
        </is>
      </c>
      <c r="B355" s="39" t="inlineStr">
        <is>
          <t>NEXTGEN - Prenotazione, check sovrapposizione stesso bambino</t>
        </is>
      </c>
      <c r="C355" s="39" t="inlineStr">
        <is>
          <t>Conflitto sullo stesso bambino offre 'Mantieni entrambe' o 'Annulla l'altra e prenota questa' invece del generico 'Prosegui comunque'</t>
        </is>
      </c>
      <c r="D355" s="39" t="inlineStr">
        <is>
          <t>Bambino con una prenotazione ATTIVA; nuova prenotazione su un'altra attivita' che copre la stessa settimana per lo stesso bambino</t>
        </is>
      </c>
      <c r="E355" s="39" t="inlineStr">
        <is>
          <t>Prova a prenotare la seconda attivita' per la stessa settimana/bambino</t>
        </is>
      </c>
      <c r="F355" s="39"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9" t="inlineStr">
        <is>
          <t>DA TESTARE</t>
        </is>
      </c>
      <c r="H355" s="39">
        <f>IF(G355="BUG","BUG-"&amp;A355,IF(G355="FUNCTIONAL","FUNCTIONAL-"&amp;A355,""))</f>
        <v/>
      </c>
      <c r="L355" s="40" t="inlineStr">
        <is>
          <t>Verifica manuale richiesta: serve creare due prenotazioni reali sovrapposte, non fixturabile con l'account di test unico</t>
        </is>
      </c>
    </row>
    <row r="356" ht="15" customHeight="1" s="23">
      <c r="A356" s="39" t="inlineStr">
        <is>
          <t>TC-268</t>
        </is>
      </c>
      <c r="B356" s="39" t="inlineStr">
        <is>
          <t>NEXTGEN - Planner Organizzazione, bugfix copertura</t>
        </is>
      </c>
      <c r="C356" s="39" t="inlineStr">
        <is>
          <t>'X di Y settimane coperte' non supera mai Y anche con una settimana coperta E marcata 'non ti serve'</t>
        </is>
      </c>
      <c r="D356" s="39" t="inlineStr">
        <is>
          <t>Una settimana con prenotazione attiva, poi marcata 'non mi serve' senza annullare la prenotazione</t>
        </is>
      </c>
      <c r="E356" s="39" t="inlineStr">
        <is>
          <t>Osserva il rapporto 'X di Y settimane coperte' in Organizzazione e il triangolo di sovrapposizione sulla riga Timeline di quella settimana</t>
        </is>
      </c>
      <c r="F356" s="39" t="inlineStr">
        <is>
          <t>X non supera mai Y (coveredNeededCount esclude le settimane dismissed anche al numeratore); la riga Timeline mostra 'Non ti serve' senza triangolo, anche se l'overlap resta segnalato nel box 'Sovrapposizioni da controllare' sopra</t>
        </is>
      </c>
      <c r="G356" s="39" t="inlineStr">
        <is>
          <t>DA TESTARE</t>
        </is>
      </c>
      <c r="H356" s="39">
        <f>IF(G356="BUG","BUG-"&amp;A356,IF(G356="FUNCTIONAL","FUNCTIONAL-"&amp;A356,""))</f>
        <v/>
      </c>
      <c r="L356" s="40" t="inlineStr">
        <is>
          <t>Verifica manuale richiesta: scenario limite (dismissed dopo una prenotazione attiva) non riproducibile deterministicamente con l'account di test condiviso</t>
        </is>
      </c>
    </row>
    <row r="357">
      <c r="A357" s="39" t="inlineStr">
        <is>
          <t>TC-269</t>
        </is>
      </c>
      <c r="B357" s="39" t="inlineStr">
        <is>
          <t>NEXTGEN - Promemoria e avvisi (anteprima)</t>
        </is>
      </c>
      <c r="C357" s="39" t="inlineStr">
        <is>
          <t>Il toggle 'Promemoria attivo' mostra il pallino a sinistra quando spento e a destra quando acceso</t>
        </is>
      </c>
      <c r="D357" s="39" t="inlineStr">
        <is>
          <t>Nessuna</t>
        </is>
      </c>
      <c r="E357" s="39" t="inlineStr">
        <is>
          <t>Profilo -&gt; Promemoria e avvisi, osservare il toggle, poi cliccarlo</t>
        </is>
      </c>
      <c r="F357" s="39" t="inlineStr">
        <is>
          <t>Il pallino bianco e' visibilmente a sinistra su sfondo grigio (spento) e si sposta a destra su sfondo verde (acceso); prima del fix restava sempre a destra indipendentemente dallo stato (mancava l'ancora 'left' esplicita nel CSS)</t>
        </is>
      </c>
      <c r="G357" s="39" t="inlineStr">
        <is>
          <t>DA TESTARE</t>
        </is>
      </c>
      <c r="H357" s="39">
        <f>IF(G357="BUG","BUG-"&amp;A357,IF(G357="FUNCTIONAL","FUNCTIONAL-"&amp;A357,""))</f>
        <v/>
      </c>
      <c r="L357" s="40" t="n"/>
    </row>
    <row r="358">
      <c r="A358" s="39" t="inlineStr">
        <is>
          <t>TC-270</t>
        </is>
      </c>
      <c r="B358" s="39" t="inlineStr">
        <is>
          <t>NEXTGEN - Promemoria e avvisi (anteprima)</t>
        </is>
      </c>
      <c r="C358" s="39" t="inlineStr">
        <is>
          <t>'Partenza consigliata' permette di scegliere l'indirizzo di partenza tra quelli salvati in famiglia</t>
        </is>
      </c>
      <c r="D358" s="39" t="inlineStr">
        <is>
          <t>Almeno un indirizzo di famiglia compilato (Indirizzi di famiglia)</t>
        </is>
      </c>
      <c r="E358" s="39" t="inlineStr">
        <is>
          <t>Profilo -&gt; Promemoria e avvisi -&gt; espandi 'Partenza consigliata'</t>
        </is>
      </c>
      <c r="F358" s="39"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9" t="inlineStr">
        <is>
          <t>DA TESTARE</t>
        </is>
      </c>
      <c r="H358" s="39">
        <f>IF(G358="BUG","BUG-"&amp;A358,IF(G358="FUNCTIONAL","FUNCTIONAL-"&amp;A358,""))</f>
        <v/>
      </c>
      <c r="L358" s="40" t="n"/>
    </row>
    <row r="359">
      <c r="A359" s="39" t="inlineStr">
        <is>
          <t>TC-271</t>
        </is>
      </c>
      <c r="B359" s="39" t="inlineStr">
        <is>
          <t>NEXTGEN - Planner Organizzazione, Sprint 2 (Timeline mensile)</t>
        </is>
      </c>
      <c r="C359" s="39" t="inlineStr">
        <is>
          <t>La Timeline della stagione e' raggruppata per mese, pieghevole</t>
        </is>
      </c>
      <c r="D359" s="39" t="inlineStr">
        <is>
          <t>Nessuna</t>
        </is>
      </c>
      <c r="E359" s="39" t="inlineStr">
        <is>
          <t>Apri /nextgen/planner, scorri fino a 'Timeline della stagione'</t>
        </is>
      </c>
      <c r="F359" s="39" t="inlineStr">
        <is>
          <t>Il titolo mostra 'Timeline della stagione — Estiva {anno}'; sotto compaiono intestazioni di mese (es. Giugno, Luglio) pieghevoli con contatore X/Y coperte; il mese con la settimana prioritaria o la prima scoperta e' aperto di default</t>
        </is>
      </c>
      <c r="G359" s="39" t="inlineStr">
        <is>
          <t>DA TESTARE</t>
        </is>
      </c>
      <c r="H359" s="39">
        <f>IF(G359="BUG","BUG-"&amp;A359,IF(G359="FUNCTIONAL","FUNCTIONAL-"&amp;A359,""))</f>
        <v/>
      </c>
      <c r="L359" s="40" t="n"/>
    </row>
    <row r="360">
      <c r="A360" s="39" t="inlineStr">
        <is>
          <t>TC-272</t>
        </is>
      </c>
      <c r="B360" s="39" t="inlineStr">
        <is>
          <t>NEXTGEN - Planner Organizzazione, Sprint 2 (Timeline mensile)</t>
        </is>
      </c>
      <c r="C360" s="39" t="inlineStr">
        <is>
          <t>Cliccando una barra di 'Stato per settimana' si apre il mese giusto, si evidenzia la riga e si vedono le date</t>
        </is>
      </c>
      <c r="D360" s="39" t="inlineStr">
        <is>
          <t>Nessuna</t>
        </is>
      </c>
      <c r="E360" s="39" t="inlineStr">
        <is>
          <t>Apri /nextgen/planner, clicca una barra della striscia 'Stato per settimana'</t>
        </is>
      </c>
      <c r="F360" s="39"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9" t="inlineStr">
        <is>
          <t>DA TESTARE</t>
        </is>
      </c>
      <c r="H360" s="39">
        <f>IF(G360="BUG","BUG-"&amp;A360,IF(G360="FUNCTIONAL","FUNCTIONAL-"&amp;A360,""))</f>
        <v/>
      </c>
      <c r="L360" s="40" t="n"/>
    </row>
    <row r="361">
      <c r="A361" s="39" t="inlineStr">
        <is>
          <t>TC-273</t>
        </is>
      </c>
      <c r="B361" s="39" t="inlineStr">
        <is>
          <t>NEXTGEN - Planner Organizzazione, Sprint 2 (Timeline mensile)</t>
        </is>
      </c>
      <c r="C361" s="39" t="inlineStr">
        <is>
          <t>Una riga Timeline con attivita' reale (slug) e' cliccabile e apre la scheda attivita'</t>
        </is>
      </c>
      <c r="D361" s="39" t="inlineStr">
        <is>
          <t>Almeno una settimana coperta da una prenotazione con attivita' reale (slug)</t>
        </is>
      </c>
      <c r="E361" s="39" t="inlineStr">
        <is>
          <t>Apri /nextgen/planner, espandi il mese con una settimana coperta, clicca sulla riga</t>
        </is>
      </c>
      <c r="F361" s="39" t="inlineStr">
        <is>
          <t>La riga ha feedback hover/active (stesso pattern di components/PlannerView.tsx LEGACY) e una freccina; il click apre /activity/{slug} senza errori. L'icona di stato (spunta verde o triangolo sovrapposizione) resta visibile accanto alla freccina, non sostituita</t>
        </is>
      </c>
      <c r="G361" s="39" t="inlineStr">
        <is>
          <t>DA TESTARE</t>
        </is>
      </c>
      <c r="H361" s="39">
        <f>IF(G361="BUG","BUG-"&amp;A361,IF(G361="FUNCTIONAL","FUNCTIONAL-"&amp;A361,""))</f>
        <v/>
      </c>
      <c r="L361" s="40" t="n"/>
    </row>
    <row r="362">
      <c r="A362" s="39" t="inlineStr">
        <is>
          <t>TC-274</t>
        </is>
      </c>
      <c r="B362" s="39" t="inlineStr">
        <is>
          <t>NEXTGEN - Profilo, consolidamento hub card</t>
        </is>
      </c>
      <c r="C362" s="39" t="inlineStr">
        <is>
          <t>La sezione 'Famiglia' in Profilo mostra un solo ingresso 'Famiglia e logistica' invece di 4 righe</t>
        </is>
      </c>
      <c r="D362" s="39" t="inlineStr">
        <is>
          <t>Nessuna</t>
        </is>
      </c>
      <c r="E362" s="39" t="inlineStr">
        <is>
          <t>Apri /nextgen/profile, guarda la sezione 'Famiglia'</t>
        </is>
      </c>
      <c r="F362" s="39"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9" t="inlineStr">
        <is>
          <t>DA TESTARE</t>
        </is>
      </c>
      <c r="H362" s="39">
        <f>IF(G362="BUG","BUG-"&amp;A362,IF(G362="FUNCTIONAL","FUNCTIONAL-"&amp;A362,""))</f>
        <v/>
      </c>
      <c r="L362" s="40" t="n"/>
    </row>
    <row r="363">
      <c r="A363" s="39" t="inlineStr">
        <is>
          <t>TC-275</t>
        </is>
      </c>
      <c r="B363" s="39" t="inlineStr">
        <is>
          <t>NEXTGEN - Profilo, consolidamento hub card</t>
        </is>
      </c>
      <c r="C363" s="39" t="inlineStr">
        <is>
          <t>La sezione 'Impostazioni' in Profilo mostra un solo ingresso 'Impostazioni' invece di 4 righe</t>
        </is>
      </c>
      <c r="D363" s="39" t="inlineStr">
        <is>
          <t>Nessuna</t>
        </is>
      </c>
      <c r="E363" s="39" t="inlineStr">
        <is>
          <t>Apri /nextgen/profile, guarda la sezione 'Impostazioni'</t>
        </is>
      </c>
      <c r="F363" s="39"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9" t="inlineStr">
        <is>
          <t>DA TESTARE</t>
        </is>
      </c>
      <c r="H363" s="39">
        <f>IF(G363="BUG","BUG-"&amp;A363,IF(G363="FUNCTIONAL","FUNCTIONAL-"&amp;A363,""))</f>
        <v/>
      </c>
      <c r="L363" s="40" t="n"/>
    </row>
    <row r="364">
      <c r="A364" s="39" t="inlineStr">
        <is>
          <t>TC-276</t>
        </is>
      </c>
      <c r="B364" s="39" t="inlineStr">
        <is>
          <t>NEXTGEN - Profilo, consolidamento hub card</t>
        </is>
      </c>
      <c r="C364" s="39" t="inlineStr">
        <is>
          <t>Il tasto 'Indietro' dalle pagine dentro 'Famiglia e logistica' torna all'hub, non direttamente al Profilo</t>
        </is>
      </c>
      <c r="D364" s="39" t="inlineStr">
        <is>
          <t>Nessuna</t>
        </is>
      </c>
      <c r="E364" s="39" t="inlineStr">
        <is>
          <t>Profilo -&gt; Famiglia e logistica -&gt; Indirizzi di famiglia -&gt; Indietro</t>
        </is>
      </c>
      <c r="F364" s="39" t="inlineStr">
        <is>
          <t>Il tasto Indietro riporta a /nextgen/profile/famiglia (l'hub), non a /nextgen/profile direttamente; stesso comportamento per 'Famiglia' (invito) e 'Promemoria e avvisi'</t>
        </is>
      </c>
      <c r="G364" s="39" t="inlineStr">
        <is>
          <t>DA TESTARE</t>
        </is>
      </c>
      <c r="H364" s="39">
        <f>IF(G364="BUG","BUG-"&amp;A364,IF(G364="FUNCTIONAL","FUNCTIONAL-"&amp;A364,""))</f>
        <v/>
      </c>
      <c r="L364" s="40" t="n"/>
    </row>
    <row r="365">
      <c r="A365" s="39" t="inlineStr">
        <is>
          <t>TC-277</t>
        </is>
      </c>
      <c r="B365" s="39" t="inlineStr">
        <is>
          <t>NEXTGEN - Profilo, consolidamento hub card</t>
        </is>
      </c>
      <c r="C365" s="39" t="inlineStr">
        <is>
          <t>Le sezioni 'Attività' e 'Supporto' in Profilo restano invariate (non consolidate)</t>
        </is>
      </c>
      <c r="D365" s="39" t="inlineStr">
        <is>
          <t>Nessuna</t>
        </is>
      </c>
      <c r="E365" s="39" t="inlineStr">
        <is>
          <t>Apri /nextgen/profile, guarda le sezioni 'Attività' e 'Supporto'</t>
        </is>
      </c>
      <c r="F365" s="39"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9" t="inlineStr">
        <is>
          <t>DA TESTARE</t>
        </is>
      </c>
      <c r="H365" s="39">
        <f>IF(G365="BUG","BUG-"&amp;A365,IF(G365="FUNCTIONAL","FUNCTIONAL-"&amp;A365,""))</f>
        <v/>
      </c>
      <c r="L365" s="40" t="n"/>
    </row>
    <row r="366">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c r="A370" s="22" t="inlineStr">
        <is>
          <t>TC-282</t>
        </is>
      </c>
      <c r="B370" s="22" t="inlineStr">
        <is>
          <t>NEXTGEN - Scopri Sprint 3 correttivo (divider)</t>
        </is>
      </c>
      <c r="C370" s="22" t="inlineStr">
        <is>
          <t>Un divider leggero separa il pannello filtro aperto dalla riga risultati/Lista-Mappa</t>
        </is>
      </c>
      <c r="D370" s="22" t="inlineStr">
        <is>
          <t>Nessuna</t>
        </is>
      </c>
      <c r="E370" s="22" t="inlineStr">
        <is>
          <t>Apri /nextgen/search, apri un pannello filtro (es. Prezzo)</t>
        </is>
      </c>
      <c r="F370" s="22"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s="22" t="inlineStr">
        <is>
          <t>DA TESTARE</t>
        </is>
      </c>
      <c r="H370" s="22">
        <f>IF(G370="BUG","BUG-"&amp;A370,IF(G370="FUNCTIONAL","FUNCTIONAL-"&amp;A370,""))</f>
        <v/>
      </c>
    </row>
    <row r="371">
      <c r="A371" s="22" t="inlineStr">
        <is>
          <t>TC-283</t>
        </is>
      </c>
      <c r="B371" s="22" t="inlineStr">
        <is>
          <t>NEXTGEN - Sprint 4 correttivo (audit link)</t>
        </is>
      </c>
      <c r="C371" s="22" t="inlineStr">
        <is>
          <t>/nextgen/planner/logistica reindirizza a /nextgen/profile/famiglia (non un hop corto)</t>
        </is>
      </c>
      <c r="D371" s="22" t="inlineStr">
        <is>
          <t>Nessuna</t>
        </is>
      </c>
      <c r="E371" s="22" t="inlineStr">
        <is>
          <t>Vai su /nextgen/planner/logistica (vecchio bookmark)</t>
        </is>
      </c>
      <c r="F371" s="22" t="inlineStr">
        <is>
          <t>Redirect a /nextgen/profile/famiglia (l'hub attuale con Indirizzi/Famiglia/Condivisione/Promemoria), non piu' a /nextgen/profile generico — prima del fix l'utente si fermava un click prima della destinazione dopo la consolidazione Profilo (task #236)</t>
        </is>
      </c>
      <c r="G371" s="22" t="inlineStr">
        <is>
          <t>DA TESTARE</t>
        </is>
      </c>
      <c r="H371" s="22">
        <f>IF(G371="BUG","BUG-"&amp;A371,IF(G371="FUNCTIONAL","FUNCTIONAL-"&amp;A371,""))</f>
        <v/>
      </c>
    </row>
    <row r="372">
      <c r="A372" s="22" t="inlineStr">
        <is>
          <t>TC-284</t>
        </is>
      </c>
      <c r="B372" s="22" t="inlineStr">
        <is>
          <t>NEXTGEN - Sprint 4 correttivo (indirizzi personalizzabili)</t>
        </is>
      </c>
      <c r="C372" s="22" t="inlineStr">
        <is>
          <t>Un indirizzo a kind fisso (Casa/Lavoro Genitore 1/Lavoro Genitore 2) puo' avere un nome personalizzato</t>
        </is>
      </c>
      <c r="D372" s="22" t="inlineStr">
        <is>
          <t>Nessuna</t>
        </is>
      </c>
      <c r="E372" s="22" t="inlineStr">
        <is>
          <t>Apri /nextgen/planner/indirizzi, modifica la card 'Casa', compila il campo 'Nome personalizzato' con un nome a piacere e salva</t>
        </is>
      </c>
      <c r="F372" s="22" t="inlineStr">
        <is>
          <t>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is>
      </c>
      <c r="G372" s="22" t="inlineStr">
        <is>
          <t>DA TESTARE</t>
        </is>
      </c>
      <c r="H372" s="22">
        <f>IF(G372="BUG","BUG-"&amp;A372,IF(G372="FUNCTIONAL","FUNCTIONAL-"&amp;A372,""))</f>
        <v/>
      </c>
    </row>
    <row r="373">
      <c r="A373" s="22" t="inlineStr">
        <is>
          <t>TC-285</t>
        </is>
      </c>
      <c r="B373" s="22" t="inlineStr">
        <is>
          <t>NEXTGEN - Sprint 4 correttivo (selettore origine Mappa)</t>
        </is>
      </c>
      <c r="C373" s="22" t="inlineStr">
        <is>
          <t>Vista Mappa: con indirizzi salvati, 'Parti da' costruisce un link di itinerario invece di solo destinazione</t>
        </is>
      </c>
      <c r="D373" s="22" t="inlineStr">
        <is>
          <t>Almeno un indirizzo di famiglia salvato + un'attivita' prenotata con indirizzo</t>
        </is>
      </c>
      <c r="E373" s="22" t="inlineStr">
        <is>
          <t>Apri /nextgen/planner -&gt; Mappa, seleziona un'attivita' con indirizzo</t>
        </is>
      </c>
      <c r="F373" s="22" t="inlineStr">
        <is>
          <t>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is>
      </c>
      <c r="G373" s="22" t="inlineStr">
        <is>
          <t>DA TESTARE</t>
        </is>
      </c>
      <c r="H373" s="22">
        <f>IF(G373="BUG","BUG-"&amp;A373,IF(G373="FUNCTIONAL","FUNCTIONAL-"&amp;A373,""))</f>
        <v/>
      </c>
    </row>
    <row r="374">
      <c r="A374" s="22" t="inlineStr">
        <is>
          <t>TC-286</t>
        </is>
      </c>
      <c r="B374" s="22" t="inlineStr">
        <is>
          <t>NEXTGEN - Sprint 5 (Segnala un problema BETA)</t>
        </is>
      </c>
      <c r="C374" s="22" t="inlineStr">
        <is>
          <t>La floating CTA 'Segnala un problema' e' visibile nelle pagine genitore NEXTGEN</t>
        </is>
      </c>
      <c r="D374" s="22" t="inlineStr">
        <is>
          <t>Nessuna</t>
        </is>
      </c>
      <c r="E374" s="22" t="inlineStr">
        <is>
          <t>Apri una pagina genitore NEXTGEN (es. /nextgen/planner)</t>
        </is>
      </c>
      <c r="F374" s="22" t="inlineStr">
        <is>
          <t>Un pulsante circolare viola 'Segnala un problema' e' visibile e trascinabile in un punto qualsiasi dello schermo; la posizione scelta resta la stessa cambiando pagina e riaprendo l'app (persistita in localStorage)</t>
        </is>
      </c>
      <c r="G374" s="22" t="inlineStr">
        <is>
          <t>DA TESTARE</t>
        </is>
      </c>
      <c r="H374" s="22">
        <f>IF(G374="BUG","BUG-"&amp;A374,IF(G374="FUNCTIONAL","FUNCTIONAL-"&amp;A374,""))</f>
        <v/>
      </c>
    </row>
    <row r="375">
      <c r="A375" s="22" t="inlineStr">
        <is>
          <t>TC-287</t>
        </is>
      </c>
      <c r="B375" s="22" t="inlineStr">
        <is>
          <t>NEXTGEN - Sprint 5 (Segnala un problema BETA)</t>
        </is>
      </c>
      <c r="C375" s="22" t="inlineStr">
        <is>
          <t>La floating CTA non compare su /nextgen/admin e /nextgen/center (placeholder Sprint 0, area gestore/admin non ancora in scope)</t>
        </is>
      </c>
      <c r="D375" s="22" t="inlineStr">
        <is>
          <t>Account con ruolo platform_admin o center_admin</t>
        </is>
      </c>
      <c r="E375" s="22" t="inlineStr">
        <is>
          <t>Apri /nextgen/admin</t>
        </is>
      </c>
      <c r="F375" s="22" t="inlineStr">
        <is>
          <t>Il pulsante 'Segnala un problema' non e' presente: il meccanismo e' per ora limitato all'app genitori, la stessa CTA per l'app gestori e' pianificata come fase successiva separata</t>
        </is>
      </c>
      <c r="G375" s="22" t="inlineStr">
        <is>
          <t>DA TESTARE</t>
        </is>
      </c>
      <c r="H375" s="22">
        <f>IF(G375="BUG","BUG-"&amp;A375,IF(G375="FUNCTIONAL","FUNCTIONAL-"&amp;A375,""))</f>
        <v/>
      </c>
    </row>
    <row r="376">
      <c r="A376" s="22" t="inlineStr">
        <is>
          <t>TC-288</t>
        </is>
      </c>
      <c r="B376" s="22" t="inlineStr">
        <is>
          <t>NEXTGEN - Sprint 5 (Segnala un problema BETA)</t>
        </is>
      </c>
      <c r="C376" s="22" t="inlineStr">
        <is>
          <t>Inviare una segnalazione vuota mostra un errore; con testo mostra conferma e chiude il pannello</t>
        </is>
      </c>
      <c r="D376" s="22" t="inlineStr">
        <is>
          <t>Nessuna</t>
        </is>
      </c>
      <c r="E376" s="22" t="inlineStr">
        <is>
          <t>Clicca la CTA, lascia il campo vuoto e clicca 'Invia segnalazione'; poi scrivi un testo e reinvia</t>
        </is>
      </c>
      <c r="F376" s="22" t="inlineStr">
        <is>
          <t>A campo vuoto compare 'Scrivi qualcosa prima di inviare' senza chiudere il pannello; con testo la segnalazione viene salvata (area/pagina correnti allegate automaticamente), il pannello si chiude e compare il toast 'Segnalazione inviata, grazie!'</t>
        </is>
      </c>
      <c r="G376" s="22" t="inlineStr">
        <is>
          <t>DA TESTARE</t>
        </is>
      </c>
      <c r="H376" s="22">
        <f>IF(G376="BUG","BUG-"&amp;A376,IF(G376="FUNCTIONAL","FUNCTIONAL-"&amp;A376,""))</f>
        <v/>
      </c>
    </row>
    <row r="377">
      <c r="A377" s="22" t="inlineStr">
        <is>
          <t>TC-289</t>
        </is>
      </c>
      <c r="B377" s="22" t="inlineStr">
        <is>
          <t>NEXTGEN - Sprint 5 (Segnala un problema BETA)</t>
        </is>
      </c>
      <c r="C377" s="22" t="inlineStr">
        <is>
          <t>Profilo mostra la sezione temporanea 'Le mie segnalazioni' con lo stato di quanto inviato</t>
        </is>
      </c>
      <c r="D377" s="22" t="inlineStr">
        <is>
          <t>Almeno una segnalazione gia' inviata (vedi TC-288)</t>
        </is>
      </c>
      <c r="E377" s="22" t="inlineStr">
        <is>
          <t>Apri /nextgen/profile, sezione 'Beta' -&gt; 'Le mie segnalazioni'</t>
        </is>
      </c>
      <c r="F377" s="22" t="inlineStr">
        <is>
          <t>Si apre /nextgen/profile/segnalazioni con l'elenco delle proprie segnalazioni, ciascuna con area, stato (Nuovo/In gestione/Risolto) e, se presente, la nota di risposta del team</t>
        </is>
      </c>
      <c r="G377" s="22" t="inlineStr">
        <is>
          <t>DA TESTARE</t>
        </is>
      </c>
      <c r="H377" s="22">
        <f>IF(G377="BUG","BUG-"&amp;A377,IF(G377="FUNCTIONAL","FUNCTIONAL-"&amp;A377,""))</f>
        <v/>
      </c>
    </row>
    <row r="378">
      <c r="A378" s="22" t="inlineStr">
        <is>
          <t>TC-290</t>
        </is>
      </c>
      <c r="B378" s="22" t="inlineStr">
        <is>
          <t>NEXTGEN - Sprint 5 (Segnala un problema BETA, Admin)</t>
        </is>
      </c>
      <c r="C378" s="22" t="inlineStr">
        <is>
          <t>/admin/segnalazioni-beta mostra i conteggi per stato e per area, con label 'App genitori'</t>
        </is>
      </c>
      <c r="D378" s="22" t="inlineStr">
        <is>
          <t>Almeno una segnalazione gia' inviata (vedi TC-288)</t>
        </is>
      </c>
      <c r="E378" s="22" t="inlineStr">
        <is>
          <t>Login Admin -&gt; /admin/segnalazioni-beta</t>
        </is>
      </c>
      <c r="F378" s="22" t="inlineStr">
        <is>
          <t>Compaiono le card di riepilogo (Totale/Nuove/In gestione/Risolte) e la tabella 'Per area/sottosezione' con i conteggi; ogni riga della lista mostra una label 'App genitori' (oggi l'unica app con la CTA — la tabella/coda e' gia' pronta per 'App gestori' quando quella fase verra' implementata)</t>
        </is>
      </c>
      <c r="G378" s="22" t="inlineStr">
        <is>
          <t>DA TESTARE</t>
        </is>
      </c>
      <c r="H378" s="22">
        <f>IF(G378="BUG","BUG-"&amp;A378,IF(G378="FUNCTIONAL","FUNCTIONAL-"&amp;A378,""))</f>
        <v/>
      </c>
    </row>
    <row r="379">
      <c r="A379" s="22" t="inlineStr">
        <is>
          <t>TC-291</t>
        </is>
      </c>
      <c r="B379" s="22" t="inlineStr">
        <is>
          <t>NEXTGEN - Sprint 5 (Segnala un problema BETA, Admin)</t>
        </is>
      </c>
      <c r="C379" s="22" t="inlineStr">
        <is>
          <t>L'Admin cambia lo stato di una segnalazione in 'In gestione'</t>
        </is>
      </c>
      <c r="D379" s="22" t="inlineStr">
        <is>
          <t>Almeno una segnalazione in stato 'Nuovo'</t>
        </is>
      </c>
      <c r="E379" s="22" t="inlineStr">
        <is>
          <t>Su /admin/segnalazioni-beta, clicca 'In gestione' su una riga</t>
        </is>
      </c>
      <c r="F379" s="22" t="inlineStr">
        <is>
          <t>La riga passa a mostrare il badge 'In gestione'; la stessa riga, se il genitore riapre 'Le mie segnalazioni', mostra lo stato aggiornato</t>
        </is>
      </c>
      <c r="G379" s="22" t="inlineStr">
        <is>
          <t>DA TESTARE</t>
        </is>
      </c>
      <c r="H379" s="22">
        <f>IF(G379="BUG","BUG-"&amp;A379,IF(G379="FUNCTIONAL","FUNCTIONAL-"&amp;A379,""))</f>
        <v/>
      </c>
    </row>
    <row r="380">
      <c r="A380" s="22" t="inlineStr">
        <is>
          <t>TC-292</t>
        </is>
      </c>
      <c r="B380" s="22" t="inlineStr">
        <is>
          <t>Genitori - Modifica prenotazione (annulla)</t>
        </is>
      </c>
      <c r="C380" s="22" t="inlineStr">
        <is>
          <t>Deselezionare tutte le settimane disabilita 'Salva modifiche' (nessuna ambiguita' con l'annullamento)</t>
        </is>
      </c>
      <c r="D380" s="22" t="inlineStr">
        <is>
          <t>Prenotazione modificabile (entro la finestra di preavviso del centro)</t>
        </is>
      </c>
      <c r="E380" s="22" t="inlineStr">
        <is>
          <t>Apri /prenotazioni/[id]/modifica, deseleziona tutte le settimane selezionate</t>
        </is>
      </c>
      <c r="F380" s="22" t="inlineStr">
        <is>
          <t>'Salva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is>
      </c>
      <c r="G380" s="22" t="inlineStr">
        <is>
          <t>DA TESTARE</t>
        </is>
      </c>
      <c r="H380" s="22">
        <f>IF(G380="BUG","BUG-"&amp;A380,IF(G380="FUNCTIONAL","FUNCTIONAL-"&amp;A380,""))</f>
        <v/>
      </c>
      <c r="I380" s="22" t="inlineStr">
        <is>
          <t>Alta</t>
        </is>
      </c>
    </row>
    <row r="381">
      <c r="A381" s="22" t="inlineStr">
        <is>
          <t>TC-293</t>
        </is>
      </c>
      <c r="B381" s="22" t="inlineStr">
        <is>
          <t>Genitori - Modifica prenotazione (annulla)</t>
        </is>
      </c>
      <c r="C381" s="22" t="inlineStr">
        <is>
          <t>Il pulsante esplicito 'Annulla prenotazione' apre il pop-up di conferma con la settimana di riferimento</t>
        </is>
      </c>
      <c r="D381" s="22" t="inlineStr">
        <is>
          <t>Prenotazione modificabile (entro la finestra di preavviso del centro)</t>
        </is>
      </c>
      <c r="E381" s="22" t="inlineStr">
        <is>
          <t>Apri /prenotazioni/[id]/modifica, clicca 'Annulla prenotazione' (senza toccare le settimane)</t>
        </is>
      </c>
      <c r="F381" s="22" t="inlineStr">
        <is>
          <t>Si apre il pop-up 'Vuoi annullare la prenotazione?' con 'No, mantieni'/'Si, annulla'; il testo elenca ora anche le settimane effettivamente prenotate (es. 'LUG 27-31 (Sett. 9), AGO 3-7 (Sett. 10)'), non solo il nome attivita' e i bambini</t>
        </is>
      </c>
      <c r="G381" s="22" t="inlineStr">
        <is>
          <t>DA TESTARE</t>
        </is>
      </c>
      <c r="H381" s="22">
        <f>IF(G381="BUG","BUG-"&amp;A381,IF(G381="FUNCTIONAL","FUNCTIONAL-"&amp;A381,""))</f>
        <v/>
      </c>
      <c r="I381" s="22" t="inlineStr">
        <is>
          <t>Alta</t>
        </is>
      </c>
    </row>
    <row r="382">
      <c r="A382" s="22" t="inlineStr">
        <is>
          <t>TC-294</t>
        </is>
      </c>
      <c r="B382" s="22" t="inlineStr">
        <is>
          <t>Genitori - Modifica prenotazione (annulla)</t>
        </is>
      </c>
      <c r="C382" s="22" t="inlineStr">
        <is>
          <t>Confermare l'annullamento nel pop-up cancella davvero la prenotazione e torna a 'Le mie prenotazioni'</t>
        </is>
      </c>
      <c r="D382" s="22" t="inlineStr">
        <is>
          <t>Prenotazione modificabile (entro la finestra di preavviso del centro)</t>
        </is>
      </c>
      <c r="E382" s="22" t="inlineStr">
        <is>
          <t>Apri /prenotazioni/[id]/modifica, clicca 'Annulla prenotazione' poi 'Sì, annulla'</t>
        </is>
      </c>
      <c r="F382" s="22" t="inlineStr">
        <is>
          <t>cancelBookingAction viene chiamata, la prenotazione risulta annullata e il genitore torna a /prenotazioni</t>
        </is>
      </c>
      <c r="G382" s="22" t="inlineStr">
        <is>
          <t>DA TESTARE</t>
        </is>
      </c>
      <c r="H382" s="22">
        <f>IF(G382="BUG","BUG-"&amp;A382,IF(G382="FUNCTIONAL","FUNCTIONAL-"&amp;A382,""))</f>
        <v/>
      </c>
      <c r="I382" s="22" t="inlineStr">
        <is>
          <t>Alta</t>
        </is>
      </c>
    </row>
    <row r="383">
      <c r="A383" s="22" t="inlineStr">
        <is>
          <t>TC-295</t>
        </is>
      </c>
      <c r="B383" s="22" t="inlineStr">
        <is>
          <t>Genitori - Modifica prenotazione (annulla)</t>
        </is>
      </c>
      <c r="C383" s="22" t="inlineStr">
        <is>
          <t>Se la finestra di preavviso si chiude tra il caricamento della pagina e la conferma, il pop-up mostra 'Non puoi più annullare' con il messaggio del server</t>
        </is>
      </c>
      <c r="D383" s="22" t="inlineStr">
        <is>
          <t>Finestra di preavviso del centro chiusa tra il caricamento pagina e il click di conferma (race condition)</t>
        </is>
      </c>
      <c r="E383" s="22" t="inlineStr">
        <is>
          <t>Apri /prenotazioni/[id]/modifica quando la prenotazione è ancora modificabile, clicca 'Annulla prenotazione' poi 'Sì, annulla' dopo che nel frattempo la finestra si è chiusa lato server</t>
        </is>
      </c>
      <c r="F383" s="22" t="inlineStr">
        <is>
          <t>Il pop-up mostra l'intestazione 'Non puoi più annullare' con il messaggio di errore restituito da cancelBookingAction (stesso testo già usato in 'Le mie prenotazioni'), con solo il pulsante 'Chiudi'</t>
        </is>
      </c>
      <c r="G383" s="22" t="inlineStr">
        <is>
          <t>NON AUTOMATIZZATO (test.fixme — richiede manipolare la finestra di preavviso a runtime per essere riprodotto in modo deterministico via UI)</t>
        </is>
      </c>
      <c r="H383" s="22">
        <f>IF(G383="BUG","BUG-"&amp;A383,IF(G383="FUNCTIONAL","FUNCTIONAL-"&amp;A383,""))</f>
        <v/>
      </c>
      <c r="I383" s="22" t="inlineStr">
        <is>
          <t>Bassa</t>
        </is>
      </c>
    </row>
    <row r="384">
      <c r="A384" s="22" t="inlineStr">
        <is>
          <t>TC-296</t>
        </is>
      </c>
      <c r="B384" s="22" t="inlineStr">
        <is>
          <t>App - Splash overlay (Android)</t>
        </is>
      </c>
      <c r="C384" s="22" t="inlineStr">
        <is>
          <t>Lo splash overlay (logo+nome+claim) sostituisce il flash colorato nativo di Android in apertura</t>
        </is>
      </c>
      <c r="D384" s="22" t="inlineStr">
        <is>
          <t>Nessuna</t>
        </is>
      </c>
      <c r="E384" s="22" t="inlineStr">
        <is>
          <t>Apri l'app (refresh completo o vero avvio PWA), osserva i primi istanti dopo l'apertura</t>
        </is>
      </c>
      <c r="F384" s="22" t="inlineStr">
        <is>
          <t>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is>
      </c>
      <c r="G384" s="22" t="inlineStr">
        <is>
          <t>DA TESTARE</t>
        </is>
      </c>
      <c r="H384" s="22">
        <f>IF(G384="BUG","BUG-"&amp;A384,IF(G384="FUNCTIONAL","FUNCTIONAL-"&amp;A384,""))</f>
        <v/>
      </c>
      <c r="I384" s="22" t="inlineStr">
        <is>
          <t>Media</t>
        </is>
      </c>
    </row>
    <row r="385">
      <c r="A385" s="22" t="inlineStr">
        <is>
          <t>TC-N292</t>
        </is>
      </c>
      <c r="B385" s="22" t="inlineStr">
        <is>
          <t>NEXTGEN - Segnala un problema (BETA) correttivo</t>
        </is>
      </c>
      <c r="C385" s="22" t="inlineStr">
        <is>
          <t>La floating CTA resta dentro la cornice 'telefono' anche su un viewport desktop largo</t>
        </is>
      </c>
      <c r="D385" s="22" t="inlineStr">
        <is>
          <t>Nessuna</t>
        </is>
      </c>
      <c r="E385" s="22" t="inlineStr">
        <is>
          <t>Apri una pagina genitore NEXTGEN (es. /nextgen/planner) su un browser desktop con finestra larga</t>
        </is>
      </c>
      <c r="F385" s="22" t="inlineStr">
        <is>
          <t>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is>
      </c>
      <c r="G385" s="22" t="inlineStr">
        <is>
          <t>DA TESTARE</t>
        </is>
      </c>
      <c r="H385" s="22">
        <f>IF(G385="BUG","BUG-"&amp;A385,IF(G385="FUNCTIONAL","FUNCTIONAL-"&amp;A385,""))</f>
        <v/>
      </c>
      <c r="I385" s="22" t="inlineStr">
        <is>
          <t>Alta</t>
        </is>
      </c>
    </row>
    <row r="386">
      <c r="A386" s="22" t="inlineStr">
        <is>
          <t>TC-N293</t>
        </is>
      </c>
      <c r="B386" s="22" t="inlineStr">
        <is>
          <t>NEXTGEN - Sprint 6 (feedback visivo al tap)</t>
        </is>
      </c>
      <c r="C386" s="22" t="inlineStr">
        <is>
          <t>Le voci della bottom nav hanno uno stato :active</t>
        </is>
      </c>
      <c r="D386" s="22" t="inlineStr">
        <is>
          <t>Nessuna</t>
        </is>
      </c>
      <c r="E386" s="22" t="inlineStr">
        <is>
          <t>Apri una qualsiasi pagina genitore NEXTGEN e osserva la bottom nav (Home/Planner/Scopri/Prenotazioni/Profilo)</t>
        </is>
      </c>
      <c r="F386" s="22" t="inlineStr">
        <is>
          <t>Ogni voce ha una classe active: (scale-90) che da' un feedback visivo immediato al tocco/click, non solo hover (utile su mobile, dove hover non esiste)</t>
        </is>
      </c>
      <c r="G386" s="22" t="inlineStr">
        <is>
          <t>DA TESTARE</t>
        </is>
      </c>
      <c r="H386" s="22">
        <f>IF(G386="BUG","BUG-"&amp;A386,IF(G386="FUNCTIONAL","FUNCTIONAL-"&amp;A386,""))</f>
        <v/>
      </c>
      <c r="I386" s="22" t="inlineStr">
        <is>
          <t>Bassa</t>
        </is>
      </c>
    </row>
    <row r="387">
      <c r="A387" s="22" t="inlineStr">
        <is>
          <t>TC-N294</t>
        </is>
      </c>
      <c r="B387" s="22" t="inlineStr">
        <is>
          <t>NEXTGEN - Sprint 6 (feedback visivo al tap)</t>
        </is>
      </c>
      <c r="C387" s="22" t="inlineStr">
        <is>
          <t>Una card del Profilo (HubCard) ha uno stato :active</t>
        </is>
      </c>
      <c r="D387" s="22" t="inlineStr">
        <is>
          <t>Nessuna</t>
        </is>
      </c>
      <c r="E387" s="22" t="inlineStr">
        <is>
          <t>Apri /nextgen/profile e osserva una card (es. 'Le mie prenotazioni')</t>
        </is>
      </c>
      <c r="F387" s="22" t="inlineStr">
        <is>
          <t>La card ha una classe active: (tinta bg-black leggera) che da' un feedback visivo al tocco/click</t>
        </is>
      </c>
      <c r="G387" s="22" t="inlineStr">
        <is>
          <t>DA TESTARE</t>
        </is>
      </c>
      <c r="H387" s="22">
        <f>IF(G387="BUG","BUG-"&amp;A387,IF(G387="FUNCTIONAL","FUNCTIONAL-"&amp;A387,""))</f>
        <v/>
      </c>
      <c r="I387" s="22" t="inlineStr">
        <is>
          <t>Bassa</t>
        </is>
      </c>
    </row>
    <row r="388">
      <c r="A388" s="22" t="inlineStr">
        <is>
          <t>TC-N295</t>
        </is>
      </c>
      <c r="B388" s="22" t="inlineStr">
        <is>
          <t>NEXTGEN - Sprint 6 (feedback visivo al tap)</t>
        </is>
      </c>
      <c r="C388" s="22" t="inlineStr">
        <is>
          <t>I tab Organizzazione/Budget del Planner hanno uno stato :active</t>
        </is>
      </c>
      <c r="D388" s="22" t="inlineStr">
        <is>
          <t>Nessuna</t>
        </is>
      </c>
      <c r="E388" s="22" t="inlineStr">
        <is>
          <t>Apri /nextgen/planner e osserva i tab in alto (Organizzazione/Budget)</t>
        </is>
      </c>
      <c r="F388" s="22" t="inlineStr">
        <is>
          <t>Ogni tab ha una classe active: (scale-95) che da' un feedback visivo al tocco/click</t>
        </is>
      </c>
      <c r="G388" s="22" t="inlineStr">
        <is>
          <t>DA TESTARE</t>
        </is>
      </c>
      <c r="H388" s="22">
        <f>IF(G388="BUG","BUG-"&amp;A388,IF(G388="FUNCTIONAL","FUNCTIONAL-"&amp;A388,""))</f>
        <v/>
      </c>
      <c r="I388" s="22" t="inlineStr">
        <is>
          <t>Bassa</t>
        </is>
      </c>
    </row>
    <row r="389">
      <c r="A389" s="22" t="inlineStr">
        <is>
          <t>TC-N296</t>
        </is>
      </c>
      <c r="B389" s="22" t="inlineStr">
        <is>
          <t>NEXTGEN - Sprint 6 (feedback visivo al tap)</t>
        </is>
      </c>
      <c r="C389" s="22" t="inlineStr">
        <is>
          <t>I chip filtro in Cerca (Scopri) hanno uno stato :active</t>
        </is>
      </c>
      <c r="D389" s="22" t="inlineStr">
        <is>
          <t>Nessuna</t>
        </is>
      </c>
      <c r="E389" s="22" t="inlineStr">
        <is>
          <t>Apri /nextgen/search e osserva i chip filtro (Eta', Prezzo, Zona, Tipo attivita', Servizi, ecc.)</t>
        </is>
      </c>
      <c r="F389" s="22" t="inlineStr">
        <is>
          <t>Ogni chip ha una classe active: (scale-95) che da' un feedback visivo al tocco/click</t>
        </is>
      </c>
      <c r="G389" s="22" t="inlineStr">
        <is>
          <t>DA TESTARE</t>
        </is>
      </c>
      <c r="H389" s="22">
        <f>IF(G389="BUG","BUG-"&amp;A389,IF(G389="FUNCTIONAL","FUNCTIONAL-"&amp;A389,""))</f>
        <v/>
      </c>
      <c r="I389" s="22" t="inlineStr">
        <is>
          <t>Bassa</t>
        </is>
      </c>
    </row>
    <row r="390">
      <c r="A390" s="22" t="inlineStr">
        <is>
          <t>TC-297</t>
        </is>
      </c>
      <c r="B390" s="22" t="inlineStr">
        <is>
          <t>Genitori - Prenotazione (Sprint 7)</t>
        </is>
      </c>
      <c r="C390" s="22" t="inlineStr">
        <is>
          <t>Il selettore di prenotazione non mostra settimane gia' concluse rispetto ad oggi</t>
        </is>
      </c>
      <c r="D390" s="22" t="inlineStr">
        <is>
          <t>Login genitore, attivita' di test con settimane configurate</t>
        </is>
      </c>
      <c r="E390" s="22" t="inlineStr">
        <is>
          <t>Apri la scheda dell'attivita' di test -&gt; 'Prenota ora'</t>
        </is>
      </c>
      <c r="F390" s="22" t="inlineStr">
        <is>
          <t>Nessuna settimana visibile ha una data di fine (mese-giorno) precedente a oggi</t>
        </is>
      </c>
      <c r="G390" s="22" t="inlineStr">
        <is>
          <t>DA TESTARE</t>
        </is>
      </c>
      <c r="H390" s="22">
        <f>IF(G390="BUG","BUG-"&amp;A390,IF(G390="FUNCTIONAL","FUNCTIONAL-"&amp;A390,""))</f>
        <v/>
      </c>
    </row>
    <row r="391">
      <c r="A391" s="22" t="inlineStr">
        <is>
          <t>TC-N297</t>
        </is>
      </c>
      <c r="B391" s="22" t="inlineStr">
        <is>
          <t>NEXTGEN - Planner, Organizzazione (Sprint 7)</t>
        </is>
      </c>
      <c r="C391" s="22" t="inlineStr">
        <is>
          <t>La X su una card di avviso (Promemoria/Missione) la nasconde</t>
        </is>
      </c>
      <c r="D391" s="22" t="inlineStr">
        <is>
          <t>Login genitore con almeno un avviso attivo</t>
        </is>
      </c>
      <c r="E391" s="22" t="inlineStr">
        <is>
          <t>Apri /nextgen/planner, clicca la X sulla prima card di avviso</t>
        </is>
      </c>
      <c r="F391" s="22" t="inlineStr">
        <is>
          <t>La card scompare (dismiss locale alla sessione, non persistito)</t>
        </is>
      </c>
      <c r="G391" s="22" t="inlineStr">
        <is>
          <t>DA TESTARE</t>
        </is>
      </c>
      <c r="H391" s="22">
        <f>IF(G391="BUG","BUG-"&amp;A391,IF(G391="FUNCTIONAL","FUNCTIONAL-"&amp;A391,""))</f>
        <v/>
      </c>
    </row>
    <row r="392">
      <c r="A392" s="22" t="inlineStr">
        <is>
          <t>TC-N298</t>
        </is>
      </c>
      <c r="B392" s="22" t="inlineStr">
        <is>
          <t>NEXTGEN - Planner, Organizzazione (Sprint 7)</t>
        </is>
      </c>
      <c r="C392" s="22" t="inlineStr">
        <is>
          <t>Il box 'Sovrapposizioni da controllare' porta a 'Le mie prenotazioni'</t>
        </is>
      </c>
      <c r="D392" s="22" t="inlineStr">
        <is>
          <t>Login genitore con una sovrapposizione di prenotazioni attiva</t>
        </is>
      </c>
      <c r="E392" s="22" t="inlineStr">
        <is>
          <t>Apri /nextgen/planner, osserva il box 'Sovrapposizioni da controllare'</t>
        </is>
      </c>
      <c r="F392" s="22" t="inlineStr">
        <is>
          <t>E' presente un link 'Gestisci in Le mie prenotazioni' che porta a /prenotazioni (dove si puo' davvero annullare/modificare una delle due prenotazioni in conflitto)</t>
        </is>
      </c>
      <c r="G392" s="22" t="inlineStr">
        <is>
          <t>DA TESTARE</t>
        </is>
      </c>
      <c r="H392" s="22">
        <f>IF(G392="BUG","BUG-"&amp;A392,IF(G392="FUNCTIONAL","FUNCTIONAL-"&amp;A392,""))</f>
        <v/>
      </c>
    </row>
    <row r="393">
      <c r="A393" s="22" t="inlineStr">
        <is>
          <t>TC-N299</t>
        </is>
      </c>
      <c r="B393" s="22" t="inlineStr">
        <is>
          <t>NEXTGEN - Coerenza elementi decorativi (Sprint 7)</t>
        </is>
      </c>
      <c r="C393" s="22" t="inlineStr">
        <is>
          <t>Planner/Scopri/Community/Profilo mostrano la stessa texture decorativa (due cerchi) della hero card di Home</t>
        </is>
      </c>
      <c r="D393" s="22" t="inlineStr">
        <is>
          <t>Login genitore</t>
        </is>
      </c>
      <c r="E393" s="22" t="inlineStr">
        <is>
          <t>Apri /nextgen/planner, /nextgen/search, /nextgen/community, /nextgen/profile</t>
        </is>
      </c>
      <c r="F393" s="22" t="inlineStr">
        <is>
          <t>In ognuna e' presente il wrapper DecorativeIntroCard con i due cerchi aria-hidden (bg-trama-violet/10 e bg-trama-lilac/20), stesso linguaggio visivo della Home</t>
        </is>
      </c>
      <c r="G393" s="22" t="inlineStr">
        <is>
          <t>DA TESTARE</t>
        </is>
      </c>
      <c r="H393" s="22">
        <f>IF(G393="BUG","BUG-"&amp;A393,IF(G393="FUNCTIONAL","FUNCTIONAL-"&amp;A393,""))</f>
        <v/>
      </c>
    </row>
    <row r="394">
      <c r="A394" s="22" t="inlineStr">
        <is>
          <t>TC-N300</t>
        </is>
      </c>
      <c r="B394" s="22" t="inlineStr">
        <is>
          <t>Admin - Segnalazioni BETA, pipeline automatica (Sprint 8)</t>
        </is>
      </c>
      <c r="C394" s="22" t="inlineStr">
        <is>
          <t>'Conferma e metti in pipeline' mostra il badge e nasconde il bottone</t>
        </is>
      </c>
      <c r="D394" s="22" t="inlineStr">
        <is>
          <t>Login platform_admin, almeno una segnalazione con pipeline_status='none'</t>
        </is>
      </c>
      <c r="E394" s="22" t="inlineStr">
        <is>
          <t>Apri /admin/segnalazioni-beta, clicca 'Conferma e metti in pipeline' su una riga</t>
        </is>
      </c>
      <c r="F394" s="22" t="inlineStr">
        <is>
          <t>Compare il badge 'In coda per la pipeline' sulla riga e il bottone scompare (pipeline_status='confirmed')</t>
        </is>
      </c>
      <c r="G394" s="22" t="inlineStr">
        <is>
          <t>DA TESTARE</t>
        </is>
      </c>
      <c r="H394" s="22">
        <f>IF(G394="BUG","BUG-"&amp;A394,IF(G394="FUNCTIONAL","FUNCTIONAL-"&amp;A394,""))</f>
        <v/>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41"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2">
        <f>COUNTIF('Test Case'!G:G,"OK")</f>
        <v/>
      </c>
      <c r="D3" s="28" t="inlineStr">
        <is>
          <t>Setup</t>
        </is>
      </c>
      <c r="E3" s="42">
        <f>COUNTIF('Test Case'!B:B,"Setup")</f>
        <v/>
      </c>
    </row>
    <row r="4" ht="15" customHeight="1" s="23">
      <c r="A4" s="28" t="inlineStr">
        <is>
          <t>BUG</t>
        </is>
      </c>
      <c r="B4" s="42">
        <f>COUNTIF('Test Case'!G:G,"BUG")</f>
        <v/>
      </c>
      <c r="D4" s="28" t="inlineStr">
        <is>
          <t>Genitori - Home</t>
        </is>
      </c>
      <c r="E4" s="42">
        <f>COUNTIF('Test Case'!B:B,"Genitori - Home")</f>
        <v/>
      </c>
    </row>
    <row r="5" ht="15" customHeight="1" s="23">
      <c r="A5" s="28" t="inlineStr">
        <is>
          <t>FUNCTIONAL</t>
        </is>
      </c>
      <c r="B5" s="42">
        <f>COUNTIF('Test Case'!G:G,"FUNCTIONAL")</f>
        <v/>
      </c>
      <c r="D5" s="28" t="inlineStr">
        <is>
          <t>Genitori - Cerca</t>
        </is>
      </c>
      <c r="E5" s="42">
        <f>COUNTIF('Test Case'!B:B,"Genitori - Cerca")</f>
        <v/>
      </c>
    </row>
    <row r="6" ht="15" customHeight="1" s="23">
      <c r="A6" s="28" t="inlineStr">
        <is>
          <t>DA TESTARE</t>
        </is>
      </c>
      <c r="B6" s="42">
        <f>COUNTIF('Test Case'!G:G,"DA TESTARE")</f>
        <v/>
      </c>
      <c r="D6" s="28" t="inlineStr">
        <is>
          <t>Genitori - Attivita</t>
        </is>
      </c>
      <c r="E6" s="42">
        <f>COUNTIF('Test Case'!B:B,"Genitori - Attivita")</f>
        <v/>
      </c>
    </row>
    <row r="7" ht="15" customHeight="1" s="23">
      <c r="A7" s="30" t="inlineStr">
        <is>
          <t>Totale test case</t>
        </is>
      </c>
      <c r="B7" s="43">
        <f>COUNTA('Test Case'!A2:A10000)</f>
        <v/>
      </c>
      <c r="D7" s="28" t="inlineStr">
        <is>
          <t>Genitori - Prenotazione</t>
        </is>
      </c>
      <c r="E7" s="42">
        <f>COUNTIF('Test Case'!B:B,"Genitori - Prenotazione")</f>
        <v/>
      </c>
    </row>
    <row r="8" ht="15" customHeight="1" s="23">
      <c r="D8" s="28" t="inlineStr">
        <is>
          <t>Genitori - Gruppi</t>
        </is>
      </c>
      <c r="E8" s="42">
        <f>COUNTIF('Test Case'!B:B,"Genitori - Gruppi")</f>
        <v/>
      </c>
    </row>
    <row r="9" ht="15" customHeight="1" s="23">
      <c r="D9" s="28" t="inlineStr">
        <is>
          <t>Gestore - Richieste Gruppo</t>
        </is>
      </c>
      <c r="E9" s="42">
        <f>COUNTIF('Test Case'!B:B,"Gestore - Richieste Gruppo")</f>
        <v/>
      </c>
    </row>
    <row r="10" ht="15" customHeight="1" s="23">
      <c r="D10" s="28" t="inlineStr">
        <is>
          <t>Genitori - Accompagnamento</t>
        </is>
      </c>
      <c r="E10" s="42">
        <f>COUNTIF('Test Case'!B:B,"Genitori - Accompagnamento")</f>
        <v/>
      </c>
    </row>
    <row r="11" ht="15" customHeight="1" s="23">
      <c r="D11" s="28" t="inlineStr">
        <is>
          <t>Genitori - Calendario</t>
        </is>
      </c>
      <c r="E11" s="42">
        <f>COUNTIF('Test Case'!B:B,"Genitori - Calendario")</f>
        <v/>
      </c>
    </row>
    <row r="12" ht="15" customHeight="1" s="23">
      <c r="D12" s="28" t="inlineStr">
        <is>
          <t>Genitori - Profilo</t>
        </is>
      </c>
      <c r="E12" s="42">
        <f>COUNTIF('Test Case'!B:B,"Genitori - Profilo")</f>
        <v/>
      </c>
    </row>
    <row r="13" ht="15" customHeight="1" s="23">
      <c r="D13" s="28" t="inlineStr">
        <is>
          <t>Gestore - Dashboard</t>
        </is>
      </c>
      <c r="E13" s="42">
        <f>COUNTIF('Test Case'!B:B,"Gestore - Dashboard")</f>
        <v/>
      </c>
    </row>
    <row r="14" ht="15" customHeight="1" s="23">
      <c r="D14" s="28" t="inlineStr">
        <is>
          <t>Gestore - Attivita</t>
        </is>
      </c>
      <c r="E14" s="42">
        <f>COUNTIF('Test Case'!B:B,"Gestore - Attivita")</f>
        <v/>
      </c>
    </row>
    <row r="15" ht="15" customHeight="1" s="23">
      <c r="D15" s="28" t="inlineStr">
        <is>
          <t>Gestore - Promozioni</t>
        </is>
      </c>
      <c r="E15" s="42">
        <f>COUNTIF('Test Case'!B:B,"Gestore - Promozioni")</f>
        <v/>
      </c>
    </row>
    <row r="16" ht="15" customHeight="1" s="23">
      <c r="D16" s="28" t="inlineStr">
        <is>
          <t>Gestore - Profilo Centro</t>
        </is>
      </c>
      <c r="E16" s="42">
        <f>COUNTIF('Test Case'!B:B,"Gestore - Profilo Centro")</f>
        <v/>
      </c>
    </row>
    <row r="17" ht="15" customHeight="1" s="23">
      <c r="D17" s="28" t="inlineStr">
        <is>
          <t>Admin - Dashboard</t>
        </is>
      </c>
      <c r="E17" s="42">
        <f>COUNTIF('Test Case'!B:B,"Admin - Dashboard")</f>
        <v/>
      </c>
    </row>
    <row r="18" ht="15" customHeight="1" s="23">
      <c r="D18" s="28" t="inlineStr">
        <is>
          <t>Admin - Gestione</t>
        </is>
      </c>
      <c r="E18" s="42">
        <f>COUNTIF('Test Case'!B:B,"Admin - Gestione")</f>
        <v/>
      </c>
    </row>
    <row r="19" ht="15" customHeight="1" s="23">
      <c r="D19" s="28" t="inlineStr">
        <is>
          <t>Admin - Richieste Gruppo</t>
        </is>
      </c>
      <c r="E19" s="42">
        <f>COUNTIF('Test Case'!B:B,"Admin - Richieste Gruppo")</f>
        <v/>
      </c>
    </row>
    <row r="20" ht="15" customHeight="1" s="23">
      <c r="D20" s="28" t="inlineStr">
        <is>
          <t>Admin - Analytics</t>
        </is>
      </c>
      <c r="E20" s="42">
        <f>COUNTIF('Test Case'!B:B,"Admin - Analytics")</f>
        <v/>
      </c>
    </row>
    <row r="21" ht="15" customHeight="1" s="23">
      <c r="D21" s="28" t="inlineStr">
        <is>
          <t>Multi-tenant / PWA</t>
        </is>
      </c>
      <c r="E21" s="42">
        <f>COUNTIF('Test Case'!B:B,"Multi-tenant / PWA")</f>
        <v/>
      </c>
    </row>
    <row r="22" ht="15" customHeight="1" s="23">
      <c r="D22" s="28" t="inlineStr">
        <is>
          <t>Fuori scope attuale</t>
        </is>
      </c>
      <c r="E22" s="42">
        <f>COUNTIF('Test Case'!B:B,"Fuori scope attuale")</f>
        <v/>
      </c>
    </row>
    <row r="23" ht="15" customHeight="1" s="23">
      <c r="D23" s="28" t="inlineStr">
        <is>
          <t>Genitori - Home (Planner/Per Bambino)</t>
        </is>
      </c>
      <c r="E23" s="42">
        <f>COUNTIF('Test Case'!B:B,"Genitori - Home (Planner/Per Bambino)")</f>
        <v/>
      </c>
    </row>
    <row r="24" ht="15" customHeight="1" s="23">
      <c r="D24" s="28" t="inlineStr">
        <is>
          <t>Gestore - Inviti</t>
        </is>
      </c>
      <c r="E24" s="42">
        <f>COUNTIF('Test Case'!B:B,"Gestore - Inviti")</f>
        <v/>
      </c>
    </row>
    <row r="25" ht="15" customHeight="1" s="23">
      <c r="D25" s="28" t="inlineStr">
        <is>
          <t>Genitori - Registrazione</t>
        </is>
      </c>
      <c r="E25" s="42">
        <f>COUNTIF('Test Case'!B:B,"Genitori - Registrazione")</f>
        <v/>
      </c>
    </row>
    <row r="26" ht="15" customHeight="1" s="23">
      <c r="D26" s="28" t="inlineStr">
        <is>
          <t>Gestore - Le mie richieste</t>
        </is>
      </c>
      <c r="E26" s="42">
        <f>COUNTIF('Test Case'!B:B,"Gestore - Le mie richieste")</f>
        <v/>
      </c>
    </row>
    <row r="27" ht="15" customHeight="1" s="23">
      <c r="D27" s="28" t="inlineStr">
        <is>
          <t>Gestore - Report presenze</t>
        </is>
      </c>
      <c r="E27" s="42">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2026-07-15T20:24:51Z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