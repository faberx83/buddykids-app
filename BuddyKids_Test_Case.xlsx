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<sst xmlns="http://schemas.openxmlformats.org/spreadsheetml/2006/main" count="3122" uniqueCount="2000">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</sst>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50"/>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tru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row r="313" customFormat="false" ht="15" hidden="false" customHeight="true" outlineLevel="0" collapsed="false">
      <c r="A313" s="1" t="s">
        <v>1798</v>
      </c>
      <c r="B313" s="1" t="s">
        <v>1793</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1218</v>
      </c>
      <c r="C314" s="1" t="s">
        <v>1804</v>
      </c>
      <c r="D314" s="1" t="s">
        <v>1805</v>
      </c>
      <c r="E314" s="1" t="s">
        <v>1806</v>
      </c>
      <c r="F314" s="1" t="s">
        <v>1807</v>
      </c>
      <c r="G314" s="1" t="s">
        <v>74</v>
      </c>
      <c r="H314" s="1" t="str">
        <f aca="false">IF(G314="BUG","BUG-"&amp;A314,IF(G314="FUNCTIONAL","FUNCTIONAL-"&amp;A314,""))</f>
        <v/>
      </c>
    </row>
    <row r="315" customFormat="false" ht="15" hidden="false" customHeight="true" outlineLevel="0" collapsed="false">
      <c r="A315" s="1" t="s">
        <v>1808</v>
      </c>
      <c r="B315" s="1" t="s">
        <v>1809</v>
      </c>
      <c r="C315" s="1" t="s">
        <v>1810</v>
      </c>
      <c r="D315" s="1" t="s">
        <v>1811</v>
      </c>
      <c r="E315" s="1" t="s">
        <v>1812</v>
      </c>
      <c r="F315" s="1" t="s">
        <v>1813</v>
      </c>
      <c r="G315" s="1" t="s">
        <v>74</v>
      </c>
      <c r="H315" s="1" t="str">
        <f aca="false">IF(G315="BUG","BUG-"&amp;A315,IF(G315="FUNCTIONAL","FUNCTIONAL-"&amp;A315,""))</f>
        <v/>
      </c>
    </row>
    <row r="316" customFormat="false" ht="15" hidden="false" customHeight="true" outlineLevel="0" collapsed="false">
      <c r="A316" s="1" t="s">
        <v>1814</v>
      </c>
      <c r="B316" s="1" t="s">
        <v>1815</v>
      </c>
      <c r="C316" s="1" t="s">
        <v>1816</v>
      </c>
      <c r="D316" s="1" t="s">
        <v>1817</v>
      </c>
      <c r="E316" s="1" t="s">
        <v>1818</v>
      </c>
      <c r="F316" s="1" t="s">
        <v>1819</v>
      </c>
      <c r="G316" s="1" t="s">
        <v>74</v>
      </c>
      <c r="H316" s="1" t="str">
        <f aca="false">IF(G316="BUG","BUG-"&amp;A316,IF(G316="FUNCTIONAL","FUNCTIONAL-"&amp;A316,""))</f>
        <v/>
      </c>
    </row>
    <row r="317" customFormat="false" ht="15" hidden="false" customHeight="true" outlineLevel="0" collapsed="false">
      <c r="A317" s="1" t="s">
        <v>1820</v>
      </c>
      <c r="B317" s="1" t="s">
        <v>1821</v>
      </c>
      <c r="C317" s="1" t="s">
        <v>1822</v>
      </c>
      <c r="D317" s="1" t="s">
        <v>1823</v>
      </c>
      <c r="E317" s="1" t="s">
        <v>1824</v>
      </c>
      <c r="F317" s="1" t="s">
        <v>1825</v>
      </c>
      <c r="G317" s="1" t="s">
        <v>74</v>
      </c>
      <c r="H317" s="1" t="str">
        <f aca="false">IF(G317="BUG","BUG-"&amp;A317,IF(G317="FUNCTIONAL","FUNCTIONAL-"&amp;A317,""))</f>
        <v/>
      </c>
    </row>
    <row r="318" customFormat="false" ht="15" hidden="false" customHeight="true" outlineLevel="0" collapsed="false">
      <c r="A318" s="1" t="s">
        <v>1826</v>
      </c>
      <c r="B318" s="1" t="s">
        <v>1827</v>
      </c>
      <c r="C318" s="1" t="s">
        <v>1828</v>
      </c>
      <c r="D318" s="1" t="s">
        <v>1829</v>
      </c>
      <c r="E318" s="1" t="s">
        <v>1830</v>
      </c>
      <c r="F318" s="1" t="s">
        <v>1831</v>
      </c>
      <c r="G318" s="1" t="s">
        <v>74</v>
      </c>
      <c r="H318" s="1" t="str">
        <f aca="false">IF(G318="BUG","BUG-"&amp;A318,IF(G318="FUNCTIONAL","FUNCTIONAL-"&amp;A318,""))</f>
        <v/>
      </c>
    </row>
    <row r="319" customFormat="false" ht="15" hidden="false" customHeight="true" outlineLevel="0" collapsed="false">
      <c r="A319" s="1" t="s">
        <v>1832</v>
      </c>
      <c r="B319" s="1" t="s">
        <v>1833</v>
      </c>
      <c r="C319" s="1" t="s">
        <v>1834</v>
      </c>
      <c r="D319" s="1" t="s">
        <v>264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1850</v>
      </c>
      <c r="E322" s="1" t="s">
        <v>1851</v>
      </c>
      <c r="F322" s="1" t="s">
        <v>1852</v>
      </c>
      <c r="G322" s="1" t="s">
        <v>74</v>
      </c>
      <c r="H322" s="1" t="str">
        <f aca="false">IF(G322="BUG","BUG-"&amp;A322,IF(G322="FUNCTIONAL","FUNCTIONAL-"&amp;A322,""))</f>
        <v/>
      </c>
    </row>
    <row r="323" customFormat="false" ht="15" hidden="false" customHeight="true" outlineLevel="0" collapsed="false">
      <c r="A323" s="1" t="s">
        <v>1853</v>
      </c>
      <c r="B323" s="1" t="s">
        <v>1848</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1848</v>
      </c>
      <c r="C324" s="1" t="s">
        <v>1859</v>
      </c>
      <c r="D324" s="1" t="s">
        <v>264</v>
      </c>
      <c r="E324" s="1" t="s">
        <v>1860</v>
      </c>
      <c r="F324" s="1" t="s">
        <v>1861</v>
      </c>
      <c r="G324" s="1" t="s">
        <v>74</v>
      </c>
      <c r="H324" s="1" t="str">
        <f aca="false">IF(G324="BUG","BUG-"&amp;A324,IF(G324="FUNCTIONAL","FUNCTIONAL-"&amp;A324,""))</f>
        <v/>
      </c>
    </row>
    <row r="325" customFormat="false" ht="15" hidden="false" customHeight="true" outlineLevel="0" collapsed="false">
      <c r="A325" s="1" t="s">
        <v>1862</v>
      </c>
      <c r="B325" s="1" t="s">
        <v>1863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1870</v>
      </c>
      <c r="E326" s="1" t="s">
        <v>1871</v>
      </c>
      <c r="F326" s="1" t="s">
        <v>1872</v>
      </c>
      <c r="G326" s="1" t="s">
        <v>74</v>
      </c>
      <c r="H326" s="1" t="str">
        <f aca="false">IF(G326="BUG","BUG-"&amp;A326,IF(G326="FUNCTIONAL","FUNCTIONAL-"&amp;A326,""))</f>
        <v/>
      </c>
    </row>
    <row r="327" customFormat="false" ht="15" hidden="false" customHeight="true" outlineLevel="0" collapsed="false">
      <c r="A327" s="1" t="s">
        <v>1873</v>
      </c>
      <c r="B327" s="1" t="s">
        <v>1868</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1868</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1884</v>
      </c>
      <c r="C329" s="1" t="s">
        <v>1885</v>
      </c>
      <c r="D329" s="1" t="s">
        <v>1886</v>
      </c>
      <c r="E329" s="1" t="s">
        <v>1887</v>
      </c>
      <c r="F329" s="1" t="s">
        <v>1888</v>
      </c>
      <c r="G329" s="1" t="s">
        <v>74</v>
      </c>
      <c r="H329" s="1" t="str">
        <f aca="false">IF(G329="BUG","BUG-"&amp;A329,IF(G329="FUNCTIONAL","FUNCTIONAL-"&amp;A329,""))</f>
        <v/>
      </c>
    </row>
    <row r="330" customFormat="false" ht="15" hidden="false" customHeight="true" outlineLevel="0" collapsed="false">
      <c r="A330" s="1" t="s">
        <v>1889</v>
      </c>
      <c r="B330" s="1" t="s">
        <v>1884</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1895</v>
      </c>
      <c r="C331" s="1" t="s">
        <v>1896</v>
      </c>
      <c r="D331" s="1" t="s">
        <v>264</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1895</v>
      </c>
      <c r="C332" s="1" t="s">
        <v>1900</v>
      </c>
      <c r="D332" s="1" t="s">
        <v>264</v>
      </c>
      <c r="E332" s="1" t="s">
        <v>1901</v>
      </c>
      <c r="F332" s="1" t="s">
        <v>1902</v>
      </c>
      <c r="G332" s="1" t="s">
        <v>74</v>
      </c>
      <c r="H332" s="1" t="str">
        <f aca="false">IF(G332="BUG","BUG-"&amp;A332,IF(G332="FUNCTIONAL","FUNCTIONAL-"&amp;A332,""))</f>
        <v/>
      </c>
    </row>
    <row r="333" customFormat="false" ht="15" hidden="false" customHeight="true" outlineLevel="0" collapsed="false">
      <c r="A333" s="1" t="s">
        <v>1903</v>
      </c>
      <c r="B333" s="1" t="s">
        <v>1895</v>
      </c>
      <c r="C333" s="1" t="s">
        <v>1904</v>
      </c>
      <c r="D333" s="1" t="s">
        <v>264</v>
      </c>
      <c r="E333" s="1" t="s">
        <v>1905</v>
      </c>
      <c r="F333" s="1" t="s">
        <v>1906</v>
      </c>
      <c r="G333" s="1" t="s">
        <v>74</v>
      </c>
      <c r="H333" s="1" t="str">
        <f aca="false">IF(G333="BUG","BUG-"&amp;A333,IF(G333="FUNCTIONAL","FUNCTIONAL-"&amp;A333,""))</f>
        <v/>
      </c>
    </row>
    <row r="334" customFormat="false" ht="15" hidden="false" customHeight="true" outlineLevel="0" collapsed="false">
      <c r="A334" s="1" t="s">
        <v>1907</v>
      </c>
      <c r="B334" s="1" t="s">
        <v>1895</v>
      </c>
      <c r="C334" s="1" t="s">
        <v>1908</v>
      </c>
      <c r="D334" s="1" t="s">
        <v>264</v>
      </c>
      <c r="E334" s="1" t="s">
        <v>1909</v>
      </c>
      <c r="F334" s="1" t="s">
        <v>1910</v>
      </c>
      <c r="G334" s="1" t="s">
        <v>74</v>
      </c>
      <c r="H334" s="1" t="str">
        <f aca="false">IF(G334="BUG","BUG-"&amp;A334,IF(G334="FUNCTIONAL","FUNCTIONAL-"&amp;A334,""))</f>
        <v/>
      </c>
    </row>
    <row r="335" customFormat="false" ht="15" hidden="false" customHeight="true" outlineLevel="0" collapsed="false">
      <c r="A335" s="1" t="s">
        <v>1911</v>
      </c>
      <c r="B335" s="1" t="s">
        <v>1912</v>
      </c>
      <c r="C335" s="1" t="s">
        <v>1913</v>
      </c>
      <c r="D335" s="1" t="s">
        <v>1914</v>
      </c>
      <c r="E335" s="1" t="s">
        <v>1915</v>
      </c>
      <c r="F335" s="1" t="s">
        <v>1916</v>
      </c>
      <c r="G335" s="1" t="s">
        <v>74</v>
      </c>
      <c r="H335" s="1" t="str">
        <f aca="false">IF(G335="BUG","BUG-"&amp;A335,IF(G335="FUNCTIONAL","FUNCTIONAL-"&amp;A335,""))</f>
        <v/>
      </c>
    </row>
    <row r="336" customFormat="false" ht="15" hidden="false" customHeight="true" outlineLevel="0" collapsed="false">
      <c r="A336" s="1" t="s">
        <v>1917</v>
      </c>
      <c r="B336" s="1" t="s">
        <v>1918</v>
      </c>
      <c r="C336" s="1" t="s">
        <v>1919</v>
      </c>
      <c r="D336" s="1" t="s">
        <v>264</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1923</v>
      </c>
      <c r="C338" s="1" t="s">
        <v>1928</v>
      </c>
      <c r="D338" s="1" t="s">
        <v>264</v>
      </c>
      <c r="E338" s="1" t="s">
        <v>1929</v>
      </c>
      <c r="F338" s="1" t="s">
        <v>1930</v>
      </c>
      <c r="G338" s="1" t="s">
        <v>74</v>
      </c>
      <c r="H338" s="1" t="str">
        <f aca="false">IF(G338="BUG","BUG-"&amp;A338,IF(G338="FUNCTIONAL","FUNCTIONAL-"&amp;A338,""))</f>
        <v/>
      </c>
    </row>
    <row r="339" customFormat="false" ht="15" hidden="false" customHeight="true" outlineLevel="0" collapsed="false">
      <c r="A339" s="1" t="s">
        <v>1931</v>
      </c>
      <c r="B339" s="1" t="s">
        <v>1932</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0" t="s">
        <v>1936</v>
      </c>
      <c r="B340" s="10" t="s">
        <v>1937</v>
      </c>
      <c r="C340" s="10" t="s">
        <v>1938</v>
      </c>
      <c r="D340" s="10" t="s">
        <v>61</v>
      </c>
      <c r="E340" s="10" t="s">
        <v>1939</v>
      </c>
      <c r="F340" s="10" t="s">
        <v>1940</v>
      </c>
      <c r="G340" s="10" t="s">
        <v>74</v>
      </c>
      <c r="H340" s="10" t="str">
        <f aca="false">IF(G340="BUG","BUG-"&amp;A340,IF(G340="FUNCTIONAL","FUNCTIONAL-"&amp;A340,""))</f>
        <v/>
      </c>
    </row>
    <row r="341" customFormat="false" ht="15" hidden="false" customHeight="true" outlineLevel="0" collapsed="false">
      <c r="A341" s="10" t="s">
        <v>1941</v>
      </c>
      <c r="B341" s="10" t="s">
        <v>1937</v>
      </c>
      <c r="C341" s="10" t="s">
        <v>1942</v>
      </c>
      <c r="D341" s="10" t="s">
        <v>61</v>
      </c>
      <c r="E341" s="10" t="s">
        <v>1943</v>
      </c>
      <c r="F341" s="10" t="s">
        <v>1944</v>
      </c>
      <c r="G341" s="10" t="s">
        <v>74</v>
      </c>
      <c r="H341" s="10" t="str">
        <f aca="false">IF(G341="BUG","BUG-"&amp;A341,IF(G341="FUNCTIONAL","FUNCTIONAL-"&amp;A341,""))</f>
        <v/>
      </c>
    </row>
    <row r="342" customFormat="false" ht="15" hidden="false" customHeight="true" outlineLevel="0" collapsed="false">
      <c r="A342" s="10" t="s">
        <v>1945</v>
      </c>
      <c r="B342" s="10" t="s">
        <v>1946</v>
      </c>
      <c r="C342" s="10" t="s">
        <v>1947</v>
      </c>
      <c r="D342" s="10" t="s">
        <v>264</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1953</v>
      </c>
      <c r="E343" s="10" t="s">
        <v>1954</v>
      </c>
      <c r="F343" s="10" t="s">
        <v>1955</v>
      </c>
      <c r="G343" s="10" t="s">
        <v>74</v>
      </c>
      <c r="H343" s="10" t="str">
        <f aca="false">IF(G343="BUG","BUG-"&amp;A343,IF(G343="FUNCTIONAL","FUNCTIONAL-"&amp;A343,""))</f>
        <v/>
      </c>
    </row>
    <row r="344" customFormat="false" ht="15" hidden="false" customHeight="true" outlineLevel="0" collapsed="false">
      <c r="A344" s="10" t="s">
        <v>1956</v>
      </c>
      <c r="B344" s="10" t="s">
        <v>1951</v>
      </c>
      <c r="C344" s="10" t="s">
        <v>1957</v>
      </c>
      <c r="D344" s="10" t="s">
        <v>1953</v>
      </c>
      <c r="E344" s="10" t="s">
        <v>1958</v>
      </c>
      <c r="F344" s="10" t="s">
        <v>1959</v>
      </c>
      <c r="G344" s="10" t="s">
        <v>74</v>
      </c>
      <c r="H344" s="10" t="str">
        <f aca="false">IF(G344="BUG","BUG-"&amp;A344,IF(G344="FUNCTIONAL","FUNCTIONAL-"&amp;A344,""))</f>
        <v/>
      </c>
    </row>
    <row r="345" customFormat="false" ht="15" hidden="false" customHeight="true" outlineLevel="0" collapsed="false">
      <c r="A345" s="10" t="s">
        <v>1960</v>
      </c>
      <c r="B345" s="10" t="s">
        <v>1951</v>
      </c>
      <c r="C345" s="10" t="s">
        <v>1961</v>
      </c>
      <c r="D345" s="10" t="s">
        <v>1962</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1951</v>
      </c>
      <c r="C346" s="10" t="s">
        <v>1966</v>
      </c>
      <c r="D346" s="10" t="s">
        <v>1967</v>
      </c>
      <c r="E346" s="10" t="s">
        <v>1968</v>
      </c>
      <c r="F346" s="10" t="s">
        <v>1969</v>
      </c>
      <c r="G346" s="10" t="s">
        <v>74</v>
      </c>
      <c r="H346" s="10" t="str">
        <f aca="false">IF(G346="BUG","BUG-"&amp;A346,IF(G346="FUNCTIONAL","FUNCTIONAL-"&amp;A346,""))</f>
        <v/>
      </c>
      <c r="L346" s="11" t="s">
        <v>1970</v>
      </c>
    </row>
    <row r="347" customFormat="false" ht="15" hidden="false" customHeight="true" outlineLevel="0" collapsed="false">
      <c r="A347" s="10" t="s">
        <v>1971</v>
      </c>
      <c r="B347" s="10" t="s">
        <v>1951</v>
      </c>
      <c r="C347" s="10" t="s">
        <v>1972</v>
      </c>
      <c r="D347" s="10" t="s">
        <v>1953</v>
      </c>
      <c r="E347" s="10" t="s">
        <v>1973</v>
      </c>
      <c r="F347" s="10" t="s">
        <v>1974</v>
      </c>
      <c r="G347" s="10" t="s">
        <v>74</v>
      </c>
      <c r="H347" s="10" t="str">
        <f aca="false">IF(G347="BUG","BUG-"&amp;A347,IF(G347="FUNCTIONAL","FUNCTIONAL-"&amp;A347,""))</f>
        <v/>
      </c>
    </row>
    <row r="348" customFormat="false" ht="15" hidden="false" customHeight="true" outlineLevel="0" collapsed="false">
      <c r="A348" s="10" t="s">
        <v>1975</v>
      </c>
      <c r="B348" s="10" t="s">
        <v>1976</v>
      </c>
      <c r="C348" s="10" t="s">
        <v>1977</v>
      </c>
      <c r="D348" s="10" t="s">
        <v>1978</v>
      </c>
      <c r="E348" s="10" t="s">
        <v>1979</v>
      </c>
      <c r="F348" s="10" t="s">
        <v>1980</v>
      </c>
      <c r="G348" s="10" t="s">
        <v>74</v>
      </c>
      <c r="H348" s="10" t="str">
        <f aca="false">IF(G348="BUG","BUG-"&amp;A348,IF(G348="FUNCTIONAL","FUNCTIONAL-"&amp;A348,""))</f>
        <v/>
      </c>
      <c r="L348" s="11" t="s">
        <v>1981</v>
      </c>
    </row>
    <row r="349" customFormat="false" ht="15" hidden="false" customHeight="true" outlineLevel="0" collapsed="false">
      <c r="A349" s="10" t="s">
        <v>1982</v>
      </c>
      <c r="B349" s="10" t="s">
        <v>1983</v>
      </c>
      <c r="C349" s="10" t="s">
        <v>1984</v>
      </c>
      <c r="D349" s="10" t="s">
        <v>1985</v>
      </c>
      <c r="E349" s="10" t="s">
        <v>1986</v>
      </c>
      <c r="F349" s="10" t="s">
        <v>1987</v>
      </c>
      <c r="G349" s="10" t="s">
        <v>74</v>
      </c>
      <c r="H349" s="10" t="str">
        <f aca="false">IF(G349="BUG","BUG-"&amp;A349,IF(G349="FUNCTIONAL","FUNCTIONAL-"&amp;A349,""))</f>
        <v/>
      </c>
      <c r="L349" s="11" t="s">
        <v>1988</v>
      </c>
    </row>
    <row r="350" customFormat="false" ht="15" hidden="false" customHeight="false" outlineLevel="0" collapsed="false">
      <c r="A350" s="10" t="s">
        <v>1989</v>
      </c>
      <c r="B350" s="10" t="s">
        <v>1990</v>
      </c>
      <c r="C350" s="10" t="s">
        <v>1991</v>
      </c>
      <c r="D350" s="10" t="s">
        <v>1992</v>
      </c>
      <c r="E350" s="10" t="s">
        <v>1993</v>
      </c>
      <c r="F350" s="10" t="s">
        <v>1994</v>
      </c>
      <c r="G350" s="10" t="s">
        <v>74</v>
      </c>
      <c r="H350" s="10" t="str">
        <f aca="false">IF(G350="BUG","BUG-"&amp;A350,IF(G350="FUNCTIONAL","FUNCTIONAL-"&amp;A350,""))</f>
        <v/>
      </c>
      <c r="L350" s="11" t="s">
        <v>1995</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1996</v>
      </c>
    </row>
    <row r="2" customFormat="false" ht="15" hidden="false" customHeight="true" outlineLevel="0" collapsed="false">
      <c r="A2" s="4" t="s">
        <v>32</v>
      </c>
      <c r="B2" s="4" t="s">
        <v>1997</v>
      </c>
      <c r="D2" s="4" t="s">
        <v>27</v>
      </c>
      <c r="E2" s="4" t="s">
        <v>1998</v>
      </c>
    </row>
    <row r="3" customFormat="false" ht="15" hidden="false" customHeight="true" outlineLevel="0" collapsed="false">
      <c r="A3" s="6" t="s">
        <v>41</v>
      </c>
      <c r="B3" s="20" t="n">
        <f aca="false">COUNTIF('Test Case'!G:G,"OK")</f>
        <v>6</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254</v>
      </c>
      <c r="D6" s="6" t="s">
        <v>201</v>
      </c>
      <c r="E6" s="20" t="n">
        <f aca="false">COUNTIF('Test Case'!B:B,"Genitori - Attivita")</f>
        <v>16</v>
      </c>
    </row>
    <row r="7" customFormat="false" ht="15" hidden="false" customHeight="true" outlineLevel="0" collapsed="false">
      <c r="A7" s="8" t="s">
        <v>1999</v>
      </c>
      <c r="B7" s="21" t="n">
        <f aca="false">COUNTA('Test Case'!A2:A10000)</f>
        <v>349</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2026-07-15T09:23:01Z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