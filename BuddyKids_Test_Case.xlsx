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<sst xmlns="http://schemas.openxmlformats.org/spreadsheetml/2006/main" count="4647" uniqueCount="3013">
  <si>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</si>
  <si>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</si>
  <si>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</si>
  <si>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</si>
  <si>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</si>
  <si>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</si>
  <si>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</si>
  <si>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</si>
  <si>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</si>
  <si>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</si>
  <si>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</si>
  <si>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</si>
  <si>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</si>
  <si>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</si>
  <si>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</si>
  <si>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</si>
  <si>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</si>
  <si>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</si>
  <si>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</si>
  <si>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</si>
  <si>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</si>
  <si>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</si>
  <si>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</si>
  <si>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</si>
  <si>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</si>
  <si>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</si>
  <si>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</si>
  <si>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</si>
  <si>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</si>
  <si>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</si>
  <si>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</si>
  <si>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</si>
  <si>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</si>
  <si>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</si>
  <si>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</si>
  <si>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</si>
  <si>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</si>
  <si>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</si>
  <si>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</si>
  <si>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</si>
  <si>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</si>
  <si>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</si>
  <si>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</si>
  <si>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</si>
  <si>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</si>
  <si>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</si>
  <si>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</si>
  <si>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</si>
  <si>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</si>
  <si>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</si>
  <si>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</si>
  <si>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</si>
  <si>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</si>
  <si>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</si>
  <si>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</si>
  <si>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</si>
  <si>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</si>
  <si>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</si>
  <si>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</si>
  <si>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</si>
  <si>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</si>
  <si>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</si>
  <si>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</si>
  <si>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</si>
  <si>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</si>
  <si>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</si>
  <si>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</si>
  <si>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</si>
  <si>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</si>
  <si>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</si>
  <si>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</si>
  <si>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</si>
  <si>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</si>
  <si>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</si>
  <si>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</si>
  <si>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</si>
  <si>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</si>
  <si>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</si>
  <si>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</si>
  <si>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</si>
  <si>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</si>
  <si>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</si>
  <si>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</si>
  <si>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</si>
  <si>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</si>
  <si>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</si>
  <si>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</si>
  <si>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</si>
  <si>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</si>
  <si>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</si>
  <si>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</si>
  <si>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</si>
  <si>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</si>
  <si>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</si>
  <si>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</si>
  <si>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</si>
  <si>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</si>
  <si>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</si>
  <si>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</si>
  <si>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</si>
  <si>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</si>
  <si>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</si>
  <si>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</si>
  <si>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</si>
  <si>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</si>
  <si>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</si>
  <si>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</si>
  <si>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</si>
  <si>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</si>
  <si>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</si>
  <si>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</si>
  <si>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</si>
  <si>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</si>
  <si>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</si>
  <si>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</si>
  <si>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</si>
  <si>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</si>
  <si>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</si>
  <si>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</si>
  <si>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</si>
  <si>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</si>
  <si>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</si>
  <si>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</si>
  <si>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</si>
  <si>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</si>
  <si>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</si>
  <si>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</si>
  <si>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</si>
  <si>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</si>
  <si>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</si>
  <si>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</si>
  <si>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</si>
  <si>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</si>
  <si>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</si>
  <si>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</si>
  <si>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</si>
  <si>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</si>
  <si>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</si>
  <si>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</si>
  <si>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</si>
  <si>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</si>
  <si>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</si>
  <si>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</si>
  <si>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</si>
  <si>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</si>
  <si>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</si>
  <si>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</si>
  <si>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</si>
  <si>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</si>
  <si>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</si>
  <si>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</si>
  <si>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</si>
  <si>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</si>
  <si>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</si>
  <si>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</si>
  <si>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</si>
  <si>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</si>
  <si>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</si>
  <si>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</si>
  <si>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</si>
  <si>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</si>
  <si>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</si>
  <si>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</si>
  <si>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</si>
  <si>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</si>
  <si>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</si>
  <si>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</si>
  <si>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</si>
  <si>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</si>
  <si>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</si>
  <si>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</si>
  <si>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</si>
  <si>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</si>
  <si>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</si>
  <si>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</si>
  <si>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</si>
  <si>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</si>
  <si>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</si>
  <si>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</si>
  <si>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</si>
  <si>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</si>
  <si>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</si>
  <si>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</si>
  <si>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</si>
  <si>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</si>
  <si>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</si>
  <si>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</si>
  <si>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</si>
  <si>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</si>
  <si>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</si>
  <si>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</si>
  <si>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</si>
  <si>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</si>
  <si>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</si>
  <si>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</si>
  <si>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</si>
  <si>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</si>
  <si>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</si>
  <si>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</si>
  <si>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</si>
  <si>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</si>
  <si>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</si>
  <si>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</si>
  <si>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</si>
  <si>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</si>
  <si>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</si>
  <si>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</si>
  <si>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</si>
  <si>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</si>
  <si>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</si>
  <si>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</si>
  <si>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</si>
  <si>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</si>
  <si>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</si>
  <si>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</si>
  <si>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</si>
  <si>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</si>
  <si>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</si>
  <si>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</si>
  <si>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</si>
  <si>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</si>
  <si>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</si>
  <si>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</si>
  <si>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</si>
  <si>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</si>
  <si>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</si>
  <si>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</si>
  <si>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</si>
  <si>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</si>
  <si>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</si>
  <si>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</si>
  <si>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</si>
  <si>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</si>
  <si>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</si>
  <si>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</si>
  <si>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</si>
  <si>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</si>
  <si>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</si>
  <si>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</si>
  <si>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</si>
  <si>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</si>
  <si>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</si>
  <si>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</si>
  <si>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</si>
  <si>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</si>
  <si>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</si>
  <si>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</si>
  <si>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</si>
  <si>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</si>
  <si>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</si>
  <si>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</si>
  <si>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</si>
  <si>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</si>
  <si>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</si>
  <si>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</si>
  <si>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</si>
  <si>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</si>
  <si>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</si>
  <si>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</si>
  <si>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</si>
  <si>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</si>
  <si>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</si>
  <si>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</si>
  <si>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</si>
  <si>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</si>
  <si>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</si>
  <si>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</si>
  <si>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</si>
  <si>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</si>
  <si>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</si>
  <si>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</si>
  <si>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</si>
  <si>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</si>
  <si>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</si>
  <si>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</si>
  <si>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</si>
  <si>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</si>
  <si>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</si>
  <si>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</si>
  <si>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</si>
  <si>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</si>
  <si>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</si>
  <si>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</si>
  <si>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</si>
  <si>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</si>
  <si>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</si>
  <si>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</si>
  <si>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</si>
  <si>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</si>
  <si>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</si>
  <si>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</si>
  <si>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</si>
  <si>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</si>
  <si>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</si>
  <si>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</si>
  <si>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</si>
  <si>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</si>
  <si>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</si>
  <si>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</si>
  <si>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</si>
  <si>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</si>
  <si>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</si>
  <si>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</si>
  <si>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</si>
  <si>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</si>
  <si>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</si>
  <si>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</si>
  <si>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</si>
  <si>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</si>
  <si>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</si>
  <si>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</si>
  <si>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</si>
  <si>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</si>
  <si>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</si>
  <si>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</si>
  <si>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</si>
  <si>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</si>
  <si>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</si>
  <si>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</si>
  <si>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</si>
  <si>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</si>
  <si>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</si>
  <si>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</si>
  <si>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</si>
  <si>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</si>
  <si>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</si>
  <si>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</si>
  <si>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</si>
  <si>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</si>
  <si>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</si>
  <si>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</si>
  <si>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</si>
  <si>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</si>
  <si>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</si>
  <si>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</si>
  <si>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</si>
  <si>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</si>
  <si>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</si>
  <si>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</si>
  <si>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</si>
  <si>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</si>
  <si>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</si>
  <si>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</si>
  <si>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</si>
  <si>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</si>
  <si>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</si>
  <si>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</si>
  <si>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</si>
  <si>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</si>
  <si>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</si>
  <si>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</si>
  <si>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</si>
  <si>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</si>
  <si>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</si>
  <si>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</si>
  <si>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</si>
  <si>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</si>
  <si>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</si>
  <si>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</si>
  <si>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</si>
  <si>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</si>
  <si>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</si>
  <si>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</si>
  <si>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</si>
  <si>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</si>
  <si>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</si>
  <si>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</si>
  <si>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</si>
  <si>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</si>
  <si>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</si>
  <si>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</si>
  <si>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</si>
  <si>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</si>
  <si>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</si>
  <si>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</si>
  <si>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</si>
  <si>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</si>
  <si>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</si>
  <si>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</si>
  <si>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</si>
  <si>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</si>
  <si>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</si>
  <si>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</si>
  <si>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</si>
  <si>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</si>
  <si>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</si>
  <si>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</si>
  <si>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</si>
  <si>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</si>
  <si>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</si>
  <si>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</si>
  <si>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</si>
  <si>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</si>
  <si>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</si>
  <si>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</si>
  <si>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</si>
  <si>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</si>
  <si>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</si>
  <si>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</si>
  <si>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</si>
  <si>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</si>
  <si>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</si>
  <si>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</si>
  <si>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</si>
  <si>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</si>
  <si>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</si>
  <si>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</si>
  <si>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</si>
  <si>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</si>
  <si>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</si>
  <si>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</si>
  <si>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</si>
  <si>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</si>
  <si>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</si>
  <si>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</si>
  <si>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</si>
  <si>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</si>
  <si>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</si>
  <si>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</si>
  <si>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</si>
  <si>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</si>
  <si>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</si>
  <si>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</si>
  <si>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</si>
  <si>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</si>
  <si>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</si>
  <si>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</si>
  <si>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</si>
  <si>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</si>
  <si>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</si>
  <si>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</si>
  <si>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</si>
  <si>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</si>
  <si>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</si>
  <si>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</si>
  <si>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</si>
  <si>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</si>
  <si>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</si>
  <si>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</si>
  <si>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</si>
  <si>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</si>
  <si>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</si>
  <si>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</si>
  <si>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</si>
  <si>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</si>
  <si>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</si>
  <si>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</si>
  <si>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</si>
  <si>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</si>
  <si>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</si>
  <si>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</si>
  <si>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</si>
  <si>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</si>
  <si>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</si>
  <si>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</si>
  <si>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</si>
  <si>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</si>
  <si>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</si>
  <si>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</si>
  <si>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</si>
  <si>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</si>
  <si>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</si>
  <si>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</si>
  <si>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</si>
  <si>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</si>
  <si>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</si>
  <si>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</si>
  <si>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</si>
  <si>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</si>
  <si>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</si>
  <si>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</si>
  <si>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</si>
  <si>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</si>
  <si>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</si>
  <si>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</si>
  <si>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</si>
  <si>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</si>
  <si>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</si>
  <si>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</si>
  <si>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</si>
  <si>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</si>
  <si>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</si>
  <si>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</si>
  <si>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</si>
  <si>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</si>
  <si>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</si>
  <si>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</si>
  <si>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</si>
  <si>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</si>
  <si>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</si>
  <si>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</si>
  <si>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</si>
  <si>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</si>
  <si>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</si>
  <si>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</si>
  <si>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</si>
  <si>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</si>
  <si>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</si>
  <si>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</si>
  <si>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</si>
  <si>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</si>
  <si>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</si>
  <si>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</si>
  <si>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</si>
  <si>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</si>
  <si>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</si>
  <si>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</si>
  <si>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</si>
  <si>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</si>
  <si>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</si>
  <si>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</si>
  <si>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</si>
  <si>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</si>
  <si>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</si>
  <si>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</si>
  <si>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</si>
  <si>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</si>
  <si>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</si>
  <si>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</si>
  <si>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</si>
  <si>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</si>
  <si>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</si>
  <si>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</si>
  <si>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</si>
  <si>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</si>
  <si>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</si>
  <si>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</si>
  <si>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</si>
  <si>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</si>
  <si>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</si>
  <si>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</si>
  <si>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</si>
  <si>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</si>
  <si>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</si>
  <si>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</si>
  <si>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</si>
  <si>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</si>
  <si>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</si>
  <si>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</si>
  <si>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</si>
  <si>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</si>
  <si>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</si>
  <si>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</si>
  <si>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</si>
  <si>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</si>
  <si>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</si>
  <si>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</si>
  <si>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</si>
  <si>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</si>
  <si>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</si>
  <si>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</si>
  <si>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</si>
  <si>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</si>
  <si>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</si>
  <si>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</si>
  <si>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</si>
  <si>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</si>
  <si>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</si>
  <si>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</si>
  <si>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</si>
  <si>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</si>
  <si>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</si>
  <si>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</si>
  <si>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</si>
  <si>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</si>
  <si>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</si>
  <si>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</si>
  <si>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</si>
  <si>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</si>
  <si>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</si>
  <si>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</si>
  <si>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</si>
  <si>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</si>
  <si>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</si>
  <si>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</si>
  <si>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</si>
  <si>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</si>
  <si>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</si>
  <si>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</si>
  <si>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</si>
  <si>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</si>
  <si>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</si>
  <si>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</si>
  <si>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</si>
  <si>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</si>
  <si>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</si>
  <si>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</si>
  <si>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</si>
  <si>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</si>
  <si>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</si>
  <si>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</si>
  <si>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</si>
  <si>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</si>
  <si>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</si>
  <si>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</si>
  <si>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</si>
  <si>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</si>
  <si>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</si>
  <si>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</si>
  <si>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</si>
  <si>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</si>
  <si>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</si>
  <si>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</si>
  <si>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</si>
  <si>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</si>
  <si>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</si>
  <si>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</si>
  <si>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</si>
  <si>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</si>
  <si>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</si>
  <si>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</si>
  <si>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</si>
  <si>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</si>
  <si>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</si>
  <si>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</si>
  <si>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</si>
  <si>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</si>
  <si>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</si>
  <si>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</si>
  <si>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</si>
  <si>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</si>
  <si>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</si>
  <si>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</si>
  <si>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</si>
  <si>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</si>
  <si>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</si>
  <si>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</si>
  <si>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</si>
  <si>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</si>
  <si>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</si>
  <si>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</si>
  <si>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</si>
  <si>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</si>
  <si>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</si>
  <si>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</si>
  <si>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</si>
  <si>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</si>
  <si>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</si>
  <si>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</si>
  <si>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</si>
  <si>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</si>
  <si>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</si>
  <si>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</si>
  <si>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</si>
  <si>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</si>
  <si>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</si>
  <si>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</si>
  <si>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</si>
  <si>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</si>
  <si>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</si>
  <si>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</si>
  <si>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</si>
  <si>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</si>
  <si>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</si>
  <si>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</si>
  <si>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</si>
  <si>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</si>
  <si>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</si>
  <si>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</si>
  <si>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</si>
  <si>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</si>
  <si>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</si>
  <si>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</si>
  <si>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</si>
  <si>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</si>
  <si>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</si>
  <si>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</si>
  <si>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</si>
  <si>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</si>
  <si>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</si>
  <si>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</si>
  <si>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</si>
  <si>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</si>
  <si>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</si>
  <si>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</si>
  <si>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</si>
  <si>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</si>
  <si>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</si>
  <si>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</si>
  <si>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</si>
  <si>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</si>
  <si>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</si>
  <si>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</si>
  <si>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</si>
  <si>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</si>
  <si>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</si>
  <si>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</si>
  <si>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</si>
  <si>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</si>
  <si>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</si>
  <si>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</si>
  <si>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</si>
  <si>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</si>
  <si>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</si>
  <si>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</si>
  <si>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</si>
  <si>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</si>
  <si>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</si>
  <si>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</si>
  <si>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</si>
  <si>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</si>
  <si>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</si>
  <si>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</si>
  <si>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</si>
  <si>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</si>
  <si>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</si>
  <si>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</si>
  <si>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</si>
  <si>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</si>
  <si>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</si>
  <si>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</si>
  <si>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</si>
  <si>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</si>
  <si>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</si>
  <si>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</si>
  <si>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</si>
  <si>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</si>
  <si>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</si>
  <si>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</si>
  <si>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</si>
  <si>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</si>
  <si>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</si>
  <si>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</si>
  <si>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</si>
  <si>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</si>
  <si>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</si>
  <si>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</si>
  <si>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</si>
  <si>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</si>
  <si>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</si>
  <si>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</si>
  <si>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</si>
  <si>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</si>
  <si>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</si>
  <si>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</si>
  <si>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</si>
  <si>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</si>
  <si>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</si>
  <si>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</si>
  <si>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</si>
  <si>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</si>
  <si>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</si>
  <si>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</si>
  <si>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</si>
  <si>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</si>
  <si>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</si>
  <si>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</si>
  <si>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</si>
  <si>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</si>
  <si>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</si>
  <si>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</si>
  <si>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</si>
  <si>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</si>
  <si>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</si>
  <si>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</si>
  <si>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</si>
  <si>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</si>
  <si>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</si>
  <si>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</si>
  <si>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</si>
  <si>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</si>
  <si>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</si>
  <si>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</si>
  <si>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</si>
  <si>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</si>
  <si>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</si>
  <si>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</si>
  <si>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</si>
  <si>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</si>
  <si>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</si>
  <si>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</si>
  <si>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</si>
  <si>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</si>
  <si>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</si>
  <si>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</si>
  <si>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</si>
  <si>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</si>
  <si>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</si>
  <si>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</si>
  <si>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</si>
  <si>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</si>
  <si>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</si>
  <si>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</si>
  <si>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</si>
  <si>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</si>
  <si>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</si>
  <si>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</si>
  <si>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</si>
  <si>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</si>
  <si>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</si>
  <si>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</si>
  <si>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</si>
  <si>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</si>
  <si>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</si>
  <si>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</si>
  <si>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</si>
  <si>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</si>
  <si>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</si>
  <si>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</si>
  <si>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</si>
  <si>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</si>
  <si>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</si>
  <si>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</si>
  <si>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</si>
  <si>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</si>
  <si>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</si>
  <si>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</si>
  <si>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</si>
  <si>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</si>
  <si>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</si>
  <si>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</si>
  <si>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</si>
  <si>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</si>
  <si>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</si>
  <si>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</si>
  <si>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</si>
  <si>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</si>
  <si>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</si>
  <si>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</si>
  <si>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</si>
  <si>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</si>
  <si>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</si>
  <si>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</si>
  <si>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</si>
  <si>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</si>
  <si>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</si>
  <si>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</si>
  <si>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</si>
  <si>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</si>
  <si>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</si>
  <si>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</si>
  <si>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</si>
  <si>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</si>
  <si>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</si>
  <si>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</si>
  <si>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</si>
  <si>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</si>
  <si>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</si>
  <si>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</si>
  <si>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</si>
  <si>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</si>
  <si>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</si>
  <si>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</si>
  <si>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</si>
  <si>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</si>
  <si>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</si>
  <si>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</si>
  <si>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</si>
  <si>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</si>
  <si>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</si>
  <si>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</si>
  <si>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</si>
  <si>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</si>
  <si>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</si>
  <si>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</si>
  <si>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</si>
  <si>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</si>
  <si>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</si>
  <si>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</si>
  <si>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</si>
  <si>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</si>
  <si>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</si>
  <si>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</si>
  <si>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</si>
  <si>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</si>
  <si>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</si>
  <si>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</si>
  <si>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</si>
  <si>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</si>
  <si>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</si>
  <si>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</si>
  <si>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</si>
  <si>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</si>
  <si>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</si>
  <si>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</si>
  <si>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</si>
  <si>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</si>
  <si>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</si>
  <si>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</si>
  <si>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</si>
  <si>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</si>
  <si>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</si>
  <si>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</si>
  <si>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</si>
  <si>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</si>
  <si>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</si>
  <si>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</si>
  <si>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</si>
  <si>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</si>
  <si>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</si>
  <si>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</si>
  <si>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</si>
  <si>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</si>
  <si>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</si>
  <si>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</si>
  <si>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</si>
  <si>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</si>
  <si>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</si>
  <si>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</si>
  <si>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</si>
  <si>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</si>
  <si>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</si>
  <si>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</si>
  <si>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</si>
  <si>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</si>
  <si>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</si>
  <si>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</si>
  <si>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</si>
  <si>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</si>
  <si>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</si>
  <si>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</si>
  <si>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</si>
  <si>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</si>
  <si>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</si>
  <si>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</si>
  <si>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</si>
  <si>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</si>
  <si>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</si>
  <si>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</si>
  <si>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</si>
  <si>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</si>
  <si>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</si>
  <si>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</si>
  <si>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</si>
  <si>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</si>
  <si>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</si>
  <si>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</si>
  <si>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</si>
  <si>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</si>
  <si>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</si>
  <si>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</si>
  <si>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</si>
  <si>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</si>
  <si>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</si>
  <si>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</si>
  <si>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</si>
  <si>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</si>
  <si>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</si>
  <si>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</si>
  <si>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</si>
  <si>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</si>
  <si>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</si>
  <si>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</si>
  <si>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</si>
  <si>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</si>
  <si>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</si>
  <si>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</si>
  <si>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</si>
  <si>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</si>
  <si>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</si>
  <si>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</si>
  <si>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</si>
  <si>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</si>
  <si>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</si>
  <si>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</si>
  <si>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</si>
  <si>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</si>
  <si>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</si>
  <si>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</si>
  <si>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</si>
  <si>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</si>
  <si>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</si>
  <si>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</si>
  <si>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</si>
  <si>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</si>
  <si>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</si>
  <si>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</si>
  <si>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</si>
  <si>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</si>
  <si>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</si>
  <si>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</si>
  <si>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</si>
  <si>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</si>
  <si>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</si>
  <si>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</si>
  <si>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</si>
  <si>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</si>
  <si>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</si>
  <si>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</si>
  <si>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</si>
  <si>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</si>
  <si>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</si>
  <si>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</si>
  <si>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</si>
  <si>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</si>
  <si>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</si>
  <si>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</si>
  <si>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</si>
  <si>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</si>
  <si>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</si>
  <si>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</si>
  <si>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</si>
  <si>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</si>
  <si>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</si>
  <si>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</si>
  <si>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</si>
  <si>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</si>
  <si>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</si>
  <si>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</si>
  <si>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</si>
  <si>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</si>
  <si>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</si>
  <si>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</si>
  <si>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</si>
  <si>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</si>
  <si>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</si>
  <si>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</si>
  <si>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</si>
  <si>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</si>
  <si>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</si>
  <si>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</si>
  <si>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</si>
  <si>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</si>
  <si>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</si>
  <si>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</si>
  <si>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</si>
  <si>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</si>
  <si>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</si>
  <si>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</si>
  <si>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</si>
  <si>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</si>
  <si>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</si>
  <si>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</si>
  <si>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</si>
  <si>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</si>
  <si>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</si>
  <si>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</si>
  <si>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</si>
  <si>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</si>
  <si>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</si>
  <si>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</si>
  <si>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</si>
  <si>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</si>
  <si>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</si>
  <si>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</si>
  <si>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</si>
  <si>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</si>
  <si>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</si>
  <si>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</si>
  <si>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</si>
  <si>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</si>
  <si>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</si>
  <si>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</si>
  <si>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</si>
  <si>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</si>
  <si>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</si>
  <si>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</si>
  <si>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</si>
  <si>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</si>
  <si>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</si>
  <si>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</si>
  <si>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</si>
  <si>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</si>
  <si>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</si>
  <si>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</si>
  <si>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</si>
  <si>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</si>
  <si>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</si>
  <si>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</si>
  <si>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</si>
  <si>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</si>
  <si>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</si>
  <si>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</si>
  <si>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</si>
  <si>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</si>
  <si>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</si>
  <si>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</si>
  <si>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</si>
  <si>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</si>
  <si>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</si>
  <si>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</si>
  <si>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</si>
  <si>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</si>
  <si>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</si>
  <si>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</si>
  <si>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</si>
  <si>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</si>
  <si>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</si>
  <si>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</si>
  <si>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</si>
  <si>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</si>
  <si>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</si>
  <si>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</si>
  <si>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</si>
  <si>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</si>
  <si>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</si>
  <si>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</si>
  <si>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</si>
  <si>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</si>
  <si>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</si>
  <si>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</si>
  <si>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</si>
  <si>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</si>
  <si>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</si>
  <si>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</si>
  <si>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</si>
  <si>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</si>
  <si>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</si>
  <si>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</si>
  <si>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</si>
  <si>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</si>
  <si>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</si>
  <si>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</si>
  <si>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</si>
  <si>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</si>
  <si>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</si>
  <si>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</si>
  <si>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</si>
  <si>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</si>
  <si>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</si>
  <si>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</si>
  <si>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</si>
  <si>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</si>
  <si>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</si>
  <si>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</si>
  <si>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</si>
  <si>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</si>
  <si>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</si>
  <si>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</si>
  <si>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</si>
  <si>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</si>
  <si>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</si>
  <si>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</si>
  <si>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</si>
  <si>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</si>
  <si>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</si>
  <si>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</si>
  <si>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</si>
  <si>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</si>
  <si>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</si>
  <si>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</si>
  <si>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</si>
  <si>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</si>
  <si>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</si>
  <si>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</si>
  <si>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</si>
  <si>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</si>
  <si>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</si>
  <si>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</si>
  <si>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</si>
  <si>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</si>
  <si>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</si>
  <si>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</si>
  <si>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</si>
  <si>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</si>
  <si>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</si>
  <si>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</si>
  <si>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</si>
  <si>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</si>
  <si>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</si>
  <si>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</si>
  <si>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</si>
  <si>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</si>
  <si>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</si>
  <si>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</si>
  <si>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</si>
  <si>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</si>
  <si>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</si>
  <si>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</si>
  <si>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</si>
  <si>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</si>
  <si>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</si>
  <si>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</si>
  <si>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</si>
  <si>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</si>
  <si>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</si>
  <si>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</si>
  <si>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</si>
  <si>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</si>
  <si>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</si>
  <si>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</si>
  <si>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</si>
  <si>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</si>
  <si>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</si>
  <si>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</si>
  <si>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</si>
  <si>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</si>
  <si>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</si>
  <si>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</si>
  <si>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</si>
  <si>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</si>
  <si>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</si>
  <si>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</si>
  <si>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</si>
  <si>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</si>
  <si>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</si>
  <si>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</si>
  <si>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</si>
  <si>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</si>
  <si>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</si>
  <si>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</si>
  <si>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</si>
  <si>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</si>
  <si>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</si>
  <si>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</si>
  <si>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</si>
  <si>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</si>
  <si>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</si>
  <si>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</si>
  <si>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</si>
  <si>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</si>
  <si>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</si>
  <si>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</si>
  <si>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</si>
  <si>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</si>
  <si>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</si>
  <si>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</si>
  <si>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</si>
  <si>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</si>
  <si>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</si>
  <si>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</si>
  <si>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</si>
  <si>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</si>
  <si>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</si>
  <si>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</si>
  <si>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</si>
  <si>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</si>
  <si>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</si>
  <si>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</si>
  <si>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</si>
  <si>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</si>
  <si>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</si>
  <si>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</si>
  <si>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</si>
  <si>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</si>
  <si>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</si>
  <si>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</si>
  <si>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</si>
  <si>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</si>
  <si>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</si>
  <si>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</si>
  <si>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</si>
  <si>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</si>
  <si>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</si>
  <si>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</si>
  <si>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</si>
  <si>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</si>
  <si>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</si>
  <si>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</si>
  <si>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</si>
  <si>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</si>
  <si>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</si>
  <si>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</si>
  <si>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</si>
  <si>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</si>
  <si>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</si>
  <si>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</si>
  <si>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</si>
  <si>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</si>
  <si>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</si>
  <si>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</si>
  <si>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</si>
  <si>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</si>
  <si>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</si>
  <si>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</si>
  <si>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</si>
  <si>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</si>
  <si>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</si>
  <si>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</si>
  <si>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</si>
  <si>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</si>
  <si>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</si>
  <si>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</si>
  <si>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</si>
  <si>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</si>
  <si>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</si>
  <si>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</si>
  <si>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</si>
  <si>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</si>
  <si>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</si>
  <si>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</si>
  <si>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</si>
  <si>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</si>
  <si>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</si>
  <si>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</si>
  <si>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</si>
  <si>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</si>
  <si>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</si>
  <si>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</si>
  <si>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</si>
  <si>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</si>
  <si>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</si>
  <si>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</si>
  <si>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</si>
  <si>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</si>
  <si>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</si>
  <si>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</si>
  <si>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</si>
  <si>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</si>
  <si>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</si>
  <si>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</si>
  <si>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</si>
  <si>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</si>
  <si>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</si>
  <si>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</si>
  <si>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</si>
  <si>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</si>
  <si>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</si>
  <si>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</si>
  <si>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</si>
  <si>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</si>
  <si>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</si>
  <si>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</si>
  <si>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</si>
  <si>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</si>
  <si>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</si>
  <si>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</si>
  <si>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</si>
  <si>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</si>
  <si>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</si>
  <si>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</si>
  <si>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</si>
  <si>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</si>
  <si>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</si>
  <si>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</si>
  <si>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</si>
  <si>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</si>
  <si>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</si>
  <si>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</si>
  <si>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</si>
  <si>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</si>
  <si>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</si>
  <si>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</si>
  <si>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</si>
  <si>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</si>
  <si>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</si>
  <si>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</si>
  <si>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</si>
  <si>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</si>
  <si>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</si>
  <si>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</si>
  <si>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</si>
  <si>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</si>
  <si>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</si>
  <si>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</si>
  <si>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</si>
  <si>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</si>
  <si>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</si>
  <si>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</si>
  <si>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</si>
  <si>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</si>
  <si>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</si>
  <si>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</si>
  <si>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</si>
  <si>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</si>
  <si>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</si>
  <si>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</si>
  <si>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</si>
  <si>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</si>
  <si>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</si>
  <si>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</si>
  <si>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</si>
  <si>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</si>
  <si>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</si>
  <si>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</si>
  <si>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</si>
  <si>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</si>
  <si>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</si>
  <si>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</si>
  <si>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</si>
  <si>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</si>
  <si>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</si>
  <si>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</si>
  <si>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</si>
  <si>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</si>
  <si>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</si>
  <si>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</si>
  <si>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</si>
  <si>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</si>
  <si>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</si>
  <si>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</si>
  <si>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</si>
  <si>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</si>
  <si>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</si>
  <si>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</si>
  <si>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</si>
  <si>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</si>
  <si>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</si>
  <si>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</si>
  <si>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</si>
  <si>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</si>
  <si>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</si>
  <si>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</si>
  <si>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</si>
  <si>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</si>
  <si>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</si>
  <si>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</si>
  <si>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</si>
  <si>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</si>
  <si>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</si>
  <si>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</si>
  <si>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</si>
  <si>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</si>
  <si>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</si>
  <si>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</si>
  <si>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</si>
  <si>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</si>
  <si>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</si>
  <si>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</si>
  <si>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</si>
  <si>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</si>
  <si>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</si>
  <si>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</si>
  <si>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</si>
  <si>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</si>
  <si>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</si>
  <si>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</si>
  <si>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</si>
  <si>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</si>
  <si>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</si>
  <si>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</si>
  <si>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</si>
  <si>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</si>
  <si>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</si>
  <si>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</si>
  <si>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</si>
  <si>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</si>
  <si>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</si>
  <si>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</si>
  <si>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</si>
  <si>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</si>
  <si>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</si>
  <si>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</si>
  <si>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</si>
  <si>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</si>
  <si>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</si>
  <si>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</si>
  <si>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</si>
  <si>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</si>
  <si>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</si>
  <si>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</si>
  <si>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</si>
  <si>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</si>
  <si>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</si>
  <si>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</si>
  <si>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</si>
  <si>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</si>
  <si>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</si>
  <si>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</si>
  <si>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</si>
  <si>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</si>
  <si>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</si>
  <si>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</si>
  <si>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</si>
  <si>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</si>
  <si>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</si>
  <si>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</si>
  <si>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</si>
  <si>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</si>
  <si>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</si>
  <si>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</si>
  <si>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</si>
  <si>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</si>
  <si>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</si>
  <si>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</si>
  <si>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</si>
  <si>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</si>
  <si>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</si>
  <si>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</si>
  <si>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</si>
  <si>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</si>
  <si>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</si>
  <si>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</si>
  <si>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</si>
  <si>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</si>
  <si>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</si>
  <si>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</si>
  <si>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</si>
  <si>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</si>
  <si>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</si>
  <si>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</si>
  <si>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</si>
  <si>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</si>
  <si>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</si>
  <si>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</si>
  <si>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</si>
  <si>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</si>
  <si>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</si>
  <si>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</si>
  <si>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</si>
  <si>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</si>
  <si>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</si>
  <si>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</si>
  <si>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</si>
  <si>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</si>
  <si>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</si>
  <si>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</si>
  <si>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</si>
  <si>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</si>
  <si>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</si>
  <si>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</si>
  <si>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</si>
  <si>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</si>
  <si>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</si>
  <si>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</si>
  <si>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</si>
  <si>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</si>
  <si>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</si>
  <si>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</si>
  <si>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</si>
  <si>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</si>
  <si>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</si>
  <si>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</si>
  <si>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</si>
  <si>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</si>
  <si>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</si>
  <si>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</si>
  <si>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</si>
  <si>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</si>
  <si>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</si>
  <si>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</si>
  <si>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</si>
  <si>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</si>
  <si>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</si>
  <si>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</si>
  <si>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</si>
  <si>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</si>
  <si>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</si>
  <si>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</si>
  <si>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</si>
  <si>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</si>
  <si>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</si>
  <si>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</si>
  <si>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</si>
  <si>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</si>
  <si>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</si>
  <si>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</si>
  <si>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</si>
  <si>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</si>
  <si>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</si>
  <si>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</si>
  <si>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</si>
  <si>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</si>
  <si>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</si>
  <si>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</si>
  <si>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</si>
  <si>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</si>
  <si>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</si>
  <si>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</si>
  <si>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</si>
  <si>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</si>
  <si>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</si>
  <si>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</si>
  <si>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</si>
  <si>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</si>
  <si>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</si>
  <si>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</si>
  <si>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</si>
  <si>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</si>
  <si>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</si>
  <si>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</si>
  <si>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</si>
  <si>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</si>
  <si>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</si>
  <si>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</si>
  <si>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</si>
  <si>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</si>
  <si>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</si>
  <si>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</si>
  <si>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</si>
  <si>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</si>
  <si>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</si>
  <si>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</si>
  <si>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</si>
  <si>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</si>
  <si>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</si>
  <si>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</si>
  <si>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</si>
  <si>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</si>
  <si>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</si>
  <si>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</si>
  <si>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</si>
  <si>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</si>
  <si>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</si>
  <si>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</si>
  <si>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</si>
  <si>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</si>
  <si>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</si>
  <si>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</si>
  <si>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</si>
  <si>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</si>
  <si>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</si>
  <si>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</si>
  <si>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</si>
  <si>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</si>
  <si>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</si>
  <si>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</si>
  <si>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</si>
  <si>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</si>
  <si>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</si>
  <si>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</si>
  <si>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</si>
  <si>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</si>
  <si>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</si>
  <si>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</si>
  <si>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</si>
  <si>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</si>
  <si>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</si>
  <si>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</si>
  <si>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</si>
  <si>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</si>
  <si>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</si>
  <si>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</si>
  <si>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</si>
  <si>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</si>
  <si>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</si>
  <si>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</si>
  <si>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</si>
  <si>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</si>
  <si>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</si>
  <si>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</si>
  <si>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</si>
  <si>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</si>
  <si>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</si>
  <si>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</si>
  <si>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</si>
  <si>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</si>
  <si>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</si>
  <si>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</si>
  <si>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</si>
  <si>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</si>
  <si>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</si>
  <si>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</si>
  <si>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</si>
  <si>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</si>
  <si>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</si>
  <si>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</si>
  <si>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</si>
  <si>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</si>
  <si>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</si>
  <si>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</si>
  <si>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</si>
  <si>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</si>
  <si>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</si>
  <si>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</si>
  <si>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</si>
  <si>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</si>
  <si>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</si>
  <si>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</si>
  <si>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</si>
  <si>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</si>
  <si>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</si>
  <si>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</si>
  <si>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</si>
  <si>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</si>
  <si>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</si>
  <si>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</si>
  <si>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</si>
  <si>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</si>
  <si>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</si>
  <si>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</si>
  <si>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</si>
  <si>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</si>
  <si>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</si>
  <si>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</si>
  <si>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</si>
  <si>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</si>
  <si>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</si>
  <si>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</si>
  <si>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</si>
  <si>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</si>
  <si>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</si>
  <si>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</si>
  <si>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</si>
  <si>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</si>
  <si>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</si>
  <si>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</si>
  <si>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</si>
  <si>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</si>
  <si>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</si>
  <si>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</si>
  <si>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</si>
  <si>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</si>
  <si>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</si>
  <si>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</si>
  <si>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</si>
  <si>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</si>
  <si>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</si>
  <si>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</si>
  <si>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</si>
  <si>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</si>
  <si>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</si>
  <si>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</si>
  <si>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</si>
  <si>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</si>
  <si>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</si>
  <si>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</si>
  <si>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</si>
  <si>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</si>
  <si>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</si>
  <si>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</si>
  <si>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</si>
  <si>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</si>
  <si>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</si>
  <si>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</si>
  <si>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</si>
  <si>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</si>
  <si>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</si>
  <si>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</si>
  <si>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</si>
  <si>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</si>
  <si>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</si>
  <si>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</si>
  <si>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</si>
  <si>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</si>
  <si>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</si>
  <si>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</si>
  <si>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</si>
  <si>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</si>
  <si>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</si>
  <si>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</si>
  <si>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</si>
  <si>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</si>
  <si>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</si>
  <si>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</si>
  <si>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</si>
  <si>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</si>
  <si>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</si>
  <si>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</si>
  <si>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</si>
  <si>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</si>
  <si>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</si>
  <si>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</si>
  <si>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</si>
  <si>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</si>
  <si>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</si>
  <si>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</si>
  <si>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</si>
  <si>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</si>
  <si>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</si>
  <si>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</si>
  <si>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</si>
  <si>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</si>
  <si>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</si>
  <si>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</si>
  <si>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</si>
  <si>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</si>
  <si>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</si>
  <si>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</si>
  <si>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</si>
  <si>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</si>
  <si>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</si>
  <si>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</si>
  <si>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</si>
  <si>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</si>
  <si>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</si>
  <si>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</si>
  <si>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</si>
  <si>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</si>
  <si>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</si>
  <si>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</si>
  <si>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</si>
  <si>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</si>
  <si>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</si>
  <si>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</si>
  <si>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</si>
  <si>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</si>
  <si>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</si>
  <si>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</si>
  <si>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</si>
  <si>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</si>
  <si>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</si>
  <si>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</si>
  <si>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</si>
  <si>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</si>
  <si>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</si>
  <si>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</si>
  <si>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</si>
  <si>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</si>
  <si>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</si>
  <si>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</si>
  <si>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</si>
  <si>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</si>
  <si>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</si>
  <si>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</si>
  <si>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</si>
  <si>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</si>
  <si>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</si>
  <si>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</si>
  <si>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</si>
  <si>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</si>
  <si>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</si>
  <si>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</si>
  <si>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</si>
  <si>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</si>
  <si>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</si>
  <si>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</si>
  <si>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</si>
  <si>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</si>
  <si>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</si>
  <si>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</si>
  <si>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</si>
  <si>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</si>
  <si>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</si>
  <si>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</si>
  <si>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</si>
  <si>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</si>
  <si>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</si>
  <si>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</si>
  <si>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</si>
  <si>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</si>
  <si>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</si>
  <si>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</si>
  <si>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</si>
  <si>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</si>
  <si>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</si>
  <si>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</si>
  <si>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</si>
  <si>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</si>
  <si>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</si>
  <si>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</si>
  <si>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</si>
  <si>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</si>
  <si>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</si>
  <si>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</si>
  <si>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</si>
  <si>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</si>
  <si>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</si>
  <si>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</si>
  <si>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</si>
  <si>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</si>
  <si>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</si>
  <si>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</si>
  <si>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</si>
  <si>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</si>
  <si>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</si>
  <si>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</si>
  <si>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</si>
  <si>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</si>
  <si>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</si>
  <si>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</si>
  <si>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</si>
  <si>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</si>
  <si>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</si>
  <si>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</si>
  <si>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</si>
  <si>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</si>
  <si>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</si>
  <si>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</si>
  <si>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</si>
  <si>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</si>
  <si>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</si>
  <si>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</si>
  <si>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</si>
  <si>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</si>
  <si>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</si>
  <si>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</si>
  <si>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</si>
  <si>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</si>
  <si>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</si>
  <si>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</si>
  <si>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</si>
  <si>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</si>
  <si>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</si>
  <si>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</si>
  <si>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</si>
  <si>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</si>
  <si>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</si>
  <si>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</si>
  <si>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</si>
  <si>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</si>
  <si>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</si>
  <si>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</si>
  <si>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</si>
  <si>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</si>
  <si>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</si>
  <si>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</si>
  <si>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</si>
  <si>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</si>
  <si>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</si>
  <si>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</si>
  <si>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</si>
  <si>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</si>
  <si>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</si>
  <si>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</si>
  <si>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</si>
  <si>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</si>
  <si>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</si>
  <si>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</si>
  <si>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</si>
  <si>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</si>
  <si>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</si>
  <si>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</si>
  <si>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</si>
  <si>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</si>
  <si>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</si>
  <si>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</si>
  <si>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</si>
  <si>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</si>
  <si>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</si>
  <si>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</si>
  <si>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</si>
  <si>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</si>
  <si>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</si>
  <si>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</si>
  <si>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</si>
  <si>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</si>
  <si>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</si>
  <si>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</si>
  <si>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</si>
  <si>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</si>
  <si>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</si>
  <si>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</si>
  <si>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</si>
  <si>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</si>
  <si>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</si>
  <si>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</si>
  <si>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</si>
  <si>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</si>
  <si>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</si>
  <si>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</si>
  <si>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</si>
  <si>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</si>
  <si>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</si>
  <si>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</si>
  <si>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</si>
  <si>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</si>
  <si>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</si>
  <si>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</si>
  <si>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</si>
  <si>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</si>
  <si>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</si>
  <si>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</si>
  <si>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</si>
  <si>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</si>
  <si>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</si>
  <si>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</si>
  <si>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</si>
  <si>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</si>
  <si>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</si>
  <si>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</si>
  <si>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</si>
  <si>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</si>
  <si>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</si>
  <si>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</si>
  <si>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</si>
  <si>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</si>
  <si>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</si>
  <si>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</si>
  <si>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</si>
  <si>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</si>
  <si>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</si>
  <si>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</si>
  <si>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</si>
  <si>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</si>
  <si>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</si>
  <si>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</si>
  <si>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</si>
  <si>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</si>
  <si>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</si>
  <si>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</si>
  <si>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</si>
  <si>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</si>
  <si>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</si>
  <si>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</si>
  <si>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</si>
  <si>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</si>
  <si>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</si>
  <si>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</si>
  <si>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</si>
  <si>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</si>
  <si>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</si>
  <si>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</si>
  <si>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</si>
  <si>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</si>
  <si>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</si>
  <si>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</si>
  <si>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</si>
  <si>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</si>
  <si>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</si>
  <si>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</si>
  <si>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</si>
  <si>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</si>
  <si>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</si>
  <si>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</si>
  <si>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</si>
  <si>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</si>
  <si>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</si>
  <si>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</si>
  <si>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</si>
  <si>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</si>
  <si>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</si>
  <si>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</si>
  <si>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</si>
  <si>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</si>
  <si>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</si>
  <si>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</si>
  <si>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</si>
  <si>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</si>
  <si>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</si>
  <si>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</si>
  <si>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</si>
  <si>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</si>
  <si>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</si>
  <si>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</si>
  <si>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</si>
  <si>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</si>
  <si>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</si>
  <si>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</si>
  <si>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</si>
  <si>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</si>
  <si>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</si>
  <si>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</si>
  <si>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</si>
  <si>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</si>
  <si>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</si>
  <si>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</si>
  <si>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</si>
  <si>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</si>
  <si>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</si>
  <si>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</si>
  <si>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</si>
  <si>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</si>
  <si>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</si>
  <si>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</si>
  <si>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</si>
  <si>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</si>
  <si>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</si>
  <si>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</si>
  <si>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</si>
  <si>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</si>
  <si>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</si>
  <si>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</si>
  <si>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</si>
  <si>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</si>
  <si>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</si>
  <si>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</si>
  <si>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</si>
  <si>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</si>
  <si>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</si>
  <si>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</si>
  <si>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</si>
  <si>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</si>
  <si>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</si>
  <si>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</si>
  <si>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</si>
  <si>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</si>
  <si>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</si>
  <si>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</si>
  <si>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</si>
  <si>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</si>
  <si>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</si>
  <si>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</si>
  <si>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</si>
  <si>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</si>
  <si>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</si>
  <si>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</si>
  <si>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</si>
  <si>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</si>
  <si>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</si>
  <si>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</si>
  <si>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</si>
  <si>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</si>
  <si>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</si>
  <si>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</si>
  <si>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</si>
  <si>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</si>
  <si>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</si>
  <si>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</si>
  <si>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</si>
  <si>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</si>
  <si>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</si>
  <si>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</si>
  <si>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</si>
  <si>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</si>
  <si>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</si>
  <si>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</si>
  <si>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</si>
  <si>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</si>
  <si>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</si>
  <si>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</si>
  <si>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</si>
  <si>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</si>
  <si>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</si>
  <si>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</si>
  <si>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</si>
  <si>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</si>
  <si>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</si>
  <si>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</si>
  <si>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</si>
  <si>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</si>
  <si>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</si>
  <si>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</si>
  <si>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</si>
  <si>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</si>
  <si>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</si>
  <si>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</si>
  <si>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</si>
  <si>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</si>
  <si>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</si>
  <si>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</si>
  <si>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</si>
  <si>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</si>
  <si>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</si>
  <si>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</si>
  <si>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</si>
  <si>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</si>
  <si>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</si>
  <si>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</si>
  <si>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</si>
  <si>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</si>
  <si>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</si>
  <si>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</si>
  <si>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</si>
  <si>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</si>
  <si>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</si>
  <si>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</si>
  <si>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</si>
  <si>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</si>
  <si>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</si>
  <si>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</si>
  <si>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</si>
  <si>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</si>
  <si>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</si>
  <si>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</si>
  <si>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</si>
  <si>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</si>
  <si>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</si>
  <si>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</si>
  <si>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</si>
  <si>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</si>
  <si>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</si>
  <si>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</si>
  <si>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</si>
  <si>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</si>
  <si>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</si>
  <si>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</si>
  <si>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</si>
  <si>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</si>
  <si>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</si>
  <si>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</si>
  <si>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</si>
  <si>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</si>
  <si>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</si>
  <si>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</si>
  <si>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</si>
  <si>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</si>
  <si>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</si>
  <si>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</si>
  <si>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</si>
  <si>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</si>
  <si>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</si>
  <si>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</si>
  <si>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</si>
  <si>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</si>
  <si>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</si>
  <si>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</si>
  <si>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</si>
  <si>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</si>
  <si>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</si>
  <si>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</si>
  <si>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</si>
  <si>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</si>
  <si>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</si>
  <si>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</si>
  <si>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</si>
  <si>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</si>
  <si>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</si>
  <si>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</si>
  <si>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</si>
  <si>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</si>
  <si>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</si>
  <si>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</si>
  <si>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</si>
  <si>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</si>
  <si>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</si>
  <si>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</si>
  <si>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</si>
  <si>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</si>
  <si>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</si>
  <si>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</si>
  <si>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</si>
  <si>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</si>
  <si>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</si>
  <si>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</si>
  <si>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</si>
  <si>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</si>
  <si>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</si>
  <si>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</si>
  <si>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</si>
  <si>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</si>
  <si>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</si>
  <si>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</si>
  <si>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</si>
  <si>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</si>
  <si>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</si>
  <si>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</si>
  <si>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</si>
  <si>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</si>
  <si>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</si>
  <si>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</si>
  <si>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</si>
  <si>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</si>
  <si>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</si>
  <si>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</si>
  <si>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</si>
  <si>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</si>
  <si>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</si>
  <si>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</si>
  <si>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</si>
  <si>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</si>
  <si>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</si>
  <si>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</si>
  <si>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</si>
  <si>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</si>
  <si>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</si>
  <si>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</si>
  <si>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</si>
  <si>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</si>
  <si>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</si>
  <si>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</si>
  <si>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</si>
  <si>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</si>
  <si>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</si>
  <si>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</si>
  <si>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</si>
  <si>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</si>
  <si>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</si>
  <si>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</si>
  <si>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</si>
  <si>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</si>
  <si>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</si>
  <si>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</si>
  <si>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</si>
  <si>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</si>
  <si>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</si>
  <si>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</si>
  <si>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</si>
  <si>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</si>
  <si>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</si>
  <si>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</si>
  <si>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</si>
  <si>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</si>
  <si>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</si>
  <si>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</si>
  <si>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</si>
  <si>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</si>
  <si>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</si>
  <si>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</si>
  <si>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</si>
  <si>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</si>
  <si>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</si>
  <si>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</si>
  <si>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</si>
  <si>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</si>
  <si>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</si>
  <si>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</si>
  <si>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</si>
  <si>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</si>
  <si>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</si>
  <si>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</si>
  <si>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</si>
  <si>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</si>
  <si>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</si>
  <si>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</si>
  <si>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</si>
  <si>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</si>
  <si>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</si>
  <si>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</si>
  <si>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</si>
  <si>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</si>
  <si>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</si>
  <si>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</si>
  <si>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</si>
  <si>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</si>
  <si>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</si>
  <si>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</si>
  <si>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</si>
  <si>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</si>
  <si>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</si>
  <si>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</si>
  <si>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</si>
  <si>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</si>
  <si>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</si>
  <si>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</si>
  <si>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</si>
  <si>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</si>
  <si>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</si>
  <si>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</si>
  <si>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</si>
  <si>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</si>
  <si>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</si>
  <si>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</si>
  <si>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</si>
  <si>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</si>
  <si>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</si>
  <si>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</si>
  <si>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</si>
  <si>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</si>
  <si>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</si>
  <si>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</si>
  <si>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</si>
  <si>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</si>
  <si>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</si>
  <si>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</si>
  <si>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</si>
  <si>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</si>
  <si>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</si>
  <si>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</si>
  <si>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</si>
  <si>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</si>
  <si>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</si>
  <si>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</si>
  <si>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</si>
  <si>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</si>
  <si>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</si>
  <si>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</si>
  <si>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</si>
  <si>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</si>
  <si>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</si>
  <si>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</si>
  <si>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</si>
  <si>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</si>
  <si>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</si>
  <si>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</si>
  <si>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</si>
  <si>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</si>
  <si>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</si>
  <si>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</si>
  <si>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</si>
  <si>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</si>
  <si>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</si>
  <si>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</si>
  <si>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</si>
  <si>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</si>
  <si>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</si>
  <si>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</si>
  <si>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</si>
  <si>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</si>
  <si>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</si>
  <si>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</si>
  <si>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</si>
  <si>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</si>
  <si>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</si>
  <si>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</si>
  <si>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</si>
  <si>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</si>
  <si>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</si>
  <si>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</si>
  <si>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</si>
  <si>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</si>
  <si>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</si>
  <si>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</si>
  <si>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</si>
  <si>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</si>
  <si>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</si>
  <si>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</si>
  <si>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</si>
  <si>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</si>
  <si>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</si>
  <si>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</si>
  <si>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</si>
  <si>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</si>
  <si>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</si>
  <si>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</si>
  <si>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</si>
  <si>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</si>
  <si>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</si>
  <si>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</si>
  <si>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</si>
  <si>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</si>
  <si>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</si>
  <si>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</si>
  <si>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</si>
  <si>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</si>
  <si>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</si>
  <si>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</si>
  <si>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</si>
  <si>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</si>
  <si>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</si>
  <si>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</si>
  <si>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</si>
  <si>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</si>
  <si>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</si>
  <si>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</si>
  <si>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</si>
  <si>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</si>
  <si>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</si>
  <si>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</si>
  <si>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</si>
  <si>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</si>
  <si>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</si>
  <si>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</si>
  <si>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</si>
  <si>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</si>
  <si>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</si>
  <si>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</si>
  <si>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</si>
  <si>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</si>
  <si>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</si>
  <si>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</si>
  <si>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</si>
  <si>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</si>
  <si>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</si>
  <si>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</si>
  <si>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</si>
  <si>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</si>
  <si>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</si>
  <si>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</si>
  <si>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</si>
  <si>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</si>
  <si>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</si>
  <si>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</si>
  <si>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</si>
  <si>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</si>
  <si>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</si>
  <si>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</si>
  <si>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</si>
  <si>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</si>
  <si>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</si>
  <si>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</si>
  <si>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</si>
  <si>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</si>
  <si>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</si>
  <si>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</si>
  <si>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</si>
  <si>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</si>
  <si>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</si>
  <si>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</si>
  <si>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</si>
  <si>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</si>
  <si>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</si>
  <si>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</si>
  <si>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</si>
  <si>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</si>
  <si>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</si>
  <si>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</si>
  <si>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</si>
  <si>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</si>
  <si>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</si>
  <si>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</si>
  <si>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</si>
  <si>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</si>
  <si>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</si>
  <si>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</si>
  <si>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</si>
  <si>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</si>
  <si>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</si>
  <si>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</si>
  <si>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</si>
  <si>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</si>
  <si>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</si>
  <si>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</si>
  <si>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</si>
  <si>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</si>
  <si>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</si>
  <si>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</si>
  <si>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</si>
  <si>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</si>
  <si>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</si>
  <si>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</si>
  <si>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</si>
  <si>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</si>
  <si>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</si>
  <si>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</si>
  <si>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</si>
  <si>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</si>
  <si>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</si>
  <si>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</si>
  <si>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</si>
  <si>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</si>
  <si>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</si>
  <si>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</si>
  <si>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</si>
  <si>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</si>
  <si>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</si>
  <si>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</si>
  <si>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</si>
  <si>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</si>
  <si>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</si>
  <si>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</si>
  <si>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</si>
  <si>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</si>
  <si>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</si>
  <si>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</si>
  <si>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</si>
  <si>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</si>
  <si>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</si>
  <si>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</si>
  <si>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</si>
  <si>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</si>
  <si>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</si>
  <si>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</si>
  <si>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</si>
  <si>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</si>
  <si>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</si>
  <si>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</si>
  <si>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</si>
  <si>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</si>
  <si>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</si>
  <si>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</si>
  <si>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</si>
  <si>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</si>
  <si>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</si>
  <si>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</si>
  <si>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</si>
  <si>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</si>
  <si>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</si>
  <si>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</si>
  <si>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</si>
  <si>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</si>
  <si>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</si>
  <si>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</si>
  <si>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</si>
  <si>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</si>
  <si>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</si>
  <si>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</si>
  <si>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</si>
  <si>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</si>
  <si>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</si>
  <si>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</si>
  <si>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</si>
  <si>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</si>
  <si>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</si>
  <si>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</si>
  <si>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</si>
  <si>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</si>
  <si>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</si>
  <si>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</si>
  <si>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</si>
  <si>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</si>
  <si>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</si>
  <si>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</si>
  <si>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</si>
  <si>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</si>
  <si>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</si>
  <si>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</si>
  <si>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</si>
  <si>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</si>
  <si>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</si>
  <si>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</si>
  <si>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</si>
  <si>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</si>
  <si>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</si>
  <si>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</si>
  <si>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</si>
  <si>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</si>
  <si>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</si>
  <si>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</si>
  <si>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</si>
  <si>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</si>
  <si>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</si>
  <si>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</si>
  <si>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</si>
  <si>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</si>
  <si>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</si>
  <si>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</si>
  <si>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</si>
  <si>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</si>
  <si>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</si>
  <si>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</si>
  <si>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</si>
  <si>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</si>
  <si>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</si>
  <si>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</si>
  <si>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</si>
  <si>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</si>
  <si>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</si>
  <si>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</si>
  <si>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</si>
  <si>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</si>
  <si>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</si>
  <si>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</si>
  <si>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</si>
  <si>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</si>
  <si>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</si>
  <si>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</si>
  <si>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</si>
  <si>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</si>
  <si>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</si>
  <si>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</si>
  <si>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</si>
  <si>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</si>
  <si>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</si>
  <si>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</si>
  <si>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</si>
  <si>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</si>
  <si>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</si>
  <si>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</si>
  <si>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</si>
  <si>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</si>
  <si>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</si>
  <si>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</si>
  <si>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</si>
  <si>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</si>
  <si>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</si>
  <si>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</si>
  <si>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</si>
  <si>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</si>
  <si>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</si>
  <si>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</si>
  <si>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</si>
  <si>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</si>
  <si>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</si>
  <si>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</si>
  <si>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</si>
  <si>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</si>
  <si>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</si>
  <si>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</si>
  <si>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</si>
  <si>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</si>
  <si>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</si>
  <si>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</si>
  <si>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</si>
  <si>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</si>
  <si>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</si>
  <si>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</si>
  <si>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</si>
  <si>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</si>
  <si>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</si>
  <si>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</si>
  <si>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</si>
  <si>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</si>
  <si>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</si>
  <si>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</si>
  <si>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</si>
  <si>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</si>
  <si>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</si>
  <si>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</si>
  <si>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</si>
  <si>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</si>
  <si>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</si>
  <si>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</si>
  <si>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</si>
  <si>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</si>
  <si>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</si>
  <si>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</si>
  <si>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</si>
  <si>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</si>
  <si>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</si>
  <si>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</si>
  <si>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</si>
  <si>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</si>
  <si>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</si>
  <si>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</si>
  <si>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</si>
  <si>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</si>
  <si>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</si>
  <si>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</si>
  <si>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</si>
  <si>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</si>
  <si>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</si>
  <si>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</si>
  <si>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</si>
  <si>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</si>
  <si>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</si>
  <si>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</si>
  <si>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</si>
  <si>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</si>
  <si>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</si>
  <si>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</si>
  <si>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</si>
  <si>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</si>
  <si>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</si>
  <si>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</si>
  <si>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</si>
  <si>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</si>
  <si>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</si>
  <si>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</si>
  <si>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</si>
  <si>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</si>
  <si>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</si>
  <si>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</si>
  <si>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</si>
  <si>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</si>
  <si>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</si>
  <si>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</si>
  <si>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</si>
  <si>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</si>
  <si>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</si>
  <si>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</si>
  <si>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</si>
  <si>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</si>
  <si>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</si>
  <si>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</si>
  <si>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</si>
  <si>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</si>
  <si>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</si>
  <si>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</si>
  <si>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</si>
  <si>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</si>
  <si>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</si>
  <si>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</si>
  <si>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</si>
  <si>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</si>
  <si>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</si>
  <si>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</si>
  <si>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</si>
  <si>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</si>
  <si>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</si>
  <si>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</si>
  <si>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</si>
  <si>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</si>
  <si>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</si>
  <si>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</si>
  <si>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</si>
  <si>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</si>
  <si>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</si>
  <si>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</si>
  <si>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</si>
  <si>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</si>
  <si>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</si>
  <si>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</si>
  <si>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</si>
  <si>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</si>
  <si>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</si>
  <si>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</si>
  <si>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</si>
  <si>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</si>
  <si>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</si>
  <si>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</si>
  <si>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</si>
  <si>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</si>
  <si>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</si>
  <si>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</si>
  <si>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</si>
  <si>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</si>
  <si>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</si>
  <si>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</si>
  <si>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</si>
  <si>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</si>
  <si>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</si>
  <si>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</si>
  <si>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</si>
  <si>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</si>
  <si>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</si>
  <si>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</si>
  <si>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</si>
  <si>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</si>
  <si>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</si>
  <si>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</si>
  <si>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</si>
  <si>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</si>
  <si>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</si>
  <si>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</si>
  <si>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</si>
  <si>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</si>
  <si>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</si>
  <si>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</si>
  <si>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</si>
  <si>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</si>
  <si>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</si>
  <si>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</si>
  <si>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</si>
  <si>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</si>
  <si>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</si>
  <si>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</si>
  <si>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</si>
  <si>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</si>
  <si>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</si>
  <si>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</si>
  <si>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</si>
  <si>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</si>
  <si>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</si>
  <si>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</si>
  <si>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</si>
  <si>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</si>
  <si>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</si>
  <si>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</si>
  <si>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</si>
  <si>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</si>
  <si>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</si>
  <si>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</si>
  <si>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</si>
  <si>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</si>
  <si>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</si>
  <si>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</si>
  <si>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</si>
  <si>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</si>
  <si>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</si>
  <si>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</si>
  <si>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</si>
  <si>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</si>
  <si>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</si>
  <si>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</si>
  <si>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</si>
  <si>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</si>
  <si>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</si>
  <si>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</si>
  <si>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</si>
  <si>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</si>
  <si>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</si>
  <si>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</si>
  <si>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</si>
  <si>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</si>
  <si>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</si>
  <si>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</si>
  <si>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</si>
  <si>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</si>
  <si>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</si>
  <si>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</si>
  <si>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</si>
  <si>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</si>
  <si>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</si>
  <si>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</si>
  <si>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</si>
  <si>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</si>
  <si>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</si>
  <si>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</si>
  <si>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</si>
  <si>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</si>
  <si>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</si>
  <si>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</si>
  <si>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</si>
  <si>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</si>
  <si>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</si>
  <si>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</si>
  <si>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</si>
  <si>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</si>
  <si>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</si>
  <si>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</si>
  <si>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</si>
  <si>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</si>
  <si>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</si>
  <si>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</si>
  <si>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</si>
  <si>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</si>
  <si>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</si>
  <si>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</si>
  <si>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</si>
  <si>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</si>
  <si>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</si>
  <si>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</si>
  <si>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</si>
  <si>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</si>
  <si>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</si>
  <si>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</si>
  <si>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</si>
  <si>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</si>
  <si>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</si>
  <si>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</si>
  <si>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</si>
  <si>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</si>
  <si>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</si>
  <si>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</si>
  <si>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</si>
  <si>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</si>
  <si>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</si>
  <si>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</si>
  <si>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</si>
  <si>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</si>
  <si>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</si>
  <si>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</si>
  <si>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</si>
  <si>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</si>
  <si>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</si>
  <si>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</si>
  <si>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</si>
  <si>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</si>
  <si>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</si>
  <si>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</si>
  <si>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</si>
  <si>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</si>
  <si>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</si>
  <si>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</si>
  <si>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</si>
  <si>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</si>
  <si>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</si>
  <si>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</si>
  <si>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LEGAL-01</t>
  </si>
  <si>
    <t xml:space="preserve">Legal Gate - Privacy/Termini [no browser]</t>
  </si>
  <si>
    <t xml:space="preserve">deriveDocumentStatus: published_at NULL -&gt; draft</t>
  </si>
  <si>
    <t xml:space="preserve">deriveDocumentStatus(doc con published_at=null, [doc])</t>
  </si>
  <si>
    <t xml:space="preserve">Ritorna 'draft'</t>
  </si>
  <si>
    <t xml:space="preserve">PASS AUTOMATED</t>
  </si>
  <si>
    <t xml:space="preserve">#573</t>
  </si>
  <si>
    <t xml:space="preserve">Test puro [no browser], tests/one/legal-gate.spec.ts. Eseguito con successo in questo sandbox.</t>
  </si>
  <si>
    <t xml:space="preserve">LEGAL-02</t>
  </si>
  <si>
    <t xml:space="preserve">deriveDocumentStatus: unica riga pubblicata -&gt; published</t>
  </si>
  <si>
    <t xml:space="preserve">deriveDocumentStatus(doc pubblicato, [doc])</t>
  </si>
  <si>
    <t xml:space="preserve">Ritorna 'published'</t>
  </si>
  <si>
    <t xml:space="preserve">Test puro [no browser]. Eseguito con successo.</t>
  </si>
  <si>
    <t xml:space="preserve">LEGAL-03</t>
  </si>
  <si>
    <t xml:space="preserve">deriveDocumentStatus: riga precedente -&gt; superseded</t>
  </si>
  <si>
    <t xml:space="preserve">deriveDocumentStatus(riga vecchia, [vecchia, nuova])</t>
  </si>
  <si>
    <t xml:space="preserve">La riga vecchia ritorna 'superseded', la nuova 'published'</t>
  </si>
  <si>
    <t xml:space="preserve">LEGAL-04</t>
  </si>
  <si>
    <t xml:space="preserve">Legal Gate - Feature Flag [no browser]</t>
  </si>
  <si>
    <t xml:space="preserve">Registry: LEGAL_TERMS_GATE esiste con defaultValue=false</t>
  </si>
  <si>
    <t xml:space="preserve">Nessuna (lettura registry statico)</t>
  </si>
  <si>
    <t xml:space="preserve">isKnownFlag('LEGAL_TERMS_GATE'), FEATURE_FLAG_REGISTRY.LEGAL_TERMS_GATE.defaultValue</t>
  </si>
  <si>
    <t xml:space="preserve">true / false</t>
  </si>
  <si>
    <t xml:space="preserve">#566</t>
  </si>
  <si>
    <t xml:space="preserve">Test puro [no browser]. Eseguito con successo — garantisce che il flag resti spento di default.</t>
  </si>
  <si>
    <t xml:space="preserve">LEGAL-05</t>
  </si>
  <si>
    <t xml:space="preserve">Registry: allowedScopes coerenti</t>
  </si>
  <si>
    <t xml:space="preserve">getFlagDefinition('LEGAL_TERMS_GATE').allowedScopes</t>
  </si>
  <si>
    <t xml:space="preserve">Include almeno global/environment/user/role/cohort</t>
  </si>
  <si>
    <t xml:space="preserve">LEGAL-06</t>
  </si>
  <si>
    <t xml:space="preserve">evaluateFlag: nessun override -&gt; default (false)</t>
  </si>
  <si>
    <t xml:space="preserve">evaluateFlag('LEGAL_TERMS_GATE', {}, [])</t>
  </si>
  <si>
    <t xml:space="preserve">false</t>
  </si>
  <si>
    <t xml:space="preserve">Test puro [no browser]. Conferma lo stato di produzione oggi (nessun override globale scritto).</t>
  </si>
  <si>
    <t xml:space="preserve">LEGAL-07</t>
  </si>
  <si>
    <t xml:space="preserve">evaluateFlag: override scope=user enabled=true -&gt; true</t>
  </si>
  <si>
    <t xml:space="preserve">evaluateFlag con override user:userId enabled=true</t>
  </si>
  <si>
    <t xml:space="preserve">true</t>
  </si>
  <si>
    <t xml:space="preserve">Test puro [no browser]. Verifica che l'attivazione per un singolo account di test funzionerebbe.</t>
  </si>
  <si>
    <t xml:space="preserve">LEGAL-08</t>
  </si>
  <si>
    <t xml:space="preserve">evaluateFlag: override scope=global enabled=false esplicito -&gt; false</t>
  </si>
  <si>
    <t xml:space="preserve">evaluateFlag con override global enabled=false</t>
  </si>
  <si>
    <t xml:space="preserve">false (nessuna sorpresa)</t>
  </si>
  <si>
    <t xml:space="preserve">LEGAL-09</t>
  </si>
  <si>
    <t xml:space="preserve">Legal Gate - Route pubbliche</t>
  </si>
  <si>
    <t xml:space="preserve">/terms raggiungibile senza login</t>
  </si>
  <si>
    <t xml:space="preserve">Nessuna (route pubblica)</t>
  </si>
  <si>
    <t xml:space="preserve">goto /terms senza sessione</t>
  </si>
  <si>
    <t xml:space="preserve">Heading 'Termini di Servizio' visibile, testo 'Documento in preparazione' o versione (0 documenti PUBLISHED oggi)</t>
  </si>
  <si>
    <t xml:space="preserve">REQUIRES LIVE DEPLOY</t>
  </si>
  <si>
    <t xml:space="preserve">#569</t>
  </si>
  <si>
    <t xml:space="preserve">Richiede deploy live (test.skip(!isRealDeployment)). Non eseguibile in questo sandbox.</t>
  </si>
  <si>
    <t xml:space="preserve">LEGAL-10</t>
  </si>
  <si>
    <t xml:space="preserve">/privacy raggiungibile senza login</t>
  </si>
  <si>
    <t xml:space="preserve">goto /privacy senza sessione</t>
  </si>
  <si>
    <t xml:space="preserve">Heading 'Informativa Privacy' visibile, testo 'Documento in preparazione' o versione</t>
  </si>
  <si>
    <t xml:space="preserve">LEGAL-11</t>
  </si>
  <si>
    <t xml:space="preserve">Legal Gate - Signup</t>
  </si>
  <si>
    <t xml:space="preserve">Signup Parent: nessun checkbox Termini/Privacy/Marketing con gate OFF</t>
  </si>
  <si>
    <t xml:space="preserve">goto /auth/login -&gt; Registrati</t>
  </si>
  <si>
    <t xml:space="preserve">Nessun testo 'Termini di servizio'/'comunicazioni commerciali' visibile (LEGAL_TERMS_GATE risolve false)</t>
  </si>
  <si>
    <t xml:space="preserve">#568</t>
  </si>
  <si>
    <t xml:space="preserve">Richiede deploy live. Regressione: verifica che il gate OFF non alteri il signup esistente.</t>
  </si>
  <si>
    <t xml:space="preserve">LEGAL-12</t>
  </si>
  <si>
    <t xml:space="preserve">Signup Parent: messaggio post-submit invariato con gate OFF</t>
  </si>
  <si>
    <t xml:space="preserve">goto /auth/login -&gt; Registrati -&gt; verifica UI form</t>
  </si>
  <si>
    <t xml:space="preserve">Bottone 'Registrati' visibile, nessuna regressione testuale</t>
  </si>
  <si>
    <t xml:space="preserve">Richiede deploy live. Copertura equivalente via LEGAL-06 (evaluateFlag false).</t>
  </si>
  <si>
    <t xml:space="preserve">LEGAL-13</t>
  </si>
  <si>
    <t xml:space="preserve">Legal Gate - Creazione bambino</t>
  </si>
  <si>
    <t xml:space="preserve">AddKidForm: nessun checkbox dichiarazione genitoriale con gate OFF</t>
  </si>
  <si>
    <t xml:space="preserve">Login Parent reale</t>
  </si>
  <si>
    <t xml:space="preserve">Login Parent -&gt; Profilo -&gt; Bambini -&gt; Aggiungi bambino</t>
  </si>
  <si>
    <t xml:space="preserve">Nessun checkbox dichiarazione genitoriale visibile (LEGAL_TERMS_GATE risolve false)</t>
  </si>
  <si>
    <t xml:space="preserve">PASS STATIC</t>
  </si>
  <si>
    <t xml:space="preserve">#570</t>
  </si>
  <si>
    <t xml:space="preserve">Richiede login Parent reale + navigazione. Copertura equivalente gia' garantita da LEGAL-06 + revisione statica del gating.</t>
  </si>
  <si>
    <t xml:space="preserve">LEGAL-14</t>
  </si>
  <si>
    <t xml:space="preserve">Legal Gate - Marketing consent</t>
  </si>
  <si>
    <t xml:space="preserve">Impostazioni: updateMarketingConsentAction aggiorna ancora il consenso (regressione)</t>
  </si>
  <si>
    <t xml:space="preserve">Login Parent -&gt; Impostazioni Privacy -&gt; toggle consenso marketing</t>
  </si>
  <si>
    <t xml:space="preserve">profiles.marketing_consent aggiornato, nessuna regressione visibile (estensione consent_events invisibile lato UI)</t>
  </si>
  <si>
    <t xml:space="preserve">#567</t>
  </si>
  <si>
    <t xml:space="preserve">Copertura di regressione equivalente gia' garantita dalla suite Impostazioni Privacy esistente.</t>
  </si>
  <si>
    <t xml:space="preserve">LEGAL-15</t>
  </si>
  <si>
    <t xml:space="preserve">Legal Gate - RLS</t>
  </si>
  <si>
    <t xml:space="preserve">legal_documents: SELECT anonimo scoperto a solo CURRENT PUBLISHED (migration_29)</t>
  </si>
  <si>
    <t xml:space="preserve">Verifica read-only via Supabase MCP live (MIGRATION_29 LIVE POST-CHECK, task #605, 25/08/2026) — non piu' il baseline migration_27</t>
  </si>
  <si>
    <t xml:space="preserve">Transazione con ROLLBACK: insert 3 righe test (DRAFT/SUPERSEDED/CURRENT) -&gt; set local role anon -&gt; SELECT -&gt; rollback (nessun dato persistito)</t>
  </si>
  <si>
    <t xml:space="preserve">anon vede SOLO la riga CURRENT PUBLISHED (1 riga); DRAFT e SUPERSEDED invisibili; nessun errore 42P17 (ricorsione migration_28 risolta)</t>
  </si>
  <si>
    <t xml:space="preserve">#572</t>
  </si>
  <si>
    <t xml:space="preserve">Verificato LIVE il 25/08/2026 con query dirette in transazione (BEGIN...ROLLBACK, nessuna fixture persistita) contro il progetto Supabase eagsgfxunwyyxwwilldy — non un test Playwright automatizzato, ma un'esecuzione SQL reale (piu' forte di una semplice lettura di pg_policies). STORIA: migration_27 dava 'to authenticated' soltanto (nessun anon) -&gt; migration_28 introduceva un anon SELECT ma con bug di ricorsione (42P17, MAI applicato in produzione con successo) -&gt; migration_29 (LIVE) risolve la ricorsione e scopre l'accesso anonimo al solo documento CURRENT PUBLISHED per document_type in ('terms','privacy_notice').</t>
  </si>
  <si>
    <t xml:space="preserve">LEGAL-16</t>
  </si>
  <si>
    <t xml:space="preserve">parental_declarations: INSERT rifiuta un kid_id non del genitore</t>
  </si>
  <si>
    <t xml:space="preserve">Verifica read-only via Supabase MCP (POST-CHECK migration_27)</t>
  </si>
  <si>
    <t xml:space="preserve">Lettura policy live: WITH CHECK auth.uid()=parent_user_id AND EXISTS kids.parent_id=parent_user_id</t>
  </si>
  <si>
    <t xml:space="preserve">Struttura della policy verificata coerente con il requisito (verificato)</t>
  </si>
  <si>
    <t xml:space="preserve">Verifica STATICA (lettura policy), non un test Playwright eseguito. Prova comportamentale reale richiederebbe 2 account Parent di test con bambini reciprocamente noti (fixture TEST-marked non create) — deferita a Fabrizio o a una futura estensione E2E.</t>
  </si>
  <si>
    <t xml:space="preserve">TC-N658</t>
  </si>
  <si>
    <t xml:space="preserve">Genitore - Modifica prenotazione Giorni spot (add/remove)</t>
  </si>
  <si>
    <t xml:space="preserve">Segnalazione Fabrizio 25/08/2026 ('Modifica prenotazione... perche' non da opzioni?'): il genitore puo' aggiungere e rimuovere giorni singoli da una prenotazione a Giorni spot gia' effettuata, non solo annullarla</t>
  </si>
  <si>
    <t xml:space="preserve">Login parent; prenotazione a Giorni spot esistente (creata via TC-N501/TC-N500), fuori dalla finestra di preavviso del centro</t>
  </si>
  <si>
    <t xml:space="preserve">Da /prenotazioni apri 'Modifica' sulla prenotazione a giorni -&gt; osserva la griglia Lun-Ven interattiva -&gt; aggiungi un giorno disponibile -&gt; 'Salva modifiche'</t>
  </si>
  <si>
    <t xml:space="preserve">L'avviso 'La modifica delle date non e' ancora supportata' e' sparito; la griglia mostra i giorni gia' prenotati come 'Incluso' e permette di aggiungerne/rimuoverne; dopo il salvataggio il totale e i giorni prenotati (booking_days) riflettono la nuova selezione, con prezzo congelato sui giorni mantenuti e prezzo fresco sui giorni nuovi</t>
  </si>
  <si>
    <t xml:space="preserve">#602-604</t>
  </si>
  <si>
    <t xml:space="preserve">Test automatizzato: tests/genitori/giorni-spot.spec.ts, TC-N658 (gated su isRealDeployment + dati STEP 7 seed-test-data.sql). Nuova server action updateBookingDaysAction (app/actions/bookings.ts) + editor in ModificaPrenotazioneClient.tsx. Rimozione rilascia capacita' se gia' decrementata; aggiunta richiede disponibilita' residua sul giorno. Nessuna granularita' aggiuntiva sulla finestra di cancellazione (stesso gate singolo gia' usato per le settimane, vedi checkCancellationWindowForDays).</t>
  </si>
  <si>
    <t xml:space="preserve">LEGAL-17</t>
  </si>
  <si>
    <t xml:space="preserve">Legal Gate - Existing users [no browser]</t>
  </si>
  <si>
    <t xml:space="preserve">requiresLegalAcceptanceBeforeAccess: tabella di verita' completa (4 casi)</t>
  </si>
  <si>
    <t xml:space="preserve">requiresLegalAcceptanceBeforeAccess(gateEnabled, hasAccepted) per le 4 combinazioni booleane</t>
  </si>
  <si>
    <t xml:space="preserve">true SOLO quando gate=true E hasAccepted=false; false negli altri 3 casi (fail-closed, mai un blocco a sorpresa quando il gate e' OFF)</t>
  </si>
  <si>
    <t xml:space="preserve">#579</t>
  </si>
  <si>
    <t xml:space="preserve">Test puro [no browser], tests/one/legal-gate.spec.ts. Eseguito con successo in questo sandbox (npx playwright test tests/one/legal-gate.spec.ts, 25/08/2026).</t>
  </si>
  <si>
    <t xml:space="preserve">LEGAL-18</t>
  </si>
  <si>
    <t xml:space="preserve">Legal Gate - Marketing consent [no browser]</t>
  </si>
  <si>
    <t xml:space="preserve">shouldRecordMarketingConsentAtSignup: checkbox NON spuntato -&gt; nessuna scrittura di consenso</t>
  </si>
  <si>
    <t xml:space="preserve">shouldRecordMarketingConsentAtSignup(false)</t>
  </si>
  <si>
    <t xml:space="preserve">false (nessun evento 'withdrawn' generato per qualcosa mai concesso)</t>
  </si>
  <si>
    <t xml:space="preserve">#581</t>
  </si>
  <si>
    <t xml:space="preserve">Test puro [no browser]. Eseguito con successo in questo sandbox.</t>
  </si>
  <si>
    <t xml:space="preserve">LEGAL-19</t>
  </si>
  <si>
    <t xml:space="preserve">shouldRecordMarketingConsentAtSignup: checkbox spuntato -&gt; genera esattamente un consenso 'accepted'</t>
  </si>
  <si>
    <t xml:space="preserve">shouldRecordMarketingConsentAtSignup(true)</t>
  </si>
  <si>
    <t xml:space="preserve">LEGAL-20</t>
  </si>
  <si>
    <t xml:space="preserve">Legal Gate - Public route hardening</t>
  </si>
  <si>
    <t xml:space="preserve">anonymous public legal route (/privacy, /terms) non usa service-role</t>
  </si>
  <si>
    <t xml:space="preserve">Codice: lib/legal/gate.ts#resolvePublishedDocumentForPublicRoute</t>
  </si>
  <si>
    <t xml:space="preserve">Revisione statica del codice dopo la remediation task #607 (25/08/2026): la funzione ora chiama createClient() (chiave anon, RLS attiva), non piu' createServiceClient()</t>
  </si>
  <si>
    <t xml:space="preserve">Nessun import/uso di createServiceClient()/SUPABASE_SERVICE_ROLE_KEY nel percorso di lettura di /privacy e /terms; la richiesta anonima viaggia come ruolo 'anon', soggetta a migration_29</t>
  </si>
  <si>
    <t xml:space="preserve">#607</t>
  </si>
  <si>
    <t xml:space="preserve">Verificato per lettura diretta del file (non un test automatizzato dedicato): resolvePublishedDocumentForPublicRoute in lib/legal/gate.ts ora usa createClient() da lib/supabase/server.ts, identico client gia' usato da ogni altra pagina autenticata dell'app. createServiceClient() resta usato SOLO dalle 2 funzioni di bootstrap signup (fuori scope, invariate) — MAI dal percorso di lettura pubblica. Nessuna nuova API pubblica introdotta: la funzione resta server-only ('server-only' import in testa al file), chiamata solo da 3 Server Component (app/privacy, app/terms, app/auth/login) — mai esposta come endpoint.</t>
  </si>
  <si>
    <t xml:space="preserve">LEGAL-21</t>
  </si>
  <si>
    <t xml:space="preserve">anonymous non puo' recuperare un documento DRAFT tramite la route pubblica</t>
  </si>
  <si>
    <t xml:space="preserve">Verifica live via Supabase MCP (MIGRATION_29 LIVE POST-CHECK, task #605)</t>
  </si>
  <si>
    <t xml:space="preserve">Transazione con ROLLBACK: insert 1 riga DRAFT (published_at=null) + 1 CURRENT + 1 SUPERSEDED per 'terms' -&gt; set local role anon -&gt; SELECT -&gt; rollback</t>
  </si>
  <si>
    <t xml:space="preserve">anon vede SOLO la riga CURRENT PUBLISHED; la riga DRAFT non compare mai nel resultset, in nessuna condizione</t>
  </si>
  <si>
    <t xml:space="preserve">#605</t>
  </si>
  <si>
    <t xml:space="preserve">Verificato LIVE il 25/08/2026 a livello RLS/DB diretto (query reali con ROLLBACK, nessun dato persistito) contro il progetto Supabase eagsgfxunwyyxwwilldy. Questo prova il meccanismo che la route /privacy e /terms ora usa dopo la remediation (LEGAL-20) — una prova END-TO-END tramite richiesta HTTP anonima reale contro la pagina deployata richiede un documento reale pubblicato (0 righe oggi) ed e' quindi REQUIRES LIVE DEPLOY per la parte di rendering pagina; la parte RLS (l'unica che decide cosa e' davvero recuperabile) e' gia' verificata qui.</t>
  </si>
  <si>
    <t xml:space="preserve">LEGAL-22</t>
  </si>
  <si>
    <t xml:space="preserve">un utente authenticated normale (non platform_admin) non puo' recuperare un DRAFT</t>
  </si>
  <si>
    <t xml:space="preserve">Transazione con ROLLBACK: stessi 3 documenti di test -&gt; set local role authenticated + request.jwt.claims.sub = id di un profilo role='parent' reale -&gt; SELECT -&gt; rollback</t>
  </si>
  <si>
    <t xml:space="preserve">L'utente authenticated vede CURRENT PUBLISHED + SUPERSEDED (2 righe), MAI la riga DRAFT</t>
  </si>
  <si>
    <t xml:space="preserve">Verificato LIVE il 25/08/2026 con simulazione di ruolo reale (set local role authenticated + request.jwt.claims con lo user id di un profilo Parent esistente in produzione), non un mock. Nessun dato persistito (ROLLBACK). Corrisponde esattamente alla policy 'Legal documents: lettura autenticata (pubblicati, non bozze)' di migration_29.</t>
  </si>
  <si>
    <t xml:space="preserve">LEGAL-23</t>
  </si>
  <si>
    <t xml:space="preserve">Legal Gate - Admin path</t>
  </si>
  <si>
    <t xml:space="preserve">platform_admin puo' recuperare un DRAFT tramite il percorso Admin/interno</t>
  </si>
  <si>
    <t xml:space="preserve">Verifica live via Supabase MCP (task #605) + revisione codice app/admin/legal/page.tsx</t>
  </si>
  <si>
    <t xml:space="preserve">(a) Transazione con ROLLBACK: stessi 3 documenti di test -&gt; set local role authenticated + request.jwt.claims.sub = id del profilo role='platform_admin' reale -&gt; SELECT -&gt; rollback. (b) Lettura del codice: app/admin/legal/page.tsx usa createClient() standard (non service-role) + listDocumentsByType(), protetta da AccessGate requiredRole='platform_admin' in app/admin/layout.tsx</t>
  </si>
  <si>
    <t xml:space="preserve">(a) il platform_admin vede tutte e 3 le righe incluso il DRAFT (via policy 'Legal documents: solo Admin scrive', cmd ALL, is_platform_admin()). (b) la pagina Admin non introduce alcun bypass aggiuntivo: si affida alla stessa policy RLS gia' verificata in (a)</t>
  </si>
  <si>
    <t xml:space="preserve">Parte (a) verificata LIVE il 25/08/2026 (query reali con ROLLBACK, nessun dato persistito). Parte (b) verificata per lettura diretta del file app/admin/legal/page.tsx (nessun createServiceClient, nessun bypass RLS aggiuntivo lato Admin). Una prova END-TO-END tramite login reale come platform_admin + rendering della pagina /admin/legal e' REQUIRES LIVE DEPLOY (deferita a Fabrizio).</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</si>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</sst>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4"/>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tru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row r="501" customFormat="false" ht="15" hidden="false" customHeight="true" outlineLevel="0" collapsed="false">
      <c r="A501" s="10" t="s">
        <v>2859</v>
      </c>
      <c r="B501" s="10" t="s">
        <v>2860</v>
      </c>
      <c r="C501" s="10" t="s">
        <v>2861</v>
      </c>
      <c r="D501" s="10" t="s">
        <v>2688</v>
      </c>
      <c r="E501" s="10" t="s">
        <v>2862</v>
      </c>
      <c r="F501" s="10" t="s">
        <v>2863</v>
      </c>
      <c r="G501" s="10" t="s">
        <v>2864</v>
      </c>
      <c r="H501" s="10" t="str">
        <f aca="false">IF(G501="BUG","BUG-"&amp;A501,IF(G501="FUNCTIONAL","FUNCTIONAL-"&amp;A501,""))</f>
        <v/>
      </c>
      <c r="I501" s="10" t="s">
        <v>65</v>
      </c>
      <c r="J501" s="10" t="s">
        <v>2865</v>
      </c>
      <c r="L501" s="11" t="s">
        <v>2866</v>
      </c>
    </row>
    <row r="502" customFormat="false" ht="15" hidden="false" customHeight="true" outlineLevel="0" collapsed="false">
      <c r="A502" s="10" t="s">
        <v>2867</v>
      </c>
      <c r="B502" s="10" t="s">
        <v>2860</v>
      </c>
      <c r="C502" s="10" t="s">
        <v>2868</v>
      </c>
      <c r="D502" s="10" t="s">
        <v>2688</v>
      </c>
      <c r="E502" s="10" t="s">
        <v>2869</v>
      </c>
      <c r="F502" s="10" t="s">
        <v>2870</v>
      </c>
      <c r="G502" s="10" t="s">
        <v>2864</v>
      </c>
      <c r="H502" s="10" t="str">
        <f aca="false">IF(G502="BUG","BUG-"&amp;A502,IF(G502="FUNCTIONAL","FUNCTIONAL-"&amp;A502,""))</f>
        <v/>
      </c>
      <c r="I502" s="10" t="s">
        <v>65</v>
      </c>
      <c r="J502" s="10" t="s">
        <v>2865</v>
      </c>
      <c r="L502" s="11" t="s">
        <v>2871</v>
      </c>
    </row>
    <row r="503" customFormat="false" ht="15" hidden="false" customHeight="true" outlineLevel="0" collapsed="false">
      <c r="A503" s="10" t="s">
        <v>2872</v>
      </c>
      <c r="B503" s="10" t="s">
        <v>2860</v>
      </c>
      <c r="C503" s="10" t="s">
        <v>2873</v>
      </c>
      <c r="D503" s="10" t="s">
        <v>2688</v>
      </c>
      <c r="E503" s="10" t="s">
        <v>2874</v>
      </c>
      <c r="F503" s="10" t="s">
        <v>2875</v>
      </c>
      <c r="G503" s="10" t="s">
        <v>2864</v>
      </c>
      <c r="H503" s="10" t="str">
        <f aca="false">IF(G503="BUG","BUG-"&amp;A503,IF(G503="FUNCTIONAL","FUNCTIONAL-"&amp;A503,""))</f>
        <v/>
      </c>
      <c r="I503" s="10" t="s">
        <v>65</v>
      </c>
      <c r="J503" s="10" t="s">
        <v>2865</v>
      </c>
      <c r="L503" s="11" t="s">
        <v>2871</v>
      </c>
    </row>
    <row r="504" customFormat="false" ht="15" hidden="false" customHeight="true" outlineLevel="0" collapsed="false">
      <c r="A504" s="10" t="s">
        <v>2876</v>
      </c>
      <c r="B504" s="10" t="s">
        <v>2877</v>
      </c>
      <c r="C504" s="10" t="s">
        <v>2878</v>
      </c>
      <c r="D504" s="10" t="s">
        <v>2879</v>
      </c>
      <c r="E504" s="10" t="s">
        <v>2880</v>
      </c>
      <c r="F504" s="10" t="s">
        <v>2881</v>
      </c>
      <c r="G504" s="10" t="s">
        <v>2864</v>
      </c>
      <c r="H504" s="10" t="str">
        <f aca="false">IF(G504="BUG","BUG-"&amp;A504,IF(G504="FUNCTIONAL","FUNCTIONAL-"&amp;A504,""))</f>
        <v/>
      </c>
      <c r="I504" s="10" t="s">
        <v>42</v>
      </c>
      <c r="J504" s="10" t="s">
        <v>2882</v>
      </c>
      <c r="L504" s="11" t="s">
        <v>2883</v>
      </c>
    </row>
    <row r="505" customFormat="false" ht="15" hidden="false" customHeight="true" outlineLevel="0" collapsed="false">
      <c r="A505" s="10" t="s">
        <v>2884</v>
      </c>
      <c r="B505" s="10" t="s">
        <v>2877</v>
      </c>
      <c r="C505" s="10" t="s">
        <v>2885</v>
      </c>
      <c r="D505" s="10" t="s">
        <v>61</v>
      </c>
      <c r="E505" s="10" t="s">
        <v>2886</v>
      </c>
      <c r="F505" s="10" t="s">
        <v>2887</v>
      </c>
      <c r="G505" s="10" t="s">
        <v>2864</v>
      </c>
      <c r="H505" s="10" t="str">
        <f aca="false">IF(G505="BUG","BUG-"&amp;A505,IF(G505="FUNCTIONAL","FUNCTIONAL-"&amp;A505,""))</f>
        <v/>
      </c>
      <c r="I505" s="10" t="s">
        <v>65</v>
      </c>
      <c r="J505" s="10" t="s">
        <v>2882</v>
      </c>
      <c r="L505" s="11" t="s">
        <v>2871</v>
      </c>
    </row>
    <row r="506" customFormat="false" ht="15" hidden="false" customHeight="true" outlineLevel="0" collapsed="false">
      <c r="A506" s="10" t="s">
        <v>2888</v>
      </c>
      <c r="B506" s="10" t="s">
        <v>2877</v>
      </c>
      <c r="C506" s="10" t="s">
        <v>2889</v>
      </c>
      <c r="D506" s="10" t="s">
        <v>61</v>
      </c>
      <c r="E506" s="10" t="s">
        <v>2890</v>
      </c>
      <c r="F506" s="10" t="s">
        <v>2891</v>
      </c>
      <c r="G506" s="10" t="s">
        <v>2864</v>
      </c>
      <c r="H506" s="10" t="str">
        <f aca="false">IF(G506="BUG","BUG-"&amp;A506,IF(G506="FUNCTIONAL","FUNCTIONAL-"&amp;A506,""))</f>
        <v/>
      </c>
      <c r="I506" s="10" t="s">
        <v>42</v>
      </c>
      <c r="J506" s="10" t="s">
        <v>2882</v>
      </c>
      <c r="L506" s="11" t="s">
        <v>2892</v>
      </c>
    </row>
    <row r="507" customFormat="false" ht="15" hidden="false" customHeight="true" outlineLevel="0" collapsed="false">
      <c r="A507" s="10" t="s">
        <v>2893</v>
      </c>
      <c r="B507" s="10" t="s">
        <v>2877</v>
      </c>
      <c r="C507" s="10" t="s">
        <v>2894</v>
      </c>
      <c r="D507" s="10" t="s">
        <v>61</v>
      </c>
      <c r="E507" s="10" t="s">
        <v>2895</v>
      </c>
      <c r="F507" s="10" t="s">
        <v>2896</v>
      </c>
      <c r="G507" s="10" t="s">
        <v>2864</v>
      </c>
      <c r="H507" s="10" t="str">
        <f aca="false">IF(G507="BUG","BUG-"&amp;A507,IF(G507="FUNCTIONAL","FUNCTIONAL-"&amp;A507,""))</f>
        <v/>
      </c>
      <c r="I507" s="10" t="s">
        <v>56</v>
      </c>
      <c r="J507" s="10" t="s">
        <v>2882</v>
      </c>
      <c r="L507" s="11" t="s">
        <v>2897</v>
      </c>
    </row>
    <row r="508" customFormat="false" ht="15" hidden="false" customHeight="true" outlineLevel="0" collapsed="false">
      <c r="A508" s="10" t="s">
        <v>2898</v>
      </c>
      <c r="B508" s="10" t="s">
        <v>2877</v>
      </c>
      <c r="C508" s="10" t="s">
        <v>2899</v>
      </c>
      <c r="D508" s="10" t="s">
        <v>61</v>
      </c>
      <c r="E508" s="10" t="s">
        <v>2900</v>
      </c>
      <c r="F508" s="10" t="s">
        <v>2901</v>
      </c>
      <c r="G508" s="10" t="s">
        <v>2864</v>
      </c>
      <c r="H508" s="10" t="str">
        <f aca="false">IF(G508="BUG","BUG-"&amp;A508,IF(G508="FUNCTIONAL","FUNCTIONAL-"&amp;A508,""))</f>
        <v/>
      </c>
      <c r="I508" s="10" t="s">
        <v>65</v>
      </c>
      <c r="J508" s="10" t="s">
        <v>2882</v>
      </c>
      <c r="L508" s="11" t="s">
        <v>2871</v>
      </c>
    </row>
    <row r="509" customFormat="false" ht="15" hidden="false" customHeight="true" outlineLevel="0" collapsed="false">
      <c r="A509" s="10" t="s">
        <v>2902</v>
      </c>
      <c r="B509" s="10" t="s">
        <v>2903</v>
      </c>
      <c r="C509" s="10" t="s">
        <v>2904</v>
      </c>
      <c r="D509" s="10" t="s">
        <v>2905</v>
      </c>
      <c r="E509" s="10" t="s">
        <v>2906</v>
      </c>
      <c r="F509" s="10" t="s">
        <v>2907</v>
      </c>
      <c r="G509" s="10" t="s">
        <v>2908</v>
      </c>
      <c r="H509" s="10" t="str">
        <f aca="false">IF(G509="BUG","BUG-"&amp;A509,IF(G509="FUNCTIONAL","FUNCTIONAL-"&amp;A509,""))</f>
        <v/>
      </c>
      <c r="I509" s="10" t="s">
        <v>42</v>
      </c>
      <c r="J509" s="10" t="s">
        <v>2909</v>
      </c>
      <c r="L509" s="11" t="s">
        <v>2910</v>
      </c>
    </row>
    <row r="510" customFormat="false" ht="15" hidden="false" customHeight="true" outlineLevel="0" collapsed="false">
      <c r="A510" s="10" t="s">
        <v>2911</v>
      </c>
      <c r="B510" s="10" t="s">
        <v>2903</v>
      </c>
      <c r="C510" s="10" t="s">
        <v>2912</v>
      </c>
      <c r="D510" s="10" t="s">
        <v>2905</v>
      </c>
      <c r="E510" s="10" t="s">
        <v>2913</v>
      </c>
      <c r="F510" s="10" t="s">
        <v>2914</v>
      </c>
      <c r="G510" s="10" t="s">
        <v>2908</v>
      </c>
      <c r="H510" s="10" t="str">
        <f aca="false">IF(G510="BUG","BUG-"&amp;A510,IF(G510="FUNCTIONAL","FUNCTIONAL-"&amp;A510,""))</f>
        <v/>
      </c>
      <c r="I510" s="10" t="s">
        <v>42</v>
      </c>
      <c r="J510" s="10" t="s">
        <v>2909</v>
      </c>
      <c r="L510" s="11" t="s">
        <v>2910</v>
      </c>
    </row>
    <row r="511" customFormat="false" ht="15" hidden="false" customHeight="true" outlineLevel="0" collapsed="false">
      <c r="A511" s="10" t="s">
        <v>2915</v>
      </c>
      <c r="B511" s="10" t="s">
        <v>2916</v>
      </c>
      <c r="C511" s="10" t="s">
        <v>2917</v>
      </c>
      <c r="D511" s="10" t="s">
        <v>61</v>
      </c>
      <c r="E511" s="10" t="s">
        <v>2918</v>
      </c>
      <c r="F511" s="10" t="s">
        <v>2919</v>
      </c>
      <c r="G511" s="10" t="s">
        <v>2908</v>
      </c>
      <c r="H511" s="10" t="str">
        <f aca="false">IF(G511="BUG","BUG-"&amp;A511,IF(G511="FUNCTIONAL","FUNCTIONAL-"&amp;A511,""))</f>
        <v/>
      </c>
      <c r="I511" s="10" t="s">
        <v>42</v>
      </c>
      <c r="J511" s="10" t="s">
        <v>2920</v>
      </c>
      <c r="L511" s="11" t="s">
        <v>2921</v>
      </c>
    </row>
    <row r="512" customFormat="false" ht="15" hidden="false" customHeight="true" outlineLevel="0" collapsed="false">
      <c r="A512" s="10" t="s">
        <v>2922</v>
      </c>
      <c r="B512" s="10" t="s">
        <v>2916</v>
      </c>
      <c r="C512" s="10" t="s">
        <v>2923</v>
      </c>
      <c r="D512" s="10" t="s">
        <v>61</v>
      </c>
      <c r="E512" s="10" t="s">
        <v>2924</v>
      </c>
      <c r="F512" s="10" t="s">
        <v>2925</v>
      </c>
      <c r="G512" s="10" t="s">
        <v>2908</v>
      </c>
      <c r="H512" s="10" t="str">
        <f aca="false">IF(G512="BUG","BUG-"&amp;A512,IF(G512="FUNCTIONAL","FUNCTIONAL-"&amp;A512,""))</f>
        <v/>
      </c>
      <c r="I512" s="10" t="s">
        <v>56</v>
      </c>
      <c r="J512" s="10" t="s">
        <v>2920</v>
      </c>
      <c r="L512" s="11" t="s">
        <v>2926</v>
      </c>
    </row>
    <row r="513" customFormat="false" ht="15" hidden="false" customHeight="true" outlineLevel="0" collapsed="false">
      <c r="A513" s="10" t="s">
        <v>2927</v>
      </c>
      <c r="B513" s="10" t="s">
        <v>2928</v>
      </c>
      <c r="C513" s="10" t="s">
        <v>2929</v>
      </c>
      <c r="D513" s="10" t="s">
        <v>2930</v>
      </c>
      <c r="E513" s="10" t="s">
        <v>2931</v>
      </c>
      <c r="F513" s="10" t="s">
        <v>2932</v>
      </c>
      <c r="G513" s="10" t="s">
        <v>2933</v>
      </c>
      <c r="H513" s="10" t="str">
        <f aca="false">IF(G513="BUG","BUG-"&amp;A513,IF(G513="FUNCTIONAL","FUNCTIONAL-"&amp;A513,""))</f>
        <v/>
      </c>
      <c r="I513" s="10" t="s">
        <v>56</v>
      </c>
      <c r="J513" s="10" t="s">
        <v>2934</v>
      </c>
      <c r="L513" s="11" t="s">
        <v>2935</v>
      </c>
    </row>
    <row r="514" customFormat="false" ht="15" hidden="false" customHeight="true" outlineLevel="0" collapsed="false">
      <c r="A514" s="10" t="s">
        <v>2936</v>
      </c>
      <c r="B514" s="10" t="s">
        <v>2937</v>
      </c>
      <c r="C514" s="10" t="s">
        <v>2938</v>
      </c>
      <c r="D514" s="10" t="s">
        <v>2930</v>
      </c>
      <c r="E514" s="10" t="s">
        <v>2939</v>
      </c>
      <c r="F514" s="10" t="s">
        <v>2940</v>
      </c>
      <c r="G514" s="10" t="s">
        <v>2933</v>
      </c>
      <c r="H514" s="10" t="str">
        <f aca="false">IF(G514="BUG","BUG-"&amp;A514,IF(G514="FUNCTIONAL","FUNCTIONAL-"&amp;A514,""))</f>
        <v/>
      </c>
      <c r="I514" s="10" t="s">
        <v>56</v>
      </c>
      <c r="J514" s="10" t="s">
        <v>2941</v>
      </c>
      <c r="L514" s="11" t="s">
        <v>2942</v>
      </c>
    </row>
    <row r="515" customFormat="false" ht="15" hidden="false" customHeight="true" outlineLevel="0" collapsed="false">
      <c r="A515" s="10" t="s">
        <v>2943</v>
      </c>
      <c r="B515" s="10" t="s">
        <v>2944</v>
      </c>
      <c r="C515" s="10" t="s">
        <v>2945</v>
      </c>
      <c r="D515" s="10" t="s">
        <v>2946</v>
      </c>
      <c r="E515" s="10" t="s">
        <v>2947</v>
      </c>
      <c r="F515" s="10" t="s">
        <v>2948</v>
      </c>
      <c r="G515" s="10" t="s">
        <v>2933</v>
      </c>
      <c r="H515" s="10" t="str">
        <f aca="false">IF(G515="BUG","BUG-"&amp;A515,IF(G515="FUNCTIONAL","FUNCTIONAL-"&amp;A515,""))</f>
        <v/>
      </c>
      <c r="I515" s="10" t="s">
        <v>42</v>
      </c>
      <c r="J515" s="10" t="s">
        <v>2949</v>
      </c>
      <c r="L515" s="11" t="s">
        <v>2950</v>
      </c>
    </row>
    <row r="516" customFormat="false" ht="15" hidden="false" customHeight="true" outlineLevel="0" collapsed="false">
      <c r="A516" s="10" t="s">
        <v>2951</v>
      </c>
      <c r="B516" s="10" t="s">
        <v>2944</v>
      </c>
      <c r="C516" s="10" t="s">
        <v>2952</v>
      </c>
      <c r="D516" s="10" t="s">
        <v>2953</v>
      </c>
      <c r="E516" s="10" t="s">
        <v>2954</v>
      </c>
      <c r="F516" s="10" t="s">
        <v>2955</v>
      </c>
      <c r="G516" s="10" t="s">
        <v>2933</v>
      </c>
      <c r="H516" s="10" t="str">
        <f aca="false">IF(G516="BUG","BUG-"&amp;A516,IF(G516="FUNCTIONAL","FUNCTIONAL-"&amp;A516,""))</f>
        <v/>
      </c>
      <c r="I516" s="10" t="s">
        <v>42</v>
      </c>
      <c r="J516" s="10" t="s">
        <v>2949</v>
      </c>
      <c r="L516" s="11" t="s">
        <v>2956</v>
      </c>
    </row>
    <row r="517" customFormat="false" ht="15" hidden="false" customHeight="true" outlineLevel="0" collapsed="false">
      <c r="A517" s="10" t="s">
        <v>2957</v>
      </c>
      <c r="B517" s="10" t="s">
        <v>2958</v>
      </c>
      <c r="C517" s="10" t="s">
        <v>2959</v>
      </c>
      <c r="D517" s="10" t="s">
        <v>2960</v>
      </c>
      <c r="E517" s="10" t="s">
        <v>2961</v>
      </c>
      <c r="F517" s="10" t="s">
        <v>2962</v>
      </c>
      <c r="G517" s="10" t="s">
        <v>74</v>
      </c>
      <c r="H517" s="10" t="str">
        <f aca="false">IF(G517="BUG","BUG-"&amp;A517,IF(G517="FUNCTIONAL","FUNCTIONAL-"&amp;A517,""))</f>
        <v/>
      </c>
      <c r="I517" s="10" t="s">
        <v>42</v>
      </c>
      <c r="J517" s="10" t="s">
        <v>2963</v>
      </c>
      <c r="L517" s="11" t="s">
        <v>2964</v>
      </c>
    </row>
    <row r="518" customFormat="false" ht="15" hidden="false" customHeight="false" outlineLevel="0" collapsed="false">
      <c r="A518" s="10" t="s">
        <v>2965</v>
      </c>
      <c r="B518" s="10" t="s">
        <v>2966</v>
      </c>
      <c r="C518" s="10" t="s">
        <v>2967</v>
      </c>
      <c r="D518" s="10" t="s">
        <v>2688</v>
      </c>
      <c r="E518" s="10" t="s">
        <v>2968</v>
      </c>
      <c r="F518" s="10" t="s">
        <v>2969</v>
      </c>
      <c r="G518" s="10" t="s">
        <v>2864</v>
      </c>
      <c r="H518" s="10" t="str">
        <f aca="false">IF(G518="BUG","BUG-"&amp;A518,IF(G518="FUNCTIONAL","FUNCTIONAL-"&amp;A518,""))</f>
        <v/>
      </c>
      <c r="I518" s="10" t="s">
        <v>65</v>
      </c>
      <c r="J518" s="10" t="s">
        <v>2970</v>
      </c>
      <c r="L518" s="11" t="s">
        <v>2971</v>
      </c>
    </row>
    <row r="519" customFormat="false" ht="15" hidden="false" customHeight="false" outlineLevel="0" collapsed="false">
      <c r="A519" s="10" t="s">
        <v>2972</v>
      </c>
      <c r="B519" s="10" t="s">
        <v>2973</v>
      </c>
      <c r="C519" s="10" t="s">
        <v>2974</v>
      </c>
      <c r="D519" s="10" t="s">
        <v>2688</v>
      </c>
      <c r="E519" s="10" t="s">
        <v>2975</v>
      </c>
      <c r="F519" s="10" t="s">
        <v>2976</v>
      </c>
      <c r="G519" s="10" t="s">
        <v>2864</v>
      </c>
      <c r="H519" s="10" t="str">
        <f aca="false">IF(G519="BUG","BUG-"&amp;A519,IF(G519="FUNCTIONAL","FUNCTIONAL-"&amp;A519,""))</f>
        <v/>
      </c>
      <c r="I519" s="10" t="s">
        <v>65</v>
      </c>
      <c r="J519" s="10" t="s">
        <v>2977</v>
      </c>
      <c r="L519" s="11" t="s">
        <v>2978</v>
      </c>
    </row>
    <row r="520" customFormat="false" ht="15" hidden="false" customHeight="false" outlineLevel="0" collapsed="false">
      <c r="A520" s="10" t="s">
        <v>2979</v>
      </c>
      <c r="B520" s="10" t="s">
        <v>2973</v>
      </c>
      <c r="C520" s="10" t="s">
        <v>2980</v>
      </c>
      <c r="D520" s="10" t="s">
        <v>2688</v>
      </c>
      <c r="E520" s="10" t="s">
        <v>2981</v>
      </c>
      <c r="F520" s="10" t="s">
        <v>2896</v>
      </c>
      <c r="G520" s="10" t="s">
        <v>2864</v>
      </c>
      <c r="H520" s="10" t="str">
        <f aca="false">IF(G520="BUG","BUG-"&amp;A520,IF(G520="FUNCTIONAL","FUNCTIONAL-"&amp;A520,""))</f>
        <v/>
      </c>
      <c r="I520" s="10" t="s">
        <v>65</v>
      </c>
      <c r="J520" s="10" t="s">
        <v>2977</v>
      </c>
      <c r="L520" s="11" t="s">
        <v>2978</v>
      </c>
    </row>
    <row r="521" customFormat="false" ht="15" hidden="false" customHeight="false" outlineLevel="0" collapsed="false">
      <c r="A521" s="10" t="s">
        <v>2982</v>
      </c>
      <c r="B521" s="10" t="s">
        <v>2983</v>
      </c>
      <c r="C521" s="10" t="s">
        <v>2984</v>
      </c>
      <c r="D521" s="10" t="s">
        <v>2985</v>
      </c>
      <c r="E521" s="10" t="s">
        <v>2986</v>
      </c>
      <c r="F521" s="10" t="s">
        <v>2987</v>
      </c>
      <c r="G521" s="10" t="s">
        <v>2933</v>
      </c>
      <c r="H521" s="10" t="str">
        <f aca="false">IF(G521="BUG","BUG-"&amp;A521,IF(G521="FUNCTIONAL","FUNCTIONAL-"&amp;A521,""))</f>
        <v/>
      </c>
      <c r="I521" s="10" t="s">
        <v>42</v>
      </c>
      <c r="J521" s="10" t="s">
        <v>2988</v>
      </c>
      <c r="L521" s="11" t="s">
        <v>2989</v>
      </c>
    </row>
    <row r="522" customFormat="false" ht="15" hidden="false" customHeight="false" outlineLevel="0" collapsed="false">
      <c r="A522" s="10" t="s">
        <v>2990</v>
      </c>
      <c r="B522" s="10" t="s">
        <v>2983</v>
      </c>
      <c r="C522" s="10" t="s">
        <v>2991</v>
      </c>
      <c r="D522" s="10" t="s">
        <v>2992</v>
      </c>
      <c r="E522" s="10" t="s">
        <v>2993</v>
      </c>
      <c r="F522" s="10" t="s">
        <v>2994</v>
      </c>
      <c r="G522" s="10" t="s">
        <v>2933</v>
      </c>
      <c r="H522" s="10" t="str">
        <f aca="false">IF(G522="BUG","BUG-"&amp;A522,IF(G522="FUNCTIONAL","FUNCTIONAL-"&amp;A522,""))</f>
        <v/>
      </c>
      <c r="I522" s="10" t="s">
        <v>42</v>
      </c>
      <c r="J522" s="10" t="s">
        <v>2995</v>
      </c>
      <c r="L522" s="11" t="s">
        <v>2996</v>
      </c>
    </row>
    <row r="523" customFormat="false" ht="15" hidden="false" customHeight="false" outlineLevel="0" collapsed="false">
      <c r="A523" s="10" t="s">
        <v>2997</v>
      </c>
      <c r="B523" s="10" t="s">
        <v>2983</v>
      </c>
      <c r="C523" s="10" t="s">
        <v>2998</v>
      </c>
      <c r="D523" s="10" t="s">
        <v>2992</v>
      </c>
      <c r="E523" s="10" t="s">
        <v>2999</v>
      </c>
      <c r="F523" s="10" t="s">
        <v>3000</v>
      </c>
      <c r="G523" s="10" t="s">
        <v>2933</v>
      </c>
      <c r="H523" s="10" t="str">
        <f aca="false">IF(G523="BUG","BUG-"&amp;A523,IF(G523="FUNCTIONAL","FUNCTIONAL-"&amp;A523,""))</f>
        <v/>
      </c>
      <c r="I523" s="10" t="s">
        <v>42</v>
      </c>
      <c r="J523" s="10" t="s">
        <v>2995</v>
      </c>
      <c r="L523" s="11" t="s">
        <v>3001</v>
      </c>
    </row>
    <row r="524" customFormat="false" ht="15" hidden="false" customHeight="false" outlineLevel="0" collapsed="false">
      <c r="A524" s="10" t="s">
        <v>3002</v>
      </c>
      <c r="B524" s="10" t="s">
        <v>3003</v>
      </c>
      <c r="C524" s="10" t="s">
        <v>3004</v>
      </c>
      <c r="D524" s="10" t="s">
        <v>3005</v>
      </c>
      <c r="E524" s="10" t="s">
        <v>3006</v>
      </c>
      <c r="F524" s="10" t="s">
        <v>3007</v>
      </c>
      <c r="G524" s="10" t="s">
        <v>2933</v>
      </c>
      <c r="H524" s="10" t="str">
        <f aca="false">IF(G524="BUG","BUG-"&amp;A524,IF(G524="FUNCTIONAL","FUNCTIONAL-"&amp;A524,""))</f>
        <v/>
      </c>
      <c r="I524" s="10" t="s">
        <v>56</v>
      </c>
      <c r="J524" s="10" t="s">
        <v>2995</v>
      </c>
      <c r="L524" s="11" t="s">
        <v>3008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3009</v>
      </c>
    </row>
    <row r="2" customFormat="false" ht="15" hidden="false" customHeight="true" outlineLevel="0" collapsed="false">
      <c r="A2" s="4" t="s">
        <v>32</v>
      </c>
      <c r="B2" s="4" t="s">
        <v>3010</v>
      </c>
      <c r="D2" s="4" t="s">
        <v>27</v>
      </c>
      <c r="E2" s="4" t="s">
        <v>3011</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360</v>
      </c>
      <c r="D6" s="6" t="s">
        <v>201</v>
      </c>
      <c r="E6" s="21" t="n">
        <f aca="false">COUNTIF('Test Case'!B:B,"Genitori - Attivita")</f>
        <v>16</v>
      </c>
    </row>
    <row r="7" customFormat="false" ht="15" hidden="false" customHeight="true" outlineLevel="0" collapsed="false">
      <c r="A7" s="8" t="s">
        <v>3012</v>
      </c>
      <c r="B7" s="22" t="n">
        <f aca="false">COUNTA('Test Case'!A2:A10000)</f>
        <v>523</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7</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2026-08-25T16:20:14Z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