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<sst xmlns="http://schemas.openxmlformats.org/spreadsheetml/2006/main" count="2894" uniqueCount="1836">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</sst>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18"/>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fals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fals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false" outlineLevel="0" collapsed="false">
      <c r="A318" s="1" t="s">
        <v>1826</v>
      </c>
      <c r="B318" s="1" t="s">
        <v>1827</v>
      </c>
      <c r="C318" s="1" t="s">
        <v>1828</v>
      </c>
      <c r="D318" s="1" t="s">
        <v>1829</v>
      </c>
      <c r="E318" s="1" t="s">
        <v>1830</v>
      </c>
      <c r="F318" s="1" t="s">
        <v>1831</v>
      </c>
      <c r="G318" s="1" t="s">
        <v>74</v>
      </c>
      <c r="H318" s="1" t="str">
        <f aca="false">IF(G318="BUG","BUG-"&amp;A318,IF(G318="FUNCTIONAL","FUNCTIONAL-"&amp;A318,""))</f>
        <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1832</v>
      </c>
    </row>
    <row r="2" customFormat="false" ht="15" hidden="false" customHeight="true" outlineLevel="0" collapsed="false">
      <c r="A2" s="4" t="s">
        <v>32</v>
      </c>
      <c r="B2" s="4" t="s">
        <v>1833</v>
      </c>
      <c r="D2" s="4" t="s">
        <v>27</v>
      </c>
      <c r="E2" s="4" t="s">
        <v>1834</v>
      </c>
    </row>
    <row r="3" customFormat="false" ht="15" hidden="false" customHeight="true" outlineLevel="0" collapsed="false">
      <c r="A3" s="6" t="s">
        <v>41</v>
      </c>
      <c r="B3" s="20" t="n">
        <f aca="false">COUNTIF('Test Case'!G:G,"OK")</f>
        <v>6</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222</v>
      </c>
      <c r="D6" s="6" t="s">
        <v>201</v>
      </c>
      <c r="E6" s="20" t="n">
        <f aca="false">COUNTIF('Test Case'!B:B,"Genitori - Attivita")</f>
        <v>16</v>
      </c>
    </row>
    <row r="7" customFormat="false" ht="15" hidden="false" customHeight="true" outlineLevel="0" collapsed="false">
      <c r="A7" s="8" t="s">
        <v>1835</v>
      </c>
      <c r="B7" s="21" t="n">
        <f aca="false">COUNTA('Test Case'!A2:A10000)</f>
        <v>317</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2026-07-14T21:22:31Z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