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<sst xmlns="http://schemas.openxmlformats.org/spreadsheetml/2006/main" count="3839" uniqueCount="2504">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</sst>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row r="424" customFormat="false" ht="15" hidden="false" customHeight="true" outlineLevel="0" collapsed="false">
      <c r="A424" s="1" t="s">
        <v>2398</v>
      </c>
      <c r="B424" s="1" t="s">
        <v>2399</v>
      </c>
      <c r="C424" s="1" t="s">
        <v>2400</v>
      </c>
      <c r="D424" s="1" t="s">
        <v>2388</v>
      </c>
      <c r="E424" s="1" t="s">
        <v>2401</v>
      </c>
      <c r="F424" s="1" t="s">
        <v>2402</v>
      </c>
      <c r="G424" s="1" t="s">
        <v>74</v>
      </c>
      <c r="H424" s="1" t="str">
        <f aca="false">IF(G424="BUG","BUG-"&amp;A424,IF(G424="FUNCTIONAL","FUNCTIONAL-"&amp;A424,""))</f>
        <v/>
      </c>
      <c r="I424" s="1" t="s">
        <v>56</v>
      </c>
      <c r="L424" s="1" t="s">
        <v>2403</v>
      </c>
    </row>
    <row r="425" customFormat="false" ht="15" hidden="false" customHeight="true" outlineLevel="0" collapsed="false">
      <c r="A425" s="1" t="s">
        <v>2404</v>
      </c>
      <c r="B425" s="1" t="s">
        <v>2405</v>
      </c>
      <c r="C425" s="1" t="s">
        <v>2406</v>
      </c>
      <c r="D425" s="1" t="s">
        <v>2375</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2413</v>
      </c>
      <c r="E426" s="1" t="s">
        <v>2414</v>
      </c>
      <c r="F426" s="1" t="s">
        <v>2415</v>
      </c>
      <c r="G426" s="1" t="s">
        <v>74</v>
      </c>
      <c r="H426" s="1" t="str">
        <f aca="false">IF(G426="BUG","BUG-"&amp;A426,IF(G426="FUNCTIONAL","FUNCTIONAL-"&amp;A426,""))</f>
        <v/>
      </c>
      <c r="I426" s="1" t="s">
        <v>42</v>
      </c>
      <c r="L426" s="1" t="s">
        <v>2416</v>
      </c>
    </row>
    <row r="427" customFormat="false" ht="15" hidden="false" customHeight="true" outlineLevel="0" collapsed="false">
      <c r="A427" s="1" t="s">
        <v>2417</v>
      </c>
      <c r="B427" s="1" t="s">
        <v>2418</v>
      </c>
      <c r="C427" s="1" t="s">
        <v>2419</v>
      </c>
      <c r="D427" s="1" t="s">
        <v>2420</v>
      </c>
      <c r="E427" s="1" t="s">
        <v>2421</v>
      </c>
      <c r="F427" s="1" t="s">
        <v>2422</v>
      </c>
      <c r="G427" s="1" t="s">
        <v>74</v>
      </c>
      <c r="H427" s="1" t="str">
        <f aca="false">IF(G427="BUG","BUG-"&amp;A427,IF(G427="FUNCTIONAL","FUNCTIONAL-"&amp;A427,""))</f>
        <v/>
      </c>
      <c r="I427" s="1" t="s">
        <v>42</v>
      </c>
      <c r="L427" s="1" t="s">
        <v>2423</v>
      </c>
    </row>
    <row r="428" customFormat="false" ht="15" hidden="false" customHeight="true" outlineLevel="0" collapsed="false">
      <c r="A428" s="1" t="s">
        <v>2424</v>
      </c>
      <c r="B428" s="1" t="s">
        <v>2425</v>
      </c>
      <c r="C428" s="1" t="s">
        <v>2426</v>
      </c>
      <c r="D428" s="1" t="s">
        <v>2427</v>
      </c>
      <c r="E428" s="1" t="s">
        <v>2428</v>
      </c>
      <c r="F428" s="1" t="s">
        <v>2429</v>
      </c>
      <c r="G428" s="1" t="s">
        <v>74</v>
      </c>
      <c r="H428" s="1" t="str">
        <f aca="false">IF(G428="BUG","BUG-"&amp;A428,IF(G428="FUNCTIONAL","FUNCTIONAL-"&amp;A428,""))</f>
        <v/>
      </c>
      <c r="I428" s="1" t="s">
        <v>56</v>
      </c>
      <c r="L428" s="1" t="s">
        <v>2430</v>
      </c>
    </row>
    <row r="429" customFormat="false" ht="15" hidden="false" customHeight="true" outlineLevel="0" collapsed="false">
      <c r="A429" s="1" t="s">
        <v>2431</v>
      </c>
      <c r="B429" s="1" t="s">
        <v>2432</v>
      </c>
      <c r="C429" s="1" t="s">
        <v>2433</v>
      </c>
      <c r="D429" s="1" t="s">
        <v>2434</v>
      </c>
      <c r="E429" s="1" t="s">
        <v>2435</v>
      </c>
      <c r="F429" s="1" t="s">
        <v>2436</v>
      </c>
      <c r="G429" s="1" t="s">
        <v>74</v>
      </c>
      <c r="H429" s="1" t="str">
        <f aca="false">IF(G429="BUG","BUG-"&amp;A429,IF(G429="FUNCTIONAL","FUNCTIONAL-"&amp;A429,""))</f>
        <v/>
      </c>
      <c r="I429" s="1" t="s">
        <v>56</v>
      </c>
      <c r="L429" s="1" t="s">
        <v>2437</v>
      </c>
    </row>
    <row r="430" customFormat="false" ht="15" hidden="false" customHeight="true" outlineLevel="0" collapsed="false">
      <c r="A430" s="1" t="s">
        <v>2438</v>
      </c>
      <c r="B430" s="1" t="s">
        <v>2439</v>
      </c>
      <c r="C430" s="1" t="s">
        <v>2440</v>
      </c>
      <c r="D430" s="1" t="s">
        <v>2441</v>
      </c>
      <c r="E430" s="1" t="s">
        <v>2442</v>
      </c>
      <c r="F430" s="1" t="s">
        <v>2443</v>
      </c>
      <c r="G430" s="1" t="s">
        <v>74</v>
      </c>
      <c r="H430" s="1" t="str">
        <f aca="false">IF(G430="BUG","BUG-"&amp;A430,IF(G430="FUNCTIONAL","FUNCTIONAL-"&amp;A430,""))</f>
        <v/>
      </c>
      <c r="I430" s="1" t="s">
        <v>42</v>
      </c>
      <c r="L430" s="1" t="s">
        <v>2444</v>
      </c>
    </row>
    <row r="431" customFormat="false" ht="15" hidden="false" customHeight="true" outlineLevel="0" collapsed="false">
      <c r="A431" s="1" t="s">
        <v>2445</v>
      </c>
      <c r="B431" s="1" t="s">
        <v>2446</v>
      </c>
      <c r="C431" s="1" t="s">
        <v>2447</v>
      </c>
      <c r="D431" s="1" t="s">
        <v>2448</v>
      </c>
      <c r="E431" s="1" t="s">
        <v>2449</v>
      </c>
      <c r="F431" s="1" t="s">
        <v>2450</v>
      </c>
      <c r="G431" s="1" t="s">
        <v>74</v>
      </c>
      <c r="H431" s="1" t="str">
        <f aca="false">IF(G431="BUG","BUG-"&amp;A431,IF(G431="FUNCTIONAL","FUNCTIONAL-"&amp;A431,""))</f>
        <v/>
      </c>
      <c r="I431" s="1" t="s">
        <v>56</v>
      </c>
      <c r="L431" s="1" t="s">
        <v>2451</v>
      </c>
    </row>
    <row r="432" customFormat="false" ht="15" hidden="false" customHeight="true" outlineLevel="0" collapsed="false">
      <c r="A432" s="1" t="s">
        <v>2452</v>
      </c>
      <c r="B432" s="1" t="s">
        <v>2453</v>
      </c>
      <c r="C432" s="1" t="s">
        <v>2454</v>
      </c>
      <c r="D432" s="1" t="s">
        <v>2455</v>
      </c>
      <c r="E432" s="1" t="s">
        <v>2456</v>
      </c>
      <c r="F432" s="1" t="s">
        <v>2457</v>
      </c>
      <c r="G432" s="1" t="s">
        <v>74</v>
      </c>
      <c r="H432" s="1" t="str">
        <f aca="false">IF(G432="BUG","BUG-"&amp;A432,IF(G432="FUNCTIONAL","FUNCTIONAL-"&amp;A432,""))</f>
        <v/>
      </c>
      <c r="I432" s="1" t="s">
        <v>42</v>
      </c>
      <c r="L432" s="1" t="s">
        <v>2458</v>
      </c>
    </row>
    <row r="433" customFormat="false" ht="15" hidden="false" customHeight="true" outlineLevel="0" collapsed="false">
      <c r="A433" s="1" t="s">
        <v>2459</v>
      </c>
      <c r="B433" s="1" t="s">
        <v>2460</v>
      </c>
      <c r="C433" s="1" t="s">
        <v>2461</v>
      </c>
      <c r="D433" s="1" t="s">
        <v>2462</v>
      </c>
      <c r="E433" s="1" t="s">
        <v>2463</v>
      </c>
      <c r="F433" s="1" t="s">
        <v>2464</v>
      </c>
      <c r="G433" s="1" t="s">
        <v>74</v>
      </c>
      <c r="H433" s="1" t="str">
        <f aca="false">IF(G433="BUG","BUG-"&amp;A433,IF(G433="FUNCTIONAL","FUNCTIONAL-"&amp;A433,""))</f>
        <v/>
      </c>
      <c r="I433" s="1" t="s">
        <v>56</v>
      </c>
      <c r="L433" s="1" t="s">
        <v>2465</v>
      </c>
    </row>
    <row r="434" customFormat="false" ht="15" hidden="false" customHeight="true" outlineLevel="0" collapsed="false">
      <c r="A434" s="1" t="s">
        <v>2466</v>
      </c>
      <c r="B434" s="1" t="s">
        <v>2467</v>
      </c>
      <c r="C434" s="1" t="s">
        <v>2468</v>
      </c>
      <c r="D434" s="1" t="s">
        <v>2469</v>
      </c>
      <c r="E434" s="1" t="s">
        <v>2470</v>
      </c>
      <c r="F434" s="1" t="s">
        <v>2471</v>
      </c>
      <c r="G434" s="1" t="s">
        <v>74</v>
      </c>
      <c r="H434" s="1" t="str">
        <f aca="false">IF(G434="BUG","BUG-"&amp;A434,IF(G434="FUNCTIONAL","FUNCTIONAL-"&amp;A434,""))</f>
        <v/>
      </c>
      <c r="I434" s="1" t="s">
        <v>42</v>
      </c>
      <c r="L434" s="1" t="s">
        <v>2472</v>
      </c>
    </row>
    <row r="435" customFormat="false" ht="15" hidden="false" customHeight="true" outlineLevel="0" collapsed="false">
      <c r="A435" s="1" t="s">
        <v>2473</v>
      </c>
      <c r="B435" s="1" t="s">
        <v>2474</v>
      </c>
      <c r="C435" s="1" t="s">
        <v>2475</v>
      </c>
      <c r="D435" s="1" t="s">
        <v>1184</v>
      </c>
      <c r="E435" s="1" t="s">
        <v>2476</v>
      </c>
      <c r="F435" s="1" t="s">
        <v>2477</v>
      </c>
      <c r="G435" s="1" t="s">
        <v>74</v>
      </c>
      <c r="H435" s="1" t="str">
        <f aca="false">IF(G435="BUG","BUG-"&amp;A435,IF(G435="FUNCTIONAL","FUNCTIONAL-"&amp;A435,""))</f>
        <v/>
      </c>
      <c r="I435" s="1" t="s">
        <v>65</v>
      </c>
      <c r="L435" s="1" t="s">
        <v>2478</v>
      </c>
    </row>
    <row r="436" customFormat="false" ht="15" hidden="false" customHeight="true" outlineLevel="0" collapsed="false">
      <c r="A436" s="10" t="s">
        <v>2479</v>
      </c>
      <c r="B436" s="10" t="s">
        <v>2480</v>
      </c>
      <c r="C436" s="10" t="s">
        <v>2481</v>
      </c>
      <c r="D436" s="10" t="s">
        <v>2482</v>
      </c>
      <c r="E436" s="10" t="s">
        <v>2483</v>
      </c>
      <c r="F436" s="10" t="s">
        <v>2484</v>
      </c>
      <c r="G436" s="10" t="s">
        <v>74</v>
      </c>
      <c r="H436" s="10" t="str">
        <f aca="false">IF(G436="BUG","BUG-"&amp;A436,IF(G436="FUNCTIONAL","FUNCTIONAL-"&amp;A436,""))</f>
        <v/>
      </c>
      <c r="I436" s="10" t="s">
        <v>42</v>
      </c>
      <c r="L436" s="11" t="s">
        <v>2485</v>
      </c>
    </row>
    <row r="437" customFormat="false" ht="15" hidden="false" customHeight="true" outlineLevel="0" collapsed="false">
      <c r="A437" s="10" t="s">
        <v>2486</v>
      </c>
      <c r="B437" s="10" t="s">
        <v>2487</v>
      </c>
      <c r="C437" s="10" t="s">
        <v>2488</v>
      </c>
      <c r="D437" s="10" t="s">
        <v>2489</v>
      </c>
      <c r="E437" s="10" t="s">
        <v>2490</v>
      </c>
      <c r="F437" s="10" t="s">
        <v>2491</v>
      </c>
      <c r="G437" s="10" t="s">
        <v>74</v>
      </c>
      <c r="H437" s="10" t="str">
        <f aca="false">IF(G437="BUG","BUG-"&amp;A437,IF(G437="FUNCTIONAL","FUNCTIONAL-"&amp;A437,""))</f>
        <v/>
      </c>
      <c r="I437" s="10" t="s">
        <v>42</v>
      </c>
      <c r="L437" s="11" t="s">
        <v>2492</v>
      </c>
    </row>
    <row r="438" customFormat="false" ht="15" hidden="false" customHeight="true" outlineLevel="0" collapsed="false">
      <c r="A438" s="10" t="s">
        <v>2493</v>
      </c>
      <c r="B438" s="10" t="s">
        <v>2494</v>
      </c>
      <c r="C438" s="10" t="s">
        <v>2495</v>
      </c>
      <c r="D438" s="10" t="s">
        <v>2496</v>
      </c>
      <c r="E438" s="10" t="s">
        <v>2497</v>
      </c>
      <c r="F438" s="10" t="s">
        <v>2498</v>
      </c>
      <c r="G438" s="10" t="s">
        <v>74</v>
      </c>
      <c r="H438" s="10" t="str">
        <f aca="false">IF(G438="BUG","BUG-"&amp;A438,IF(G438="FUNCTIONAL","FUNCTIONAL-"&amp;A438,""))</f>
        <v/>
      </c>
      <c r="I438" s="10" t="s">
        <v>42</v>
      </c>
      <c r="L438" s="11" t="s">
        <v>2499</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2500</v>
      </c>
    </row>
    <row r="2" customFormat="false" ht="15" hidden="false" customHeight="true" outlineLevel="0" collapsed="false">
      <c r="A2" s="4" t="s">
        <v>32</v>
      </c>
      <c r="B2" s="4" t="s">
        <v>2501</v>
      </c>
      <c r="D2" s="4" t="s">
        <v>27</v>
      </c>
      <c r="E2" s="4" t="s">
        <v>2502</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325</v>
      </c>
      <c r="D6" s="6" t="s">
        <v>201</v>
      </c>
      <c r="E6" s="20" t="n">
        <f aca="false">COUNTIF('Test Case'!B:B,"Genitori - Attivita")</f>
        <v>16</v>
      </c>
    </row>
    <row r="7" customFormat="false" ht="15" hidden="false" customHeight="true" outlineLevel="0" collapsed="false">
      <c r="A7" s="8" t="s">
        <v>2503</v>
      </c>
      <c r="B7" s="21" t="n">
        <f aca="false">COUNTA('Test Case'!A2:A10000)</f>
        <v>437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2026-08-03T07:42:45Z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